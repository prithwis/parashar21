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prith\Documents\GitHub\parashar21\P21-Excel_19.08\"/>
    </mc:Choice>
  </mc:AlternateContent>
  <xr:revisionPtr revIDLastSave="0" documentId="8_{1D7418AC-70B6-4867-8CF1-1B5332F42868}" xr6:coauthVersionLast="47" xr6:coauthVersionMax="47" xr10:uidLastSave="{00000000-0000-0000-0000-000000000000}"/>
  <bookViews>
    <workbookView xWindow="-108" yWindow="-108" windowWidth="23256" windowHeight="12456" activeTab="8"/>
  </bookViews>
  <sheets>
    <sheet name="DataEntry" sheetId="5" r:id="rId1"/>
    <sheet name="PAC" sheetId="2" r:id="rId2"/>
    <sheet name="GenPAC" sheetId="9" r:id="rId3"/>
    <sheet name="Dasha" sheetId="13" r:id="rId4"/>
    <sheet name="LifeEvents" sheetId="20" r:id="rId5"/>
    <sheet name="PACQuery" sheetId="3" r:id="rId6"/>
    <sheet name="EventsQuery" sheetId="21" r:id="rId7"/>
    <sheet name="PatternTrap" sheetId="7" r:id="rId8"/>
    <sheet name="Ephemeris" sheetId="4" r:id="rId9"/>
    <sheet name="OutputTemplate" sheetId="19"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110" i="21" l="1"/>
  <c r="AD109" i="21" s="1"/>
  <c r="AD108" i="21" s="1"/>
  <c r="AD107" i="21" s="1"/>
  <c r="AD106" i="21" s="1"/>
  <c r="AC110" i="21"/>
  <c r="AC109" i="21" s="1"/>
  <c r="AC108" i="21" s="1"/>
  <c r="AC107" i="21" s="1"/>
  <c r="AC106" i="21" s="1"/>
  <c r="AC105" i="21" s="1"/>
  <c r="AC104" i="21" s="1"/>
  <c r="AC103" i="21" s="1"/>
  <c r="AC102" i="21" s="1"/>
  <c r="AC101" i="21" s="1"/>
  <c r="AC100" i="21" s="1"/>
  <c r="AC99" i="21" s="1"/>
  <c r="AC98" i="21" s="1"/>
  <c r="AC97" i="21" s="1"/>
  <c r="AC96" i="21" s="1"/>
  <c r="AC95" i="21" s="1"/>
  <c r="AC94" i="21" s="1"/>
  <c r="AC93" i="21" s="1"/>
  <c r="AC92" i="21" s="1"/>
  <c r="AC91" i="21" s="1"/>
  <c r="AC90" i="21" s="1"/>
  <c r="AC89" i="21" s="1"/>
  <c r="AC88" i="21" s="1"/>
  <c r="AC87" i="21" s="1"/>
  <c r="AC86" i="21" s="1"/>
  <c r="AC85" i="21" s="1"/>
  <c r="AC84" i="21" s="1"/>
  <c r="AC83" i="21" s="1"/>
  <c r="AC82" i="21" s="1"/>
  <c r="AC81" i="21" s="1"/>
  <c r="AC80" i="21" s="1"/>
  <c r="AC79" i="21" s="1"/>
  <c r="AC78" i="21" s="1"/>
  <c r="AC77" i="21" s="1"/>
  <c r="AC76" i="21" s="1"/>
  <c r="AC75" i="21" s="1"/>
  <c r="AC74" i="21" s="1"/>
  <c r="AC73" i="21" s="1"/>
  <c r="AC72" i="21" s="1"/>
  <c r="AC71" i="21" s="1"/>
  <c r="AC70" i="21" s="1"/>
  <c r="AC69" i="21" s="1"/>
  <c r="AC68" i="21" s="1"/>
  <c r="AC67" i="21" s="1"/>
  <c r="AC66" i="21" s="1"/>
  <c r="AC65" i="21" s="1"/>
  <c r="AC64" i="21" s="1"/>
  <c r="AC63" i="21" s="1"/>
  <c r="AC62" i="21" s="1"/>
  <c r="AC61" i="21" s="1"/>
  <c r="AC60" i="21" s="1"/>
  <c r="AC59" i="21" s="1"/>
  <c r="AC58" i="21" s="1"/>
  <c r="AC57" i="21" s="1"/>
  <c r="AC56" i="21" s="1"/>
  <c r="AC55" i="21" s="1"/>
  <c r="AC54" i="21" s="1"/>
  <c r="AC53" i="21" s="1"/>
  <c r="AC52" i="21" s="1"/>
  <c r="AC51" i="21" s="1"/>
  <c r="AC50" i="21" s="1"/>
  <c r="AC49" i="21" s="1"/>
  <c r="AC48" i="21" s="1"/>
  <c r="AC47" i="21" s="1"/>
  <c r="AC46" i="21" s="1"/>
  <c r="AC45" i="21" s="1"/>
  <c r="AC44" i="21" s="1"/>
  <c r="AC43" i="21" s="1"/>
  <c r="AC42" i="21" s="1"/>
  <c r="AC41" i="21" s="1"/>
  <c r="AC40" i="21" s="1"/>
  <c r="AC39" i="21" s="1"/>
  <c r="AC38" i="21" s="1"/>
  <c r="AC37" i="21" s="1"/>
  <c r="AC36" i="21" s="1"/>
  <c r="AC35" i="21" s="1"/>
  <c r="AC34" i="21" s="1"/>
  <c r="AC33" i="21" s="1"/>
  <c r="AC32" i="21" s="1"/>
  <c r="AC31" i="21" s="1"/>
  <c r="AC30" i="21" s="1"/>
  <c r="AC29" i="21" s="1"/>
  <c r="AC28" i="21" s="1"/>
  <c r="AC27" i="21" s="1"/>
  <c r="AC26" i="21" s="1"/>
  <c r="AC25" i="21" s="1"/>
  <c r="AC24" i="21" s="1"/>
  <c r="AC23" i="21" s="1"/>
  <c r="AC22" i="21" s="1"/>
  <c r="AC21" i="21" s="1"/>
  <c r="AC20" i="21" s="1"/>
  <c r="AC19" i="21" s="1"/>
  <c r="AC18" i="21" s="1"/>
  <c r="AC17" i="21" s="1"/>
  <c r="AC16" i="21" s="1"/>
  <c r="AC15" i="21" s="1"/>
  <c r="AC14" i="21" s="1"/>
  <c r="AC13" i="21" s="1"/>
  <c r="AC12" i="21" s="1"/>
  <c r="AC11" i="21" s="1"/>
  <c r="AC10" i="21" s="1"/>
  <c r="AC9" i="21" s="1"/>
  <c r="AC8" i="21" s="1"/>
  <c r="AC7" i="21" s="1"/>
  <c r="AC6" i="21" s="1"/>
  <c r="AD105" i="21"/>
  <c r="AD104" i="21" s="1"/>
  <c r="AD103" i="21" s="1"/>
  <c r="AD102" i="21" s="1"/>
  <c r="AD101" i="21" s="1"/>
  <c r="AD100" i="21" s="1"/>
  <c r="AD99" i="21" s="1"/>
  <c r="AD98" i="21" s="1"/>
  <c r="AD97" i="21" s="1"/>
  <c r="AD96" i="21" s="1"/>
  <c r="AD95" i="21" s="1"/>
  <c r="AD94" i="21" s="1"/>
  <c r="AD93" i="21" s="1"/>
  <c r="AD92" i="21" s="1"/>
  <c r="AD91" i="21" s="1"/>
  <c r="AD90" i="21" s="1"/>
  <c r="AD89" i="21" s="1"/>
  <c r="AD88" i="21" s="1"/>
  <c r="AD87" i="21" s="1"/>
  <c r="AD86" i="21" s="1"/>
  <c r="AD85" i="21" s="1"/>
  <c r="AD84" i="21" s="1"/>
  <c r="AD83" i="21" s="1"/>
  <c r="AD82" i="21" s="1"/>
  <c r="AD81" i="21" s="1"/>
  <c r="AD80" i="21" s="1"/>
  <c r="AD79" i="21" s="1"/>
  <c r="AD78" i="21" s="1"/>
  <c r="AD77" i="21" s="1"/>
  <c r="AD76" i="21" s="1"/>
  <c r="AD75" i="21" s="1"/>
  <c r="AD74" i="21" s="1"/>
  <c r="AD73" i="21" s="1"/>
  <c r="AD72" i="21" s="1"/>
  <c r="AD71" i="21" s="1"/>
  <c r="AD70" i="21" s="1"/>
  <c r="AD69" i="21" s="1"/>
  <c r="AD68" i="21" s="1"/>
  <c r="AD67" i="21" s="1"/>
  <c r="AD66" i="21" s="1"/>
  <c r="AD65" i="21" s="1"/>
  <c r="AD64" i="21" s="1"/>
  <c r="AD63" i="21" s="1"/>
  <c r="AD62" i="21" s="1"/>
  <c r="AD61" i="21" s="1"/>
  <c r="AD60" i="21" s="1"/>
  <c r="AD59" i="21" s="1"/>
  <c r="AD58" i="21" s="1"/>
  <c r="AD57" i="21" s="1"/>
  <c r="AD56" i="21" s="1"/>
  <c r="AD55" i="21" s="1"/>
  <c r="AD54" i="21" s="1"/>
  <c r="AD53" i="21" s="1"/>
  <c r="AD52" i="21" s="1"/>
  <c r="AD51" i="21" s="1"/>
  <c r="AD50" i="21" s="1"/>
  <c r="AD49" i="21" s="1"/>
  <c r="AD48" i="21" s="1"/>
  <c r="AD47" i="21" s="1"/>
  <c r="AD46" i="21" s="1"/>
  <c r="AD45" i="21" s="1"/>
  <c r="AD44" i="21" s="1"/>
  <c r="AD43" i="21" s="1"/>
  <c r="AD42" i="21" s="1"/>
  <c r="AD41" i="21" s="1"/>
  <c r="AD40" i="21" s="1"/>
  <c r="AD39" i="21" s="1"/>
  <c r="AD38" i="21" s="1"/>
  <c r="AD37" i="21" s="1"/>
  <c r="AD36" i="21" s="1"/>
  <c r="AD35" i="21" s="1"/>
  <c r="AD34" i="21" s="1"/>
  <c r="AD33" i="21" s="1"/>
  <c r="AD32" i="21" s="1"/>
  <c r="AD31" i="21" s="1"/>
  <c r="AD30" i="21" s="1"/>
  <c r="AD29" i="21" s="1"/>
  <c r="AD28" i="21" s="1"/>
  <c r="AD27" i="21" s="1"/>
  <c r="AD26" i="21" s="1"/>
  <c r="AD25" i="21" s="1"/>
  <c r="AD24" i="21" s="1"/>
  <c r="AD23" i="21" s="1"/>
  <c r="AD22" i="21" s="1"/>
  <c r="AD21" i="21" s="1"/>
  <c r="AD20" i="21" s="1"/>
  <c r="AD19" i="21" s="1"/>
  <c r="AD18" i="21" s="1"/>
  <c r="AD17" i="21" s="1"/>
  <c r="AD16" i="21" s="1"/>
  <c r="AD15" i="21" s="1"/>
  <c r="AD14" i="21" s="1"/>
  <c r="AD13" i="21" s="1"/>
  <c r="AD12" i="21" s="1"/>
  <c r="AD11" i="21" s="1"/>
  <c r="AD10" i="21" s="1"/>
  <c r="AD9" i="21" s="1"/>
  <c r="AD8" i="21" s="1"/>
  <c r="AD7" i="21" s="1"/>
  <c r="AD6" i="21" s="1"/>
  <c r="K110" i="21"/>
  <c r="K109" i="21"/>
  <c r="K108" i="21"/>
  <c r="K107" i="21"/>
  <c r="K106" i="21"/>
  <c r="K105" i="21"/>
  <c r="K104" i="21"/>
  <c r="K103" i="21"/>
  <c r="K102" i="21"/>
  <c r="K101" i="21"/>
  <c r="K100" i="21"/>
  <c r="K99" i="21"/>
  <c r="K98" i="21"/>
  <c r="K97" i="21"/>
  <c r="K96" i="21"/>
  <c r="K95" i="21"/>
  <c r="K94" i="21"/>
  <c r="K93" i="21"/>
  <c r="K92" i="21"/>
  <c r="K91" i="21"/>
  <c r="K90" i="21"/>
  <c r="K89" i="21"/>
  <c r="K88" i="21"/>
  <c r="K87" i="21"/>
  <c r="K86" i="21"/>
  <c r="K85" i="21"/>
  <c r="K84" i="21"/>
  <c r="K83" i="21"/>
  <c r="K82" i="21"/>
  <c r="K81" i="21"/>
  <c r="K80" i="21"/>
  <c r="K79" i="21"/>
  <c r="K78" i="21"/>
  <c r="K77" i="21"/>
  <c r="K76" i="21"/>
  <c r="K75" i="21"/>
  <c r="K74" i="21"/>
  <c r="K73" i="21"/>
  <c r="K72" i="21"/>
  <c r="K71" i="21"/>
  <c r="K70" i="21"/>
  <c r="K69" i="21"/>
  <c r="K68" i="21"/>
  <c r="K67" i="21"/>
  <c r="K66" i="21"/>
  <c r="K65" i="21"/>
  <c r="K64" i="21"/>
  <c r="K63" i="21"/>
  <c r="K62" i="21"/>
  <c r="K61" i="21"/>
  <c r="K60" i="21"/>
  <c r="K59" i="21"/>
  <c r="K58" i="21"/>
  <c r="K57" i="21"/>
  <c r="K56" i="21"/>
  <c r="K55" i="21"/>
  <c r="K54" i="21"/>
  <c r="K53" i="21"/>
  <c r="K52" i="21"/>
  <c r="K51" i="21"/>
  <c r="K50" i="21"/>
  <c r="K49" i="21"/>
  <c r="K48" i="21"/>
  <c r="K47" i="21"/>
  <c r="K46" i="21"/>
  <c r="K45" i="21"/>
  <c r="K44" i="21"/>
  <c r="K43" i="21"/>
  <c r="K42" i="21"/>
  <c r="K41" i="21"/>
  <c r="K40" i="21"/>
  <c r="K39" i="21"/>
  <c r="K38" i="21"/>
  <c r="K37" i="21"/>
  <c r="K36" i="21"/>
  <c r="K35" i="21"/>
  <c r="K34" i="21"/>
  <c r="K33" i="21"/>
  <c r="K32" i="21"/>
  <c r="K31" i="21"/>
  <c r="K30" i="21"/>
  <c r="K29" i="21"/>
  <c r="K28" i="21"/>
  <c r="K27" i="21"/>
  <c r="K26" i="21"/>
  <c r="K25" i="21"/>
  <c r="K24" i="21"/>
  <c r="K23" i="21"/>
  <c r="K22" i="21"/>
  <c r="K21" i="21"/>
  <c r="K20" i="21"/>
  <c r="K19" i="21"/>
  <c r="K18" i="21"/>
  <c r="K17" i="21"/>
  <c r="K16" i="21"/>
  <c r="K15" i="21"/>
  <c r="K14" i="21"/>
  <c r="K13" i="21"/>
  <c r="K12" i="21"/>
  <c r="V12" i="21" s="1"/>
  <c r="K11" i="21"/>
  <c r="K10" i="21"/>
  <c r="K9" i="21"/>
  <c r="K8" i="21"/>
  <c r="K7" i="21"/>
  <c r="K111" i="21"/>
  <c r="V111" i="21" s="1"/>
  <c r="V110" i="21"/>
  <c r="V109" i="21"/>
  <c r="V108" i="21"/>
  <c r="V107" i="21"/>
  <c r="V106" i="21"/>
  <c r="V105" i="21"/>
  <c r="V104" i="21"/>
  <c r="V103" i="21"/>
  <c r="V102" i="21"/>
  <c r="V101" i="21"/>
  <c r="V100" i="21"/>
  <c r="V99" i="21"/>
  <c r="V98" i="21"/>
  <c r="V97" i="21"/>
  <c r="V96" i="21"/>
  <c r="V95" i="21"/>
  <c r="V94" i="21"/>
  <c r="V93" i="21"/>
  <c r="V92" i="21"/>
  <c r="V91" i="21"/>
  <c r="V90" i="21"/>
  <c r="V89" i="21"/>
  <c r="V88" i="21"/>
  <c r="V87" i="21"/>
  <c r="V86" i="21"/>
  <c r="V85" i="21"/>
  <c r="V84" i="21"/>
  <c r="V83" i="21"/>
  <c r="V82" i="21"/>
  <c r="V81" i="21"/>
  <c r="V80" i="21"/>
  <c r="V79" i="21"/>
  <c r="V78" i="21"/>
  <c r="V77" i="21"/>
  <c r="V76" i="21"/>
  <c r="V75" i="21"/>
  <c r="V74" i="21"/>
  <c r="V73" i="21"/>
  <c r="V72" i="21"/>
  <c r="V71" i="21"/>
  <c r="V70" i="21"/>
  <c r="V69" i="21"/>
  <c r="V68" i="21"/>
  <c r="V67" i="21"/>
  <c r="V66" i="21"/>
  <c r="V65" i="21"/>
  <c r="V64" i="21"/>
  <c r="V63" i="21"/>
  <c r="V62" i="21"/>
  <c r="V61" i="21"/>
  <c r="V60" i="21"/>
  <c r="V59" i="21"/>
  <c r="V58" i="21"/>
  <c r="V57" i="21"/>
  <c r="V56" i="21"/>
  <c r="V55" i="21"/>
  <c r="V54" i="21"/>
  <c r="V53" i="21"/>
  <c r="V52" i="21"/>
  <c r="V51" i="21"/>
  <c r="V50" i="21"/>
  <c r="V48" i="21"/>
  <c r="V47" i="21"/>
  <c r="V46" i="21"/>
  <c r="V45" i="21"/>
  <c r="V44" i="21"/>
  <c r="V43" i="21"/>
  <c r="V42" i="21"/>
  <c r="V41" i="21"/>
  <c r="V40" i="21"/>
  <c r="V39" i="21"/>
  <c r="V38" i="21"/>
  <c r="V37" i="21"/>
  <c r="V36" i="21"/>
  <c r="V35" i="21"/>
  <c r="V34" i="21"/>
  <c r="V33" i="21"/>
  <c r="V32" i="21"/>
  <c r="V31" i="21"/>
  <c r="V30" i="21"/>
  <c r="V29" i="21"/>
  <c r="V28" i="21"/>
  <c r="V27" i="21"/>
  <c r="V26" i="21"/>
  <c r="V25" i="21"/>
  <c r="V24" i="21"/>
  <c r="V23" i="21"/>
  <c r="V22" i="21"/>
  <c r="V21" i="21"/>
  <c r="V20" i="21"/>
  <c r="V19" i="21"/>
  <c r="V18" i="21"/>
  <c r="V17" i="21"/>
  <c r="V16" i="21"/>
  <c r="V15" i="21"/>
  <c r="V14" i="21"/>
  <c r="V13" i="21"/>
  <c r="V11" i="21"/>
  <c r="V10" i="21"/>
  <c r="V9" i="21"/>
  <c r="V8" i="21"/>
  <c r="V7" i="21"/>
  <c r="V112" i="21"/>
  <c r="AB112" i="21" s="1"/>
  <c r="K112" i="21"/>
  <c r="L112" i="21"/>
  <c r="A112" i="21"/>
  <c r="C2" i="21" s="1"/>
  <c r="A111" i="21"/>
  <c r="A110" i="21"/>
  <c r="A109" i="21"/>
  <c r="A108" i="21"/>
  <c r="A107" i="21"/>
  <c r="A106" i="21"/>
  <c r="A105" i="21"/>
  <c r="A104" i="21"/>
  <c r="A103" i="21"/>
  <c r="A102" i="21"/>
  <c r="A101" i="21"/>
  <c r="A100" i="21"/>
  <c r="A99" i="21"/>
  <c r="A98" i="21"/>
  <c r="A97" i="21"/>
  <c r="A96" i="21"/>
  <c r="A95" i="21"/>
  <c r="A94" i="21"/>
  <c r="A93" i="21"/>
  <c r="A92" i="21"/>
  <c r="A91" i="21"/>
  <c r="A90" i="21"/>
  <c r="A89" i="21"/>
  <c r="A88" i="21"/>
  <c r="A87" i="21"/>
  <c r="A86" i="21"/>
  <c r="A85" i="21"/>
  <c r="A84" i="21"/>
  <c r="A83" i="21"/>
  <c r="A82" i="21"/>
  <c r="A81" i="21"/>
  <c r="A80" i="21"/>
  <c r="A79" i="21"/>
  <c r="A78" i="21"/>
  <c r="A77" i="21"/>
  <c r="A76" i="21"/>
  <c r="A75" i="21"/>
  <c r="A74" i="21"/>
  <c r="A73" i="21"/>
  <c r="A72" i="21"/>
  <c r="A71" i="21"/>
  <c r="A70" i="21"/>
  <c r="A69" i="21"/>
  <c r="A68" i="21"/>
  <c r="A67" i="21"/>
  <c r="A66" i="21"/>
  <c r="A65" i="21"/>
  <c r="A64" i="21"/>
  <c r="A63" i="21"/>
  <c r="A62" i="21"/>
  <c r="A61" i="21"/>
  <c r="A60" i="21"/>
  <c r="A59" i="21"/>
  <c r="A58" i="21"/>
  <c r="A57" i="21"/>
  <c r="A56" i="21"/>
  <c r="A55" i="21"/>
  <c r="A54" i="21"/>
  <c r="A53" i="21"/>
  <c r="A52" i="21"/>
  <c r="A51" i="21"/>
  <c r="A50" i="21"/>
  <c r="A49" i="21"/>
  <c r="A48" i="21"/>
  <c r="A47" i="21"/>
  <c r="A46" i="21"/>
  <c r="A45" i="21"/>
  <c r="A44" i="21"/>
  <c r="A43" i="21"/>
  <c r="A42" i="21"/>
  <c r="A41" i="21"/>
  <c r="A40" i="21"/>
  <c r="A39" i="21"/>
  <c r="A38" i="21"/>
  <c r="A37" i="21"/>
  <c r="A36" i="2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A8" i="21"/>
  <c r="A7" i="21"/>
  <c r="Z112" i="20"/>
  <c r="Y112" i="20"/>
  <c r="X112" i="20"/>
  <c r="Z110" i="20"/>
  <c r="Y110" i="20"/>
  <c r="X110" i="20"/>
  <c r="Z109" i="20"/>
  <c r="Y109" i="20"/>
  <c r="X109" i="20"/>
  <c r="Z108" i="20"/>
  <c r="Y108" i="20"/>
  <c r="X108" i="20"/>
  <c r="Z107" i="20"/>
  <c r="Y107" i="20"/>
  <c r="X107" i="20"/>
  <c r="Z106" i="20"/>
  <c r="Y106" i="20"/>
  <c r="X106" i="20"/>
  <c r="Z105" i="20"/>
  <c r="Y105" i="20"/>
  <c r="X105" i="20"/>
  <c r="Z104" i="20"/>
  <c r="Y104" i="20"/>
  <c r="X104" i="20"/>
  <c r="Z103" i="20"/>
  <c r="Y103" i="20"/>
  <c r="X103" i="20"/>
  <c r="Z102" i="20"/>
  <c r="Y102" i="20"/>
  <c r="X102" i="20"/>
  <c r="Z101" i="20"/>
  <c r="Y101" i="20"/>
  <c r="X101" i="20"/>
  <c r="Z100" i="20"/>
  <c r="Y100" i="20"/>
  <c r="X100" i="20"/>
  <c r="Z99" i="20"/>
  <c r="Y99" i="20"/>
  <c r="X99" i="20"/>
  <c r="Z98" i="20"/>
  <c r="Y98" i="20"/>
  <c r="X98" i="20"/>
  <c r="Z97" i="20"/>
  <c r="Y97" i="20"/>
  <c r="X97" i="20"/>
  <c r="Z96" i="20"/>
  <c r="Y96" i="20"/>
  <c r="X96" i="20"/>
  <c r="Z95" i="20"/>
  <c r="Y95" i="20"/>
  <c r="X95" i="20"/>
  <c r="Z94" i="20"/>
  <c r="Y94" i="20"/>
  <c r="X94" i="20"/>
  <c r="Z93" i="20"/>
  <c r="Y93" i="20"/>
  <c r="X93" i="20"/>
  <c r="Z92" i="20"/>
  <c r="Y92" i="20"/>
  <c r="X92" i="20"/>
  <c r="Z91" i="20"/>
  <c r="Y91" i="20"/>
  <c r="X91" i="20"/>
  <c r="Z90" i="20"/>
  <c r="Y90" i="20"/>
  <c r="X90" i="20"/>
  <c r="Z89" i="20"/>
  <c r="Y89" i="20"/>
  <c r="X89" i="20"/>
  <c r="Z88" i="20"/>
  <c r="Y88" i="20"/>
  <c r="X88" i="20"/>
  <c r="Z87" i="20"/>
  <c r="Y87" i="20"/>
  <c r="X87" i="20"/>
  <c r="Z86" i="20"/>
  <c r="Y86" i="20"/>
  <c r="X86" i="20"/>
  <c r="Z85" i="20"/>
  <c r="Y85" i="20"/>
  <c r="X85" i="20"/>
  <c r="O85" i="20" s="1"/>
  <c r="Z84" i="20"/>
  <c r="Y84" i="20"/>
  <c r="X84" i="20"/>
  <c r="Z83" i="20"/>
  <c r="Y83" i="20"/>
  <c r="X83" i="20"/>
  <c r="Z82" i="20"/>
  <c r="Y82" i="20"/>
  <c r="X82" i="20"/>
  <c r="Z81" i="20"/>
  <c r="Y81" i="20"/>
  <c r="X81" i="20"/>
  <c r="Z80" i="20"/>
  <c r="Y80" i="20"/>
  <c r="X80" i="20"/>
  <c r="Z79" i="20"/>
  <c r="Y79" i="20"/>
  <c r="X79" i="20"/>
  <c r="Z78" i="20"/>
  <c r="Y78" i="20"/>
  <c r="X78" i="20"/>
  <c r="Z77" i="20"/>
  <c r="Y77" i="20"/>
  <c r="X77" i="20"/>
  <c r="Z76" i="20"/>
  <c r="Y76" i="20"/>
  <c r="X76" i="20"/>
  <c r="Z75" i="20"/>
  <c r="Y75" i="20"/>
  <c r="X75" i="20"/>
  <c r="Z74" i="20"/>
  <c r="Y74" i="20"/>
  <c r="X74" i="20"/>
  <c r="Z73" i="20"/>
  <c r="Y73" i="20"/>
  <c r="X73" i="20"/>
  <c r="Z72" i="20"/>
  <c r="Y72" i="20"/>
  <c r="X72" i="20"/>
  <c r="Z71" i="20"/>
  <c r="Y71" i="20"/>
  <c r="X71" i="20"/>
  <c r="Z70" i="20"/>
  <c r="Y70" i="20"/>
  <c r="X70" i="20"/>
  <c r="Z69" i="20"/>
  <c r="Y69" i="20"/>
  <c r="X69" i="20"/>
  <c r="Z68" i="20"/>
  <c r="Y68" i="20"/>
  <c r="X68" i="20"/>
  <c r="Z67" i="20"/>
  <c r="Y67" i="20"/>
  <c r="X67" i="20"/>
  <c r="Z66" i="20"/>
  <c r="Y66" i="20"/>
  <c r="X66" i="20"/>
  <c r="Z65" i="20"/>
  <c r="Y65" i="20"/>
  <c r="X65" i="20"/>
  <c r="Z64" i="20"/>
  <c r="Y64" i="20"/>
  <c r="X64" i="20"/>
  <c r="Z63" i="20"/>
  <c r="Y63" i="20"/>
  <c r="X63" i="20"/>
  <c r="Z62" i="20"/>
  <c r="Y62" i="20"/>
  <c r="X62" i="20"/>
  <c r="Z61" i="20"/>
  <c r="Y61" i="20"/>
  <c r="X61" i="20"/>
  <c r="Z60" i="20"/>
  <c r="Y60" i="20"/>
  <c r="X60" i="20"/>
  <c r="Z59" i="20"/>
  <c r="Y59" i="20"/>
  <c r="X59" i="20"/>
  <c r="Z58" i="20"/>
  <c r="Y58" i="20"/>
  <c r="X58" i="20"/>
  <c r="Z57" i="20"/>
  <c r="Y57" i="20"/>
  <c r="X57" i="20"/>
  <c r="Z56" i="20"/>
  <c r="Y56" i="20"/>
  <c r="X56" i="20"/>
  <c r="Z55" i="20"/>
  <c r="Y55" i="20"/>
  <c r="X55" i="20"/>
  <c r="Z54" i="20"/>
  <c r="Y54" i="20"/>
  <c r="X54" i="20"/>
  <c r="Z53" i="20"/>
  <c r="Y53" i="20"/>
  <c r="X53" i="20"/>
  <c r="Z52" i="20"/>
  <c r="Y52" i="20"/>
  <c r="X52" i="20"/>
  <c r="Z51" i="20"/>
  <c r="Y51" i="20"/>
  <c r="X51" i="20"/>
  <c r="Z50" i="20"/>
  <c r="Y50" i="20"/>
  <c r="X50" i="20"/>
  <c r="Z49" i="20"/>
  <c r="Y49" i="20"/>
  <c r="X49" i="20"/>
  <c r="Z48" i="20"/>
  <c r="Y48" i="20"/>
  <c r="X48" i="20"/>
  <c r="Z47" i="20"/>
  <c r="Y47" i="20"/>
  <c r="X47" i="20"/>
  <c r="Z46" i="20"/>
  <c r="Y46" i="20"/>
  <c r="X46" i="20"/>
  <c r="Z45" i="20"/>
  <c r="Y45" i="20"/>
  <c r="X45" i="20"/>
  <c r="Z44" i="20"/>
  <c r="Y44" i="20"/>
  <c r="X44" i="20"/>
  <c r="Z43" i="20"/>
  <c r="Y43" i="20"/>
  <c r="X43" i="20"/>
  <c r="Z42" i="20"/>
  <c r="Y42" i="20"/>
  <c r="X42" i="20"/>
  <c r="Z41" i="20"/>
  <c r="Y41" i="20"/>
  <c r="X41" i="20"/>
  <c r="Z40" i="20"/>
  <c r="Y40" i="20"/>
  <c r="X40" i="20"/>
  <c r="Z39" i="20"/>
  <c r="Y39" i="20"/>
  <c r="X39" i="20"/>
  <c r="Z38" i="20"/>
  <c r="Y38" i="20"/>
  <c r="X38" i="20"/>
  <c r="Z37" i="20"/>
  <c r="Y37" i="20"/>
  <c r="X37" i="20"/>
  <c r="Z36" i="20"/>
  <c r="Y36" i="20"/>
  <c r="X36" i="20"/>
  <c r="Z35" i="20"/>
  <c r="Y35" i="20"/>
  <c r="X35" i="20"/>
  <c r="Z34" i="20"/>
  <c r="Y34" i="20"/>
  <c r="X34" i="20"/>
  <c r="Z33" i="20"/>
  <c r="Y33" i="20"/>
  <c r="X33" i="20"/>
  <c r="Z32" i="20"/>
  <c r="Y32" i="20"/>
  <c r="X32" i="20"/>
  <c r="Z31" i="20"/>
  <c r="Y31" i="20"/>
  <c r="X31" i="20"/>
  <c r="Z30" i="20"/>
  <c r="Y30" i="20"/>
  <c r="X30" i="20"/>
  <c r="Z29" i="20"/>
  <c r="Y29" i="20"/>
  <c r="X29" i="20"/>
  <c r="Z28" i="20"/>
  <c r="Y28" i="20"/>
  <c r="X28" i="20"/>
  <c r="Z27" i="20"/>
  <c r="Y27" i="20"/>
  <c r="X27" i="20"/>
  <c r="Z26" i="20"/>
  <c r="Y26" i="20"/>
  <c r="X26" i="20"/>
  <c r="Z25" i="20"/>
  <c r="Y25" i="20"/>
  <c r="X25" i="20"/>
  <c r="Z24" i="20"/>
  <c r="Y24" i="20"/>
  <c r="X24" i="20"/>
  <c r="Z23" i="20"/>
  <c r="Y23" i="20"/>
  <c r="X23" i="20"/>
  <c r="Z22" i="20"/>
  <c r="Y22" i="20"/>
  <c r="X22" i="20"/>
  <c r="Z20" i="20"/>
  <c r="Y20" i="20"/>
  <c r="X20" i="20"/>
  <c r="Z19" i="20"/>
  <c r="Y19" i="20"/>
  <c r="X19" i="20"/>
  <c r="Z18" i="20"/>
  <c r="Y18" i="20"/>
  <c r="X18" i="20"/>
  <c r="Z17" i="20"/>
  <c r="Y17" i="20"/>
  <c r="X17" i="20"/>
  <c r="Z16" i="20"/>
  <c r="Y16" i="20"/>
  <c r="X16" i="20"/>
  <c r="Z15" i="20"/>
  <c r="Y15" i="20"/>
  <c r="X15" i="20"/>
  <c r="Z14" i="20"/>
  <c r="Y14" i="20"/>
  <c r="X14" i="20"/>
  <c r="Z13" i="20"/>
  <c r="Y13" i="20"/>
  <c r="X13" i="20"/>
  <c r="Z12" i="20"/>
  <c r="Y12" i="20"/>
  <c r="X12" i="20"/>
  <c r="Z11" i="20"/>
  <c r="Y11" i="20"/>
  <c r="X11" i="20"/>
  <c r="Z10" i="20"/>
  <c r="Y10" i="20"/>
  <c r="X10" i="20"/>
  <c r="Z9" i="20"/>
  <c r="Y9" i="20"/>
  <c r="X9" i="20"/>
  <c r="Z8" i="20"/>
  <c r="Y8" i="20"/>
  <c r="X8" i="20"/>
  <c r="AC112" i="20"/>
  <c r="AB112" i="20"/>
  <c r="W112" i="20"/>
  <c r="O112" i="20" s="1"/>
  <c r="V112" i="20"/>
  <c r="U112" i="20"/>
  <c r="V111" i="20"/>
  <c r="U111" i="20"/>
  <c r="AC110" i="20"/>
  <c r="AB110" i="20"/>
  <c r="W110" i="20"/>
  <c r="V110" i="20"/>
  <c r="U110" i="20"/>
  <c r="AC109" i="20"/>
  <c r="AB109" i="20"/>
  <c r="W109" i="20"/>
  <c r="V109" i="20"/>
  <c r="U109" i="20"/>
  <c r="AC108" i="20"/>
  <c r="AB108" i="20"/>
  <c r="W108" i="20"/>
  <c r="O108" i="20" s="1"/>
  <c r="V108" i="20"/>
  <c r="U108" i="20"/>
  <c r="AC107" i="20"/>
  <c r="AB107" i="20"/>
  <c r="W107" i="20"/>
  <c r="V107" i="20"/>
  <c r="O107" i="20" s="1"/>
  <c r="U107" i="20"/>
  <c r="T107" i="20"/>
  <c r="AC106" i="20"/>
  <c r="AB106" i="20"/>
  <c r="W106" i="20"/>
  <c r="V106" i="20"/>
  <c r="O106" i="20" s="1"/>
  <c r="U106" i="20"/>
  <c r="T106" i="20"/>
  <c r="AC105" i="20"/>
  <c r="AB105" i="20"/>
  <c r="W105" i="20"/>
  <c r="V105" i="20"/>
  <c r="U105" i="20"/>
  <c r="T105" i="20"/>
  <c r="AC104" i="20"/>
  <c r="AB104" i="20"/>
  <c r="W104" i="20"/>
  <c r="V104" i="20"/>
  <c r="U104" i="20"/>
  <c r="T104" i="20"/>
  <c r="AC103" i="20"/>
  <c r="AB103" i="20"/>
  <c r="W103" i="20"/>
  <c r="V103" i="20"/>
  <c r="O103" i="20" s="1"/>
  <c r="U103" i="20"/>
  <c r="T103" i="20"/>
  <c r="AC102" i="20"/>
  <c r="AB102" i="20"/>
  <c r="W102" i="20"/>
  <c r="V102" i="20"/>
  <c r="U102" i="20"/>
  <c r="T102" i="20"/>
  <c r="AC101" i="20"/>
  <c r="AB101" i="20"/>
  <c r="W101" i="20"/>
  <c r="V101" i="20"/>
  <c r="U101" i="20"/>
  <c r="T101" i="20"/>
  <c r="AC100" i="20"/>
  <c r="AB100" i="20"/>
  <c r="W100" i="20"/>
  <c r="O100" i="20" s="1"/>
  <c r="V100" i="20"/>
  <c r="U100" i="20"/>
  <c r="T100" i="20"/>
  <c r="AC99" i="20"/>
  <c r="AB99" i="20"/>
  <c r="W99" i="20"/>
  <c r="V99" i="20"/>
  <c r="O99" i="20" s="1"/>
  <c r="U99" i="20"/>
  <c r="T99" i="20"/>
  <c r="AC98" i="20"/>
  <c r="AB98" i="20"/>
  <c r="W98" i="20"/>
  <c r="O98" i="20"/>
  <c r="V98" i="20"/>
  <c r="U98" i="20"/>
  <c r="T98" i="20"/>
  <c r="AC97" i="20"/>
  <c r="AB97" i="20"/>
  <c r="W97" i="20"/>
  <c r="V97" i="20"/>
  <c r="U97" i="20"/>
  <c r="T97" i="20"/>
  <c r="AC96" i="20"/>
  <c r="AB96" i="20"/>
  <c r="W96" i="20"/>
  <c r="V96" i="20"/>
  <c r="U96" i="20"/>
  <c r="T96" i="20"/>
  <c r="AC95" i="20"/>
  <c r="AB95" i="20"/>
  <c r="W95" i="20"/>
  <c r="V95" i="20"/>
  <c r="U95" i="20"/>
  <c r="T95" i="20"/>
  <c r="AC94" i="20"/>
  <c r="AB94" i="20"/>
  <c r="W94" i="20"/>
  <c r="V94" i="20"/>
  <c r="U94" i="20"/>
  <c r="T94" i="20"/>
  <c r="AC93" i="20"/>
  <c r="AB93" i="20"/>
  <c r="W93" i="20"/>
  <c r="V93" i="20"/>
  <c r="U93" i="20"/>
  <c r="T93" i="20"/>
  <c r="AC92" i="20"/>
  <c r="AB92" i="20"/>
  <c r="W92" i="20"/>
  <c r="O92" i="20" s="1"/>
  <c r="V92" i="20"/>
  <c r="U92" i="20"/>
  <c r="T92" i="20"/>
  <c r="AC91" i="20"/>
  <c r="AB91" i="20"/>
  <c r="W91" i="20"/>
  <c r="V91" i="20"/>
  <c r="U91" i="20"/>
  <c r="T91" i="20"/>
  <c r="AC90" i="20"/>
  <c r="AB90" i="20"/>
  <c r="W90" i="20"/>
  <c r="O90" i="20" s="1"/>
  <c r="V90" i="20"/>
  <c r="U90" i="20"/>
  <c r="T90" i="20"/>
  <c r="AC89" i="20"/>
  <c r="AB89" i="20"/>
  <c r="W89" i="20"/>
  <c r="V89" i="20"/>
  <c r="U89" i="20"/>
  <c r="T89" i="20"/>
  <c r="AC88" i="20"/>
  <c r="AB88" i="20"/>
  <c r="W88" i="20"/>
  <c r="V88" i="20"/>
  <c r="U88" i="20"/>
  <c r="T88" i="20"/>
  <c r="AC87" i="20"/>
  <c r="AB87" i="20"/>
  <c r="W87" i="20"/>
  <c r="V87" i="20"/>
  <c r="U87" i="20"/>
  <c r="T87" i="20"/>
  <c r="AC86" i="20"/>
  <c r="AB86" i="20"/>
  <c r="W86" i="20"/>
  <c r="O86" i="20" s="1"/>
  <c r="V86" i="20"/>
  <c r="U86" i="20"/>
  <c r="T86" i="20"/>
  <c r="AC85" i="20"/>
  <c r="AB85" i="20"/>
  <c r="W85" i="20"/>
  <c r="V85" i="20"/>
  <c r="U85" i="20"/>
  <c r="T85" i="20"/>
  <c r="AC84" i="20"/>
  <c r="AB84" i="20"/>
  <c r="W84" i="20"/>
  <c r="O84" i="20" s="1"/>
  <c r="V84" i="20"/>
  <c r="U84" i="20"/>
  <c r="T84" i="20"/>
  <c r="AC83" i="20"/>
  <c r="AB83" i="20"/>
  <c r="W83" i="20"/>
  <c r="O83" i="20" s="1"/>
  <c r="V83" i="20"/>
  <c r="U83" i="20"/>
  <c r="T83" i="20"/>
  <c r="AC82" i="20"/>
  <c r="AB82" i="20"/>
  <c r="W82" i="20"/>
  <c r="V82" i="20"/>
  <c r="U82" i="20"/>
  <c r="T82" i="20"/>
  <c r="AC81" i="20"/>
  <c r="AB81" i="20"/>
  <c r="W81" i="20"/>
  <c r="V81" i="20"/>
  <c r="U81" i="20"/>
  <c r="T81" i="20"/>
  <c r="AC80" i="20"/>
  <c r="AB80" i="20"/>
  <c r="W80" i="20"/>
  <c r="V80" i="20"/>
  <c r="U80" i="20"/>
  <c r="T80" i="20"/>
  <c r="AC79" i="20"/>
  <c r="AB79" i="20"/>
  <c r="W79" i="20"/>
  <c r="O79" i="20" s="1"/>
  <c r="V79" i="20"/>
  <c r="U79" i="20"/>
  <c r="T79" i="20"/>
  <c r="AC78" i="20"/>
  <c r="AB78" i="20"/>
  <c r="W78" i="20"/>
  <c r="O78" i="20" s="1"/>
  <c r="V78" i="20"/>
  <c r="U78" i="20"/>
  <c r="T78" i="20"/>
  <c r="AC77" i="20"/>
  <c r="AB77" i="20"/>
  <c r="W77" i="20"/>
  <c r="V77" i="20"/>
  <c r="U77" i="20"/>
  <c r="T77" i="20"/>
  <c r="AC76" i="20"/>
  <c r="AB76" i="20"/>
  <c r="W76" i="20"/>
  <c r="O76" i="20" s="1"/>
  <c r="V76" i="20"/>
  <c r="U76" i="20"/>
  <c r="T76" i="20"/>
  <c r="AC75" i="20"/>
  <c r="AB75" i="20"/>
  <c r="W75" i="20"/>
  <c r="V75" i="20"/>
  <c r="U75" i="20"/>
  <c r="T75" i="20"/>
  <c r="AC74" i="20"/>
  <c r="AB74" i="20"/>
  <c r="W74" i="20"/>
  <c r="O74" i="20" s="1"/>
  <c r="V74" i="20"/>
  <c r="U74" i="20"/>
  <c r="T74" i="20"/>
  <c r="AC73" i="20"/>
  <c r="AB73" i="20"/>
  <c r="W73" i="20"/>
  <c r="V73" i="20"/>
  <c r="U73" i="20"/>
  <c r="T73" i="20"/>
  <c r="AC72" i="20"/>
  <c r="AB72" i="20"/>
  <c r="W72" i="20"/>
  <c r="V72" i="20"/>
  <c r="U72" i="20"/>
  <c r="T72" i="20"/>
  <c r="AC71" i="20"/>
  <c r="AB71" i="20"/>
  <c r="W71" i="20"/>
  <c r="O71" i="20" s="1"/>
  <c r="V71" i="20"/>
  <c r="U71" i="20"/>
  <c r="T71" i="20"/>
  <c r="AC70" i="20"/>
  <c r="AB70" i="20"/>
  <c r="W70" i="20"/>
  <c r="O70" i="20" s="1"/>
  <c r="V70" i="20"/>
  <c r="U70" i="20"/>
  <c r="T70" i="20"/>
  <c r="AC69" i="20"/>
  <c r="AB69" i="20"/>
  <c r="W69" i="20"/>
  <c r="V69" i="20"/>
  <c r="U69" i="20"/>
  <c r="T69" i="20"/>
  <c r="AC68" i="20"/>
  <c r="AB68" i="20"/>
  <c r="W68" i="20"/>
  <c r="V68" i="20"/>
  <c r="U68" i="20"/>
  <c r="T68" i="20"/>
  <c r="AC67" i="20"/>
  <c r="AB67" i="20"/>
  <c r="W67" i="20"/>
  <c r="V67" i="20"/>
  <c r="U67" i="20"/>
  <c r="AC66" i="20"/>
  <c r="AB66" i="20"/>
  <c r="W66" i="20"/>
  <c r="V66" i="20"/>
  <c r="U66" i="20"/>
  <c r="T66" i="20"/>
  <c r="AC65" i="20"/>
  <c r="AB65" i="20"/>
  <c r="W65" i="20"/>
  <c r="O65" i="20" s="1"/>
  <c r="V65" i="20"/>
  <c r="U65" i="20"/>
  <c r="T65" i="20"/>
  <c r="AC64" i="20"/>
  <c r="AB64" i="20"/>
  <c r="W64" i="20"/>
  <c r="V64" i="20"/>
  <c r="U64" i="20"/>
  <c r="T64" i="20"/>
  <c r="AC63" i="20"/>
  <c r="AB63" i="20"/>
  <c r="W63" i="20"/>
  <c r="V63" i="20"/>
  <c r="U63" i="20"/>
  <c r="T63" i="20"/>
  <c r="AC62" i="20"/>
  <c r="AB62" i="20"/>
  <c r="W62" i="20"/>
  <c r="O62" i="20" s="1"/>
  <c r="V62" i="20"/>
  <c r="U62" i="20"/>
  <c r="T62" i="20"/>
  <c r="AC61" i="20"/>
  <c r="AB61" i="20"/>
  <c r="W61" i="20"/>
  <c r="V61" i="20"/>
  <c r="U61" i="20"/>
  <c r="T61" i="20"/>
  <c r="AC60" i="20"/>
  <c r="AB60" i="20"/>
  <c r="W60" i="20"/>
  <c r="V60" i="20"/>
  <c r="U60" i="20"/>
  <c r="T60" i="20"/>
  <c r="AC59" i="20"/>
  <c r="AB59" i="20"/>
  <c r="W59" i="20"/>
  <c r="O59" i="20" s="1"/>
  <c r="V59" i="20"/>
  <c r="U59" i="20"/>
  <c r="T59" i="20"/>
  <c r="AC58" i="20"/>
  <c r="AB58" i="20"/>
  <c r="W58" i="20"/>
  <c r="V58" i="20"/>
  <c r="U58" i="20"/>
  <c r="T58" i="20"/>
  <c r="AC57" i="20"/>
  <c r="AB57" i="20"/>
  <c r="W57" i="20"/>
  <c r="V57" i="20"/>
  <c r="U57" i="20"/>
  <c r="T57" i="20"/>
  <c r="AC56" i="20"/>
  <c r="AB56" i="20"/>
  <c r="W56" i="20"/>
  <c r="V56" i="20"/>
  <c r="U56" i="20"/>
  <c r="T56" i="20"/>
  <c r="AC55" i="20"/>
  <c r="AB55" i="20"/>
  <c r="W55" i="20"/>
  <c r="O55" i="20" s="1"/>
  <c r="V55" i="20"/>
  <c r="U55" i="20"/>
  <c r="T55" i="20"/>
  <c r="AC54" i="20"/>
  <c r="AB54" i="20"/>
  <c r="W54" i="20"/>
  <c r="V54" i="20"/>
  <c r="U54" i="20"/>
  <c r="T54" i="20"/>
  <c r="AC53" i="20"/>
  <c r="AB53" i="20"/>
  <c r="W53" i="20"/>
  <c r="V53" i="20"/>
  <c r="U53" i="20"/>
  <c r="T53" i="20"/>
  <c r="AC52" i="20"/>
  <c r="AB52" i="20"/>
  <c r="W52" i="20"/>
  <c r="O52" i="20" s="1"/>
  <c r="V52" i="20"/>
  <c r="U52" i="20"/>
  <c r="T52" i="20"/>
  <c r="AC51" i="20"/>
  <c r="AB51" i="20"/>
  <c r="W51" i="20"/>
  <c r="O51" i="20" s="1"/>
  <c r="V51" i="20"/>
  <c r="U51" i="20"/>
  <c r="T51" i="20"/>
  <c r="AC50" i="20"/>
  <c r="AB50" i="20"/>
  <c r="W50" i="20"/>
  <c r="O50" i="20" s="1"/>
  <c r="V50" i="20"/>
  <c r="U50" i="20"/>
  <c r="T50" i="20"/>
  <c r="AC49" i="20"/>
  <c r="AB49" i="20"/>
  <c r="W49" i="20"/>
  <c r="V49" i="20"/>
  <c r="U49" i="20"/>
  <c r="T49" i="20"/>
  <c r="AC48" i="20"/>
  <c r="AB48" i="20"/>
  <c r="W48" i="20"/>
  <c r="V48" i="20"/>
  <c r="U48" i="20"/>
  <c r="T48" i="20"/>
  <c r="AC47" i="20"/>
  <c r="AB47" i="20"/>
  <c r="W47" i="20"/>
  <c r="V47" i="20"/>
  <c r="U47" i="20"/>
  <c r="T47" i="20"/>
  <c r="AC46" i="20"/>
  <c r="AB46" i="20"/>
  <c r="W46" i="20"/>
  <c r="V46" i="20"/>
  <c r="U46" i="20"/>
  <c r="T46" i="20"/>
  <c r="AC45" i="20"/>
  <c r="AB45" i="20"/>
  <c r="W45" i="20"/>
  <c r="V45" i="20"/>
  <c r="U45" i="20"/>
  <c r="T45" i="20"/>
  <c r="AC44" i="20"/>
  <c r="AB44" i="20"/>
  <c r="W44" i="20"/>
  <c r="V44" i="20"/>
  <c r="U44" i="20"/>
  <c r="T44" i="20"/>
  <c r="AC43" i="20"/>
  <c r="AB43" i="20"/>
  <c r="W43" i="20"/>
  <c r="O43" i="20" s="1"/>
  <c r="V43" i="20"/>
  <c r="U43" i="20"/>
  <c r="T43" i="20"/>
  <c r="AC42" i="20"/>
  <c r="AB42" i="20"/>
  <c r="W42" i="20"/>
  <c r="V42" i="20"/>
  <c r="U42" i="20"/>
  <c r="T42" i="20"/>
  <c r="AC41" i="20"/>
  <c r="AB41" i="20"/>
  <c r="W41" i="20"/>
  <c r="O41" i="20" s="1"/>
  <c r="V41" i="20"/>
  <c r="U41" i="20"/>
  <c r="T41" i="20"/>
  <c r="AC40" i="20"/>
  <c r="AB40" i="20"/>
  <c r="W40" i="20"/>
  <c r="V40" i="20"/>
  <c r="U40" i="20"/>
  <c r="T40" i="20"/>
  <c r="AC39" i="20"/>
  <c r="AB39" i="20"/>
  <c r="W39" i="20"/>
  <c r="V39" i="20"/>
  <c r="U39" i="20"/>
  <c r="T39" i="20"/>
  <c r="AC38" i="20"/>
  <c r="AB38" i="20"/>
  <c r="W38" i="20"/>
  <c r="V38" i="20"/>
  <c r="U38" i="20"/>
  <c r="T38" i="20"/>
  <c r="AC37" i="20"/>
  <c r="AB37" i="20"/>
  <c r="W37" i="20"/>
  <c r="V37" i="20"/>
  <c r="U37" i="20"/>
  <c r="T37" i="20"/>
  <c r="AC36" i="20"/>
  <c r="AB36" i="20"/>
  <c r="W36" i="20"/>
  <c r="O36" i="20"/>
  <c r="V36" i="20"/>
  <c r="U36" i="20"/>
  <c r="T36" i="20"/>
  <c r="AC35" i="20"/>
  <c r="AB35" i="20"/>
  <c r="W35" i="20"/>
  <c r="V35" i="20"/>
  <c r="U35" i="20"/>
  <c r="T35" i="20"/>
  <c r="AC34" i="20"/>
  <c r="AB34" i="20"/>
  <c r="W34" i="20"/>
  <c r="V34" i="20"/>
  <c r="U34" i="20"/>
  <c r="T34" i="20"/>
  <c r="AC33" i="20"/>
  <c r="AB33" i="20"/>
  <c r="W33" i="20"/>
  <c r="O33" i="20" s="1"/>
  <c r="V33" i="20"/>
  <c r="U33" i="20"/>
  <c r="T33" i="20"/>
  <c r="AC32" i="20"/>
  <c r="AB32" i="20"/>
  <c r="W32" i="20"/>
  <c r="V32" i="20"/>
  <c r="U32" i="20"/>
  <c r="T32" i="20"/>
  <c r="AC31" i="20"/>
  <c r="AB31" i="20"/>
  <c r="W31" i="20"/>
  <c r="V31" i="20"/>
  <c r="U31" i="20"/>
  <c r="T31" i="20"/>
  <c r="AC30" i="20"/>
  <c r="AB30" i="20"/>
  <c r="W30" i="20"/>
  <c r="V30" i="20"/>
  <c r="U30" i="20"/>
  <c r="T30" i="20"/>
  <c r="AC29" i="20"/>
  <c r="AB29" i="20"/>
  <c r="W29" i="20"/>
  <c r="V29" i="20"/>
  <c r="U29" i="20"/>
  <c r="T29" i="20"/>
  <c r="AC28" i="20"/>
  <c r="AB28" i="20"/>
  <c r="W28" i="20"/>
  <c r="V28" i="20"/>
  <c r="U28" i="20"/>
  <c r="T28" i="20"/>
  <c r="AC27" i="20"/>
  <c r="AB27" i="20"/>
  <c r="W27" i="20"/>
  <c r="O27" i="20" s="1"/>
  <c r="V27" i="20"/>
  <c r="U27" i="20"/>
  <c r="T27" i="20"/>
  <c r="AC26" i="20"/>
  <c r="AB26" i="20"/>
  <c r="W26" i="20"/>
  <c r="O26" i="20" s="1"/>
  <c r="V26" i="20"/>
  <c r="U26" i="20"/>
  <c r="T26" i="20"/>
  <c r="AC25" i="20"/>
  <c r="AB25" i="20"/>
  <c r="W25" i="20"/>
  <c r="V25" i="20"/>
  <c r="U25" i="20"/>
  <c r="T25" i="20"/>
  <c r="AC24" i="20"/>
  <c r="AB24" i="20"/>
  <c r="W24" i="20"/>
  <c r="V24" i="20"/>
  <c r="U24" i="20"/>
  <c r="T24" i="20"/>
  <c r="AC23" i="20"/>
  <c r="AB23" i="20"/>
  <c r="W23" i="20"/>
  <c r="O23" i="20" s="1"/>
  <c r="V23" i="20"/>
  <c r="U23" i="20"/>
  <c r="T23" i="20"/>
  <c r="AC22" i="20"/>
  <c r="AB22" i="20"/>
  <c r="W22" i="20"/>
  <c r="O22" i="20" s="1"/>
  <c r="V22" i="20"/>
  <c r="U22" i="20"/>
  <c r="T22" i="20"/>
  <c r="V21" i="20"/>
  <c r="U21" i="20"/>
  <c r="AC20" i="20"/>
  <c r="AB20" i="20"/>
  <c r="W20" i="20"/>
  <c r="V20" i="20"/>
  <c r="U20" i="20"/>
  <c r="T20" i="20"/>
  <c r="AC19" i="20"/>
  <c r="AB19" i="20"/>
  <c r="W19" i="20"/>
  <c r="O19" i="20" s="1"/>
  <c r="V19" i="20"/>
  <c r="U19" i="20"/>
  <c r="T19" i="20"/>
  <c r="AC18" i="20"/>
  <c r="AB18" i="20"/>
  <c r="W18" i="20"/>
  <c r="V18" i="20"/>
  <c r="U18" i="20"/>
  <c r="T18" i="20"/>
  <c r="AC17" i="20"/>
  <c r="AB17" i="20"/>
  <c r="W17" i="20"/>
  <c r="V17" i="20"/>
  <c r="U17" i="20"/>
  <c r="T17" i="20"/>
  <c r="AC16" i="20"/>
  <c r="AB16" i="20"/>
  <c r="W16" i="20"/>
  <c r="V16" i="20"/>
  <c r="U16" i="20"/>
  <c r="T16" i="20"/>
  <c r="AC15" i="20"/>
  <c r="AB15" i="20"/>
  <c r="W15" i="20"/>
  <c r="V15" i="20"/>
  <c r="U15" i="20"/>
  <c r="AC14" i="20"/>
  <c r="AB14" i="20"/>
  <c r="W14" i="20"/>
  <c r="O14" i="20"/>
  <c r="V14" i="20"/>
  <c r="U14" i="20"/>
  <c r="T14" i="20"/>
  <c r="AC13" i="20"/>
  <c r="AB13" i="20"/>
  <c r="W13" i="20"/>
  <c r="V13" i="20"/>
  <c r="U13" i="20"/>
  <c r="T13" i="20"/>
  <c r="AC12" i="20"/>
  <c r="AB12" i="20"/>
  <c r="W12" i="20"/>
  <c r="V12" i="20"/>
  <c r="U12" i="20"/>
  <c r="T12" i="20"/>
  <c r="AC11" i="20"/>
  <c r="AB11" i="20"/>
  <c r="W11" i="20"/>
  <c r="V11" i="20"/>
  <c r="U11" i="20"/>
  <c r="AC10" i="20"/>
  <c r="AB10" i="20"/>
  <c r="W10" i="20"/>
  <c r="V10" i="20"/>
  <c r="U10" i="20"/>
  <c r="T10" i="20"/>
  <c r="AC9" i="20"/>
  <c r="AB9" i="20"/>
  <c r="W9" i="20"/>
  <c r="O9" i="20" s="1"/>
  <c r="V9" i="20"/>
  <c r="U9" i="20"/>
  <c r="T9" i="20"/>
  <c r="AC8" i="20"/>
  <c r="AB8" i="20"/>
  <c r="W8" i="20"/>
  <c r="V8" i="20"/>
  <c r="U8" i="20"/>
  <c r="T8" i="20"/>
  <c r="V7" i="20"/>
  <c r="S16" i="20"/>
  <c r="R16" i="20"/>
  <c r="Q16" i="20"/>
  <c r="P16" i="20"/>
  <c r="M16" i="20"/>
  <c r="K16" i="20"/>
  <c r="I16" i="20"/>
  <c r="A16" i="20"/>
  <c r="S15" i="20"/>
  <c r="R15" i="20"/>
  <c r="Q15" i="20"/>
  <c r="P15" i="20"/>
  <c r="M15" i="20"/>
  <c r="K15" i="20"/>
  <c r="I15" i="20"/>
  <c r="A15" i="20"/>
  <c r="S14" i="20"/>
  <c r="R14" i="20"/>
  <c r="Q14" i="20"/>
  <c r="P14" i="20"/>
  <c r="M14" i="20"/>
  <c r="K14" i="20"/>
  <c r="I14" i="20"/>
  <c r="A14" i="20"/>
  <c r="S13" i="20"/>
  <c r="R13" i="20"/>
  <c r="Q13" i="20"/>
  <c r="P13" i="20"/>
  <c r="M13" i="20"/>
  <c r="K13" i="20"/>
  <c r="I13" i="20"/>
  <c r="A13" i="20"/>
  <c r="S12" i="20"/>
  <c r="R12" i="20"/>
  <c r="Q12" i="20"/>
  <c r="P12" i="20"/>
  <c r="M12" i="20"/>
  <c r="K12" i="20"/>
  <c r="I12" i="20"/>
  <c r="A12" i="20"/>
  <c r="AC113" i="20"/>
  <c r="AB113" i="20"/>
  <c r="Y113" i="20"/>
  <c r="X113" i="20"/>
  <c r="W113" i="20"/>
  <c r="V113" i="20"/>
  <c r="U113" i="20"/>
  <c r="R112" i="20"/>
  <c r="Q112" i="20"/>
  <c r="P112" i="20"/>
  <c r="R110" i="20"/>
  <c r="Q110" i="20"/>
  <c r="P110" i="20"/>
  <c r="R109" i="20"/>
  <c r="Q109" i="20"/>
  <c r="P109" i="20"/>
  <c r="R108" i="20"/>
  <c r="Q108" i="20"/>
  <c r="P108" i="20"/>
  <c r="R107" i="20"/>
  <c r="Q107" i="20"/>
  <c r="P107" i="20"/>
  <c r="R106" i="20"/>
  <c r="Q106" i="20"/>
  <c r="P106" i="20"/>
  <c r="R105" i="20"/>
  <c r="Q105" i="20"/>
  <c r="P105" i="20"/>
  <c r="R104" i="20"/>
  <c r="Q104" i="20"/>
  <c r="P104" i="20"/>
  <c r="R103" i="20"/>
  <c r="Q103" i="20"/>
  <c r="P103" i="20"/>
  <c r="R102" i="20"/>
  <c r="Q102" i="20"/>
  <c r="P102" i="20"/>
  <c r="R101" i="20"/>
  <c r="Q101" i="20"/>
  <c r="P101" i="20"/>
  <c r="R100" i="20"/>
  <c r="Q100" i="20"/>
  <c r="P100" i="20"/>
  <c r="R99" i="20"/>
  <c r="Q99" i="20"/>
  <c r="P99" i="20"/>
  <c r="R98" i="20"/>
  <c r="Q98" i="20"/>
  <c r="P98" i="20"/>
  <c r="R97" i="20"/>
  <c r="Q97" i="20"/>
  <c r="P97" i="20"/>
  <c r="R96" i="20"/>
  <c r="Q96" i="20"/>
  <c r="P96" i="20"/>
  <c r="R95" i="20"/>
  <c r="Q95" i="20"/>
  <c r="P95" i="20"/>
  <c r="R94" i="20"/>
  <c r="Q94" i="20"/>
  <c r="P94" i="20"/>
  <c r="R93" i="20"/>
  <c r="Q93" i="20"/>
  <c r="P93" i="20"/>
  <c r="R92" i="20"/>
  <c r="Q92" i="20"/>
  <c r="P92" i="20"/>
  <c r="R91" i="20"/>
  <c r="Q91" i="20"/>
  <c r="P91" i="20"/>
  <c r="R90" i="20"/>
  <c r="Q90" i="20"/>
  <c r="P90" i="20"/>
  <c r="R89" i="20"/>
  <c r="Q89" i="20"/>
  <c r="P89" i="20"/>
  <c r="R88" i="20"/>
  <c r="Q88" i="20"/>
  <c r="P88" i="20"/>
  <c r="R87" i="20"/>
  <c r="Q87" i="20"/>
  <c r="P87" i="20"/>
  <c r="R86" i="20"/>
  <c r="Q86" i="20"/>
  <c r="P86" i="20"/>
  <c r="R85" i="20"/>
  <c r="Q85" i="20"/>
  <c r="P85" i="20"/>
  <c r="R84" i="20"/>
  <c r="Q84" i="20"/>
  <c r="P84" i="20"/>
  <c r="R83" i="20"/>
  <c r="Q83" i="20"/>
  <c r="P83" i="20"/>
  <c r="R82" i="20"/>
  <c r="Q82" i="20"/>
  <c r="P82" i="20"/>
  <c r="R81" i="20"/>
  <c r="Q81" i="20"/>
  <c r="P81" i="20"/>
  <c r="R80" i="20"/>
  <c r="Q80" i="20"/>
  <c r="P80" i="20"/>
  <c r="R79" i="20"/>
  <c r="Q79" i="20"/>
  <c r="P79" i="20"/>
  <c r="R78" i="20"/>
  <c r="Q78" i="20"/>
  <c r="P78" i="20"/>
  <c r="R77" i="20"/>
  <c r="Q77" i="20"/>
  <c r="P77" i="20"/>
  <c r="R76" i="20"/>
  <c r="Q76" i="20"/>
  <c r="P76" i="20"/>
  <c r="R75" i="20"/>
  <c r="Q75" i="20"/>
  <c r="P75" i="20"/>
  <c r="R74" i="20"/>
  <c r="Q74" i="20"/>
  <c r="P74" i="20"/>
  <c r="R73" i="20"/>
  <c r="Q73" i="20"/>
  <c r="P73" i="20"/>
  <c r="R72" i="20"/>
  <c r="Q72" i="20"/>
  <c r="P72" i="20"/>
  <c r="R71" i="20"/>
  <c r="Q71" i="20"/>
  <c r="P71" i="20"/>
  <c r="R70" i="20"/>
  <c r="Q70" i="20"/>
  <c r="P70" i="20"/>
  <c r="R69" i="20"/>
  <c r="Q69" i="20"/>
  <c r="P69" i="20"/>
  <c r="R68" i="20"/>
  <c r="Q68" i="20"/>
  <c r="P68" i="20"/>
  <c r="R67" i="20"/>
  <c r="Q67" i="20"/>
  <c r="P67" i="20"/>
  <c r="R66" i="20"/>
  <c r="Q66" i="20"/>
  <c r="P66" i="20"/>
  <c r="R65" i="20"/>
  <c r="Q65" i="20"/>
  <c r="P65" i="20"/>
  <c r="R64" i="20"/>
  <c r="Q64" i="20"/>
  <c r="P64" i="20"/>
  <c r="R63" i="20"/>
  <c r="Q63" i="20"/>
  <c r="P63" i="20"/>
  <c r="R62" i="20"/>
  <c r="Q62" i="20"/>
  <c r="P62" i="20"/>
  <c r="R61" i="20"/>
  <c r="Q61" i="20"/>
  <c r="P61" i="20"/>
  <c r="R60" i="20"/>
  <c r="Q60" i="20"/>
  <c r="P60" i="20"/>
  <c r="R59" i="20"/>
  <c r="Q59" i="20"/>
  <c r="P59" i="20"/>
  <c r="R58" i="20"/>
  <c r="Q58" i="20"/>
  <c r="P58" i="20"/>
  <c r="R57" i="20"/>
  <c r="Q57" i="20"/>
  <c r="P57" i="20"/>
  <c r="R56" i="20"/>
  <c r="Q56" i="20"/>
  <c r="P56" i="20"/>
  <c r="R55" i="20"/>
  <c r="Q55" i="20"/>
  <c r="P55" i="20"/>
  <c r="R54" i="20"/>
  <c r="Q54" i="20"/>
  <c r="P54" i="20"/>
  <c r="R53" i="20"/>
  <c r="Q53" i="20"/>
  <c r="P53" i="20"/>
  <c r="R52" i="20"/>
  <c r="Q52" i="20"/>
  <c r="P52" i="20"/>
  <c r="R51" i="20"/>
  <c r="Q51" i="20"/>
  <c r="P51" i="20"/>
  <c r="R50" i="20"/>
  <c r="Q50" i="20"/>
  <c r="P50" i="20"/>
  <c r="R49" i="20"/>
  <c r="Q49" i="20"/>
  <c r="P49" i="20"/>
  <c r="R48" i="20"/>
  <c r="Q48" i="20"/>
  <c r="P48" i="20"/>
  <c r="R47" i="20"/>
  <c r="Q47" i="20"/>
  <c r="P47" i="20"/>
  <c r="R46" i="20"/>
  <c r="Q46" i="20"/>
  <c r="P46" i="20"/>
  <c r="R45" i="20"/>
  <c r="Q45" i="20"/>
  <c r="P45" i="20"/>
  <c r="R44" i="20"/>
  <c r="Q44" i="20"/>
  <c r="P44" i="20"/>
  <c r="R43" i="20"/>
  <c r="Q43" i="20"/>
  <c r="P43" i="20"/>
  <c r="R42" i="20"/>
  <c r="Q42" i="20"/>
  <c r="P42" i="20"/>
  <c r="R41" i="20"/>
  <c r="Q41" i="20"/>
  <c r="P41" i="20"/>
  <c r="R40" i="20"/>
  <c r="Q40" i="20"/>
  <c r="P40" i="20"/>
  <c r="R39" i="20"/>
  <c r="Q39" i="20"/>
  <c r="P39" i="20"/>
  <c r="R38" i="20"/>
  <c r="Q38" i="20"/>
  <c r="P38" i="20"/>
  <c r="R37" i="20"/>
  <c r="Q37" i="20"/>
  <c r="P37" i="20"/>
  <c r="R36" i="20"/>
  <c r="Q36" i="20"/>
  <c r="P36" i="20"/>
  <c r="R35" i="20"/>
  <c r="Q35" i="20"/>
  <c r="P35" i="20"/>
  <c r="R34" i="20"/>
  <c r="Q34" i="20"/>
  <c r="P34" i="20"/>
  <c r="R33" i="20"/>
  <c r="Q33" i="20"/>
  <c r="P33" i="20"/>
  <c r="R32" i="20"/>
  <c r="Q32" i="20"/>
  <c r="P32" i="20"/>
  <c r="R31" i="20"/>
  <c r="Q31" i="20"/>
  <c r="P31" i="20"/>
  <c r="R30" i="20"/>
  <c r="Q30" i="20"/>
  <c r="P30" i="20"/>
  <c r="R29" i="20"/>
  <c r="Q29" i="20"/>
  <c r="P29" i="20"/>
  <c r="R28" i="20"/>
  <c r="Q28" i="20"/>
  <c r="P28" i="20"/>
  <c r="R27" i="20"/>
  <c r="Q27" i="20"/>
  <c r="P27" i="20"/>
  <c r="R26" i="20"/>
  <c r="Q26" i="20"/>
  <c r="P26" i="20"/>
  <c r="R25" i="20"/>
  <c r="Q25" i="20"/>
  <c r="P25" i="20"/>
  <c r="R24" i="20"/>
  <c r="Q24" i="20"/>
  <c r="P24" i="20"/>
  <c r="R23" i="20"/>
  <c r="Q23" i="20"/>
  <c r="P23" i="20"/>
  <c r="R22" i="20"/>
  <c r="Q22" i="20"/>
  <c r="P22" i="20"/>
  <c r="R20" i="20"/>
  <c r="Q20" i="20"/>
  <c r="P20" i="20"/>
  <c r="R19" i="20"/>
  <c r="Q19" i="20"/>
  <c r="P19" i="20"/>
  <c r="R18" i="20"/>
  <c r="Q18" i="20"/>
  <c r="P18" i="20"/>
  <c r="R17" i="20"/>
  <c r="Q17" i="20"/>
  <c r="P17" i="20"/>
  <c r="R11" i="20"/>
  <c r="Q11" i="20"/>
  <c r="P11" i="20"/>
  <c r="R10" i="20"/>
  <c r="Q10" i="20"/>
  <c r="P10" i="20"/>
  <c r="R9" i="20"/>
  <c r="Q9" i="20"/>
  <c r="P9" i="20"/>
  <c r="R8" i="20"/>
  <c r="Q8" i="20"/>
  <c r="P8" i="20"/>
  <c r="L12" i="13"/>
  <c r="L13" i="13" s="1"/>
  <c r="L14" i="13" s="1"/>
  <c r="L15" i="13" s="1"/>
  <c r="L16" i="13" s="1"/>
  <c r="L17" i="13" s="1"/>
  <c r="L18" i="13" s="1"/>
  <c r="L19" i="13" s="1"/>
  <c r="L21" i="13" s="1"/>
  <c r="L22" i="13" s="1"/>
  <c r="L23" i="13" s="1"/>
  <c r="L24" i="13" s="1"/>
  <c r="L25" i="13" s="1"/>
  <c r="L26" i="13" s="1"/>
  <c r="L27" i="13" s="1"/>
  <c r="L28" i="13" s="1"/>
  <c r="L29" i="13" s="1"/>
  <c r="L31" i="13" s="1"/>
  <c r="L32" i="13" s="1"/>
  <c r="L33" i="13" s="1"/>
  <c r="L34" i="13" s="1"/>
  <c r="L35" i="13" s="1"/>
  <c r="L36" i="13" s="1"/>
  <c r="L37" i="13" s="1"/>
  <c r="L38" i="13" s="1"/>
  <c r="L39" i="13" s="1"/>
  <c r="L41" i="13" s="1"/>
  <c r="L42" i="13" s="1"/>
  <c r="L43" i="13" s="1"/>
  <c r="L44" i="13" s="1"/>
  <c r="L45" i="13" s="1"/>
  <c r="L46" i="13" s="1"/>
  <c r="L47" i="13" s="1"/>
  <c r="L48" i="13" s="1"/>
  <c r="L49" i="13" s="1"/>
  <c r="L51" i="13" s="1"/>
  <c r="L52" i="13" s="1"/>
  <c r="L53" i="13" s="1"/>
  <c r="L54" i="13" s="1"/>
  <c r="L55" i="13" s="1"/>
  <c r="L56" i="13" s="1"/>
  <c r="L57" i="13" s="1"/>
  <c r="L58" i="13" s="1"/>
  <c r="L59" i="13" s="1"/>
  <c r="L61" i="13" s="1"/>
  <c r="L62" i="13" s="1"/>
  <c r="L63" i="13" s="1"/>
  <c r="L64" i="13" s="1"/>
  <c r="L65" i="13" s="1"/>
  <c r="L66" i="13" s="1"/>
  <c r="L67" i="13" s="1"/>
  <c r="L68" i="13" s="1"/>
  <c r="L69" i="13" s="1"/>
  <c r="L71" i="13" s="1"/>
  <c r="L72" i="13" s="1"/>
  <c r="L73" i="13" s="1"/>
  <c r="L74" i="13" s="1"/>
  <c r="L75" i="13" s="1"/>
  <c r="L76" i="13" s="1"/>
  <c r="L77" i="13" s="1"/>
  <c r="L78" i="13" s="1"/>
  <c r="L79" i="13" s="1"/>
  <c r="L81" i="13" s="1"/>
  <c r="L82" i="13" s="1"/>
  <c r="L83" i="13" s="1"/>
  <c r="L84" i="13" s="1"/>
  <c r="L85" i="13" s="1"/>
  <c r="L86" i="13" s="1"/>
  <c r="L87" i="13" s="1"/>
  <c r="L88" i="13" s="1"/>
  <c r="L89" i="13" s="1"/>
  <c r="L91" i="13" s="1"/>
  <c r="L92" i="13" s="1"/>
  <c r="L93" i="13" s="1"/>
  <c r="L94" i="13" s="1"/>
  <c r="L95" i="13" s="1"/>
  <c r="L96" i="13" s="1"/>
  <c r="L97" i="13" s="1"/>
  <c r="L98" i="13" s="1"/>
  <c r="L99" i="13" s="1"/>
  <c r="L102" i="13" s="1"/>
  <c r="L103" i="13" s="1"/>
  <c r="L104" i="13" s="1"/>
  <c r="L105" i="13" s="1"/>
  <c r="L106" i="13" s="1"/>
  <c r="L107" i="13" s="1"/>
  <c r="L108" i="13" s="1"/>
  <c r="L109" i="13" s="1"/>
  <c r="L110" i="13" s="1"/>
  <c r="L112" i="13" s="1"/>
  <c r="L113" i="13" s="1"/>
  <c r="L114" i="13" s="1"/>
  <c r="L115" i="13" s="1"/>
  <c r="L116" i="13" s="1"/>
  <c r="L117" i="13" s="1"/>
  <c r="L118" i="13" s="1"/>
  <c r="L119" i="13" s="1"/>
  <c r="L120" i="13" s="1"/>
  <c r="L122" i="13" s="1"/>
  <c r="L123" i="13" s="1"/>
  <c r="L124" i="13" s="1"/>
  <c r="L125" i="13" s="1"/>
  <c r="L126" i="13" s="1"/>
  <c r="L127" i="13" s="1"/>
  <c r="L128" i="13" s="1"/>
  <c r="L129" i="13" s="1"/>
  <c r="L130" i="13" s="1"/>
  <c r="L132" i="13" s="1"/>
  <c r="L133" i="13" s="1"/>
  <c r="L134" i="13" s="1"/>
  <c r="L135" i="13" s="1"/>
  <c r="L136" i="13" s="1"/>
  <c r="L137" i="13" s="1"/>
  <c r="L138" i="13" s="1"/>
  <c r="L139" i="13" s="1"/>
  <c r="L140" i="13" s="1"/>
  <c r="L142" i="13" s="1"/>
  <c r="L143" i="13" s="1"/>
  <c r="L144" i="13" s="1"/>
  <c r="L145" i="13" s="1"/>
  <c r="L146" i="13" s="1"/>
  <c r="L147" i="13" s="1"/>
  <c r="L148" i="13" s="1"/>
  <c r="L149" i="13" s="1"/>
  <c r="L150" i="13" s="1"/>
  <c r="L152" i="13" s="1"/>
  <c r="L153" i="13" s="1"/>
  <c r="L154" i="13" s="1"/>
  <c r="L155" i="13" s="1"/>
  <c r="L156" i="13" s="1"/>
  <c r="L157" i="13" s="1"/>
  <c r="L158" i="13" s="1"/>
  <c r="L159" i="13" s="1"/>
  <c r="L160" i="13" s="1"/>
  <c r="L162" i="13" s="1"/>
  <c r="L163" i="13" s="1"/>
  <c r="L164" i="13" s="1"/>
  <c r="L165" i="13" s="1"/>
  <c r="L166" i="13" s="1"/>
  <c r="L167" i="13" s="1"/>
  <c r="L168" i="13" s="1"/>
  <c r="L169" i="13" s="1"/>
  <c r="L170" i="13" s="1"/>
  <c r="L172" i="13" s="1"/>
  <c r="L173" i="13" s="1"/>
  <c r="L174" i="13" s="1"/>
  <c r="L175" i="13" s="1"/>
  <c r="L176" i="13" s="1"/>
  <c r="L177" i="13" s="1"/>
  <c r="L178" i="13" s="1"/>
  <c r="L179" i="13" s="1"/>
  <c r="L180" i="13" s="1"/>
  <c r="L182" i="13" s="1"/>
  <c r="L183" i="13" s="1"/>
  <c r="L184" i="13" s="1"/>
  <c r="L185" i="13" s="1"/>
  <c r="L186" i="13" s="1"/>
  <c r="L187" i="13" s="1"/>
  <c r="L188" i="13" s="1"/>
  <c r="L189" i="13" s="1"/>
  <c r="L190" i="13" s="1"/>
  <c r="L193" i="13" s="1"/>
  <c r="L194" i="13" s="1"/>
  <c r="L195" i="13" s="1"/>
  <c r="L196" i="13" s="1"/>
  <c r="L197" i="13" s="1"/>
  <c r="L198" i="13" s="1"/>
  <c r="L199" i="13" s="1"/>
  <c r="L200" i="13" s="1"/>
  <c r="L201" i="13" s="1"/>
  <c r="L203" i="13" s="1"/>
  <c r="L204" i="13" s="1"/>
  <c r="L205" i="13" s="1"/>
  <c r="L206" i="13" s="1"/>
  <c r="L207" i="13" s="1"/>
  <c r="L208" i="13" s="1"/>
  <c r="L209" i="13" s="1"/>
  <c r="L210" i="13" s="1"/>
  <c r="L211" i="13" s="1"/>
  <c r="L213" i="13" s="1"/>
  <c r="L214" i="13" s="1"/>
  <c r="L215" i="13" s="1"/>
  <c r="L216" i="13" s="1"/>
  <c r="L217" i="13" s="1"/>
  <c r="L218" i="13" s="1"/>
  <c r="L219" i="13" s="1"/>
  <c r="L220" i="13" s="1"/>
  <c r="L221" i="13" s="1"/>
  <c r="L223" i="13" s="1"/>
  <c r="L224" i="13" s="1"/>
  <c r="L225" i="13" s="1"/>
  <c r="L226" i="13" s="1"/>
  <c r="L227" i="13" s="1"/>
  <c r="L228" i="13" s="1"/>
  <c r="L229" i="13" s="1"/>
  <c r="L230" i="13" s="1"/>
  <c r="L231" i="13" s="1"/>
  <c r="L233" i="13" s="1"/>
  <c r="L234" i="13" s="1"/>
  <c r="L235" i="13" s="1"/>
  <c r="L236" i="13" s="1"/>
  <c r="L237" i="13" s="1"/>
  <c r="L238" i="13" s="1"/>
  <c r="L239" i="13" s="1"/>
  <c r="L240" i="13" s="1"/>
  <c r="L241" i="13" s="1"/>
  <c r="L243" i="13" s="1"/>
  <c r="L244" i="13" s="1"/>
  <c r="L245" i="13" s="1"/>
  <c r="L246" i="13" s="1"/>
  <c r="L247" i="13" s="1"/>
  <c r="L248" i="13" s="1"/>
  <c r="L249" i="13" s="1"/>
  <c r="L250" i="13" s="1"/>
  <c r="L251" i="13" s="1"/>
  <c r="L253" i="13" s="1"/>
  <c r="L254" i="13" s="1"/>
  <c r="L255" i="13" s="1"/>
  <c r="L256" i="13" s="1"/>
  <c r="L257" i="13" s="1"/>
  <c r="L258" i="13" s="1"/>
  <c r="L259" i="13" s="1"/>
  <c r="L260" i="13" s="1"/>
  <c r="L261" i="13" s="1"/>
  <c r="L263" i="13" s="1"/>
  <c r="L264" i="13" s="1"/>
  <c r="L265" i="13" s="1"/>
  <c r="L266" i="13" s="1"/>
  <c r="L267" i="13" s="1"/>
  <c r="L268" i="13" s="1"/>
  <c r="L269" i="13" s="1"/>
  <c r="L270" i="13" s="1"/>
  <c r="L271" i="13" s="1"/>
  <c r="L273" i="13" s="1"/>
  <c r="L274" i="13" s="1"/>
  <c r="L275" i="13" s="1"/>
  <c r="L276" i="13" s="1"/>
  <c r="L277" i="13" s="1"/>
  <c r="L278" i="13" s="1"/>
  <c r="L279" i="13" s="1"/>
  <c r="L280" i="13" s="1"/>
  <c r="L281" i="13" s="1"/>
  <c r="L284" i="13" s="1"/>
  <c r="L285" i="13" s="1"/>
  <c r="L286" i="13" s="1"/>
  <c r="L287" i="13" s="1"/>
  <c r="L288" i="13" s="1"/>
  <c r="L289" i="13" s="1"/>
  <c r="L290" i="13" s="1"/>
  <c r="L291" i="13" s="1"/>
  <c r="L292" i="13" s="1"/>
  <c r="L294" i="13" s="1"/>
  <c r="L295" i="13" s="1"/>
  <c r="L296" i="13" s="1"/>
  <c r="L297" i="13" s="1"/>
  <c r="L298" i="13" s="1"/>
  <c r="L299" i="13" s="1"/>
  <c r="L300" i="13" s="1"/>
  <c r="L301" i="13" s="1"/>
  <c r="L302" i="13" s="1"/>
  <c r="L304" i="13" s="1"/>
  <c r="L305" i="13" s="1"/>
  <c r="L306" i="13" s="1"/>
  <c r="L307" i="13" s="1"/>
  <c r="L308" i="13" s="1"/>
  <c r="L309" i="13" s="1"/>
  <c r="L310" i="13" s="1"/>
  <c r="L311" i="13" s="1"/>
  <c r="L312" i="13" s="1"/>
  <c r="L314" i="13" s="1"/>
  <c r="L315" i="13" s="1"/>
  <c r="L316" i="13" s="1"/>
  <c r="L317" i="13" s="1"/>
  <c r="L318" i="13" s="1"/>
  <c r="L319" i="13" s="1"/>
  <c r="L320" i="13" s="1"/>
  <c r="L321" i="13" s="1"/>
  <c r="L322" i="13" s="1"/>
  <c r="L324" i="13" s="1"/>
  <c r="L325" i="13" s="1"/>
  <c r="L326" i="13" s="1"/>
  <c r="L327" i="13" s="1"/>
  <c r="L328" i="13" s="1"/>
  <c r="L329" i="13" s="1"/>
  <c r="L330" i="13" s="1"/>
  <c r="L331" i="13" s="1"/>
  <c r="L332" i="13" s="1"/>
  <c r="L334" i="13" s="1"/>
  <c r="L335" i="13" s="1"/>
  <c r="L336" i="13" s="1"/>
  <c r="L337" i="13" s="1"/>
  <c r="L338" i="13" s="1"/>
  <c r="L339" i="13" s="1"/>
  <c r="L340" i="13" s="1"/>
  <c r="L341" i="13" s="1"/>
  <c r="L342" i="13" s="1"/>
  <c r="L344" i="13" s="1"/>
  <c r="L345" i="13" s="1"/>
  <c r="L346" i="13" s="1"/>
  <c r="L347" i="13" s="1"/>
  <c r="L348" i="13" s="1"/>
  <c r="L349" i="13" s="1"/>
  <c r="L350" i="13" s="1"/>
  <c r="L351" i="13" s="1"/>
  <c r="L352" i="13" s="1"/>
  <c r="L354" i="13" s="1"/>
  <c r="L355" i="13" s="1"/>
  <c r="L356" i="13" s="1"/>
  <c r="L357" i="13" s="1"/>
  <c r="L358" i="13" s="1"/>
  <c r="L359" i="13" s="1"/>
  <c r="L360" i="13" s="1"/>
  <c r="L361" i="13" s="1"/>
  <c r="L362" i="13" s="1"/>
  <c r="L364" i="13" s="1"/>
  <c r="L365" i="13" s="1"/>
  <c r="L366" i="13" s="1"/>
  <c r="L367" i="13" s="1"/>
  <c r="L368" i="13" s="1"/>
  <c r="L369" i="13" s="1"/>
  <c r="L370" i="13" s="1"/>
  <c r="L371" i="13" s="1"/>
  <c r="L372" i="13" s="1"/>
  <c r="L375" i="13" s="1"/>
  <c r="L376" i="13" s="1"/>
  <c r="L377" i="13" s="1"/>
  <c r="L378" i="13" s="1"/>
  <c r="L379" i="13" s="1"/>
  <c r="L380" i="13" s="1"/>
  <c r="L381" i="13" s="1"/>
  <c r="L382" i="13" s="1"/>
  <c r="L383" i="13" s="1"/>
  <c r="L385" i="13" s="1"/>
  <c r="L386" i="13" s="1"/>
  <c r="L387" i="13" s="1"/>
  <c r="L388" i="13" s="1"/>
  <c r="L389" i="13" s="1"/>
  <c r="L390" i="13" s="1"/>
  <c r="L391" i="13" s="1"/>
  <c r="L392" i="13" s="1"/>
  <c r="L393" i="13" s="1"/>
  <c r="L395" i="13" s="1"/>
  <c r="L396" i="13" s="1"/>
  <c r="L397" i="13" s="1"/>
  <c r="L398" i="13" s="1"/>
  <c r="L399" i="13" s="1"/>
  <c r="L400" i="13" s="1"/>
  <c r="L401" i="13" s="1"/>
  <c r="L402" i="13" s="1"/>
  <c r="L403" i="13" s="1"/>
  <c r="L405" i="13" s="1"/>
  <c r="L406" i="13" s="1"/>
  <c r="L407" i="13" s="1"/>
  <c r="L408" i="13" s="1"/>
  <c r="L409" i="13" s="1"/>
  <c r="L410" i="13" s="1"/>
  <c r="L411" i="13" s="1"/>
  <c r="L412" i="13" s="1"/>
  <c r="L413" i="13" s="1"/>
  <c r="L415" i="13" s="1"/>
  <c r="L416" i="13" s="1"/>
  <c r="L417" i="13" s="1"/>
  <c r="L418" i="13" s="1"/>
  <c r="L419" i="13" s="1"/>
  <c r="L420" i="13" s="1"/>
  <c r="L421" i="13" s="1"/>
  <c r="L422" i="13" s="1"/>
  <c r="L423" i="13" s="1"/>
  <c r="L425" i="13" s="1"/>
  <c r="L426" i="13" s="1"/>
  <c r="L427" i="13" s="1"/>
  <c r="L428" i="13" s="1"/>
  <c r="L429" i="13" s="1"/>
  <c r="L430" i="13" s="1"/>
  <c r="L431" i="13" s="1"/>
  <c r="L432" i="13" s="1"/>
  <c r="L433" i="13" s="1"/>
  <c r="L435" i="13" s="1"/>
  <c r="L436" i="13" s="1"/>
  <c r="L437" i="13" s="1"/>
  <c r="L438" i="13" s="1"/>
  <c r="L439" i="13" s="1"/>
  <c r="L440" i="13" s="1"/>
  <c r="L441" i="13" s="1"/>
  <c r="L442" i="13" s="1"/>
  <c r="L443" i="13" s="1"/>
  <c r="L445" i="13" s="1"/>
  <c r="L446" i="13" s="1"/>
  <c r="L447" i="13" s="1"/>
  <c r="L448" i="13" s="1"/>
  <c r="L449" i="13" s="1"/>
  <c r="L450" i="13" s="1"/>
  <c r="L451" i="13" s="1"/>
  <c r="L452" i="13" s="1"/>
  <c r="L453" i="13" s="1"/>
  <c r="L455" i="13" s="1"/>
  <c r="L456" i="13" s="1"/>
  <c r="L457" i="13" s="1"/>
  <c r="L458" i="13" s="1"/>
  <c r="L459" i="13" s="1"/>
  <c r="L460" i="13" s="1"/>
  <c r="L461" i="13" s="1"/>
  <c r="L462" i="13" s="1"/>
  <c r="L463" i="13" s="1"/>
  <c r="L466" i="13" s="1"/>
  <c r="L467" i="13" s="1"/>
  <c r="L468" i="13" s="1"/>
  <c r="L469" i="13" s="1"/>
  <c r="L470" i="13" s="1"/>
  <c r="L471" i="13" s="1"/>
  <c r="L472" i="13" s="1"/>
  <c r="L473" i="13" s="1"/>
  <c r="L474" i="13" s="1"/>
  <c r="L476" i="13" s="1"/>
  <c r="L477" i="13" s="1"/>
  <c r="L478" i="13" s="1"/>
  <c r="L479" i="13" s="1"/>
  <c r="L480" i="13" s="1"/>
  <c r="L481" i="13" s="1"/>
  <c r="L482" i="13" s="1"/>
  <c r="L483" i="13" s="1"/>
  <c r="L484" i="13" s="1"/>
  <c r="L486" i="13" s="1"/>
  <c r="L487" i="13" s="1"/>
  <c r="L488" i="13" s="1"/>
  <c r="L489" i="13" s="1"/>
  <c r="L490" i="13" s="1"/>
  <c r="L491" i="13" s="1"/>
  <c r="L492" i="13" s="1"/>
  <c r="L493" i="13" s="1"/>
  <c r="L494" i="13" s="1"/>
  <c r="L496" i="13" s="1"/>
  <c r="L497" i="13" s="1"/>
  <c r="L498" i="13" s="1"/>
  <c r="L499" i="13" s="1"/>
  <c r="L500" i="13" s="1"/>
  <c r="L501" i="13" s="1"/>
  <c r="L502" i="13" s="1"/>
  <c r="L503" i="13" s="1"/>
  <c r="L504" i="13" s="1"/>
  <c r="L506" i="13" s="1"/>
  <c r="L507" i="13" s="1"/>
  <c r="L508" i="13" s="1"/>
  <c r="L509" i="13" s="1"/>
  <c r="L510" i="13" s="1"/>
  <c r="L511" i="13" s="1"/>
  <c r="L512" i="13" s="1"/>
  <c r="L513" i="13" s="1"/>
  <c r="L514" i="13" s="1"/>
  <c r="L516" i="13" s="1"/>
  <c r="L517" i="13" s="1"/>
  <c r="L518" i="13" s="1"/>
  <c r="L519" i="13" s="1"/>
  <c r="L520" i="13" s="1"/>
  <c r="L521" i="13" s="1"/>
  <c r="L522" i="13" s="1"/>
  <c r="L523" i="13" s="1"/>
  <c r="L524" i="13" s="1"/>
  <c r="L526" i="13" s="1"/>
  <c r="L527" i="13" s="1"/>
  <c r="L528" i="13" s="1"/>
  <c r="L529" i="13" s="1"/>
  <c r="L530" i="13" s="1"/>
  <c r="L531" i="13" s="1"/>
  <c r="L532" i="13" s="1"/>
  <c r="L533" i="13" s="1"/>
  <c r="L534" i="13" s="1"/>
  <c r="L536" i="13" s="1"/>
  <c r="L537" i="13" s="1"/>
  <c r="L538" i="13" s="1"/>
  <c r="L539" i="13" s="1"/>
  <c r="L540" i="13" s="1"/>
  <c r="L541" i="13" s="1"/>
  <c r="L542" i="13" s="1"/>
  <c r="L543" i="13" s="1"/>
  <c r="L544" i="13" s="1"/>
  <c r="L546" i="13" s="1"/>
  <c r="L547" i="13" s="1"/>
  <c r="L548" i="13" s="1"/>
  <c r="L549" i="13" s="1"/>
  <c r="L550" i="13" s="1"/>
  <c r="L551" i="13" s="1"/>
  <c r="L552" i="13" s="1"/>
  <c r="L553" i="13" s="1"/>
  <c r="L554" i="13" s="1"/>
  <c r="L557" i="13" s="1"/>
  <c r="L558" i="13" s="1"/>
  <c r="L559" i="13" s="1"/>
  <c r="L560" i="13" s="1"/>
  <c r="L561" i="13" s="1"/>
  <c r="L562" i="13" s="1"/>
  <c r="L563" i="13" s="1"/>
  <c r="L564" i="13" s="1"/>
  <c r="L565" i="13" s="1"/>
  <c r="L567" i="13" s="1"/>
  <c r="L568" i="13" s="1"/>
  <c r="L569" i="13" s="1"/>
  <c r="L570" i="13" s="1"/>
  <c r="L571" i="13" s="1"/>
  <c r="L572" i="13" s="1"/>
  <c r="L573" i="13" s="1"/>
  <c r="L574" i="13" s="1"/>
  <c r="L575" i="13" s="1"/>
  <c r="L577" i="13" s="1"/>
  <c r="L578" i="13" s="1"/>
  <c r="L579" i="13" s="1"/>
  <c r="L580" i="13" s="1"/>
  <c r="L581" i="13" s="1"/>
  <c r="L582" i="13" s="1"/>
  <c r="L583" i="13" s="1"/>
  <c r="L584" i="13" s="1"/>
  <c r="L585" i="13" s="1"/>
  <c r="L587" i="13" s="1"/>
  <c r="L588" i="13" s="1"/>
  <c r="L589" i="13" s="1"/>
  <c r="L590" i="13" s="1"/>
  <c r="L591" i="13" s="1"/>
  <c r="L592" i="13" s="1"/>
  <c r="L593" i="13" s="1"/>
  <c r="L594" i="13" s="1"/>
  <c r="L595" i="13" s="1"/>
  <c r="L597" i="13" s="1"/>
  <c r="L598" i="13" s="1"/>
  <c r="L599" i="13" s="1"/>
  <c r="L600" i="13" s="1"/>
  <c r="L601" i="13" s="1"/>
  <c r="L602" i="13" s="1"/>
  <c r="L603" i="13" s="1"/>
  <c r="L604" i="13" s="1"/>
  <c r="L605" i="13" s="1"/>
  <c r="L607" i="13" s="1"/>
  <c r="L608" i="13" s="1"/>
  <c r="L609" i="13" s="1"/>
  <c r="L610" i="13" s="1"/>
  <c r="L611" i="13" s="1"/>
  <c r="L612" i="13" s="1"/>
  <c r="L613" i="13" s="1"/>
  <c r="L614" i="13" s="1"/>
  <c r="L615" i="13" s="1"/>
  <c r="L617" i="13" s="1"/>
  <c r="L618" i="13" s="1"/>
  <c r="L619" i="13" s="1"/>
  <c r="L620" i="13" s="1"/>
  <c r="L621" i="13" s="1"/>
  <c r="L622" i="13" s="1"/>
  <c r="L623" i="13" s="1"/>
  <c r="L624" i="13" s="1"/>
  <c r="L625" i="13" s="1"/>
  <c r="L627" i="13" s="1"/>
  <c r="L628" i="13" s="1"/>
  <c r="L629" i="13" s="1"/>
  <c r="L630" i="13" s="1"/>
  <c r="L631" i="13" s="1"/>
  <c r="L632" i="13" s="1"/>
  <c r="L633" i="13" s="1"/>
  <c r="L634" i="13" s="1"/>
  <c r="L635" i="13" s="1"/>
  <c r="L637" i="13" s="1"/>
  <c r="L638" i="13" s="1"/>
  <c r="L639" i="13" s="1"/>
  <c r="L640" i="13" s="1"/>
  <c r="L641" i="13" s="1"/>
  <c r="L642" i="13" s="1"/>
  <c r="L643" i="13" s="1"/>
  <c r="L644" i="13" s="1"/>
  <c r="L645" i="13" s="1"/>
  <c r="L648" i="13" s="1"/>
  <c r="L649" i="13" s="1"/>
  <c r="L650" i="13" s="1"/>
  <c r="L651" i="13" s="1"/>
  <c r="L652" i="13" s="1"/>
  <c r="L653" i="13" s="1"/>
  <c r="L654" i="13" s="1"/>
  <c r="L655" i="13" s="1"/>
  <c r="L656" i="13" s="1"/>
  <c r="L658" i="13" s="1"/>
  <c r="L659" i="13" s="1"/>
  <c r="L660" i="13" s="1"/>
  <c r="L661" i="13" s="1"/>
  <c r="L662" i="13" s="1"/>
  <c r="L663" i="13" s="1"/>
  <c r="L664" i="13" s="1"/>
  <c r="L665" i="13" s="1"/>
  <c r="L666" i="13" s="1"/>
  <c r="L668" i="13" s="1"/>
  <c r="L669" i="13" s="1"/>
  <c r="L670" i="13" s="1"/>
  <c r="L671" i="13" s="1"/>
  <c r="L672" i="13" s="1"/>
  <c r="L673" i="13" s="1"/>
  <c r="L674" i="13" s="1"/>
  <c r="L675" i="13" s="1"/>
  <c r="L676" i="13" s="1"/>
  <c r="L678" i="13" s="1"/>
  <c r="L679" i="13" s="1"/>
  <c r="L680" i="13" s="1"/>
  <c r="L681" i="13" s="1"/>
  <c r="L682" i="13" s="1"/>
  <c r="L683" i="13" s="1"/>
  <c r="L684" i="13" s="1"/>
  <c r="L685" i="13" s="1"/>
  <c r="L686" i="13" s="1"/>
  <c r="L688" i="13" s="1"/>
  <c r="L689" i="13" s="1"/>
  <c r="L690" i="13" s="1"/>
  <c r="L691" i="13" s="1"/>
  <c r="L692" i="13" s="1"/>
  <c r="L693" i="13" s="1"/>
  <c r="L694" i="13" s="1"/>
  <c r="L695" i="13" s="1"/>
  <c r="L696" i="13" s="1"/>
  <c r="L698" i="13" s="1"/>
  <c r="L699" i="13" s="1"/>
  <c r="L700" i="13" s="1"/>
  <c r="L701" i="13" s="1"/>
  <c r="L702" i="13" s="1"/>
  <c r="L703" i="13" s="1"/>
  <c r="L704" i="13" s="1"/>
  <c r="L705" i="13" s="1"/>
  <c r="L706" i="13" s="1"/>
  <c r="L708" i="13" s="1"/>
  <c r="L709" i="13" s="1"/>
  <c r="L710" i="13" s="1"/>
  <c r="L711" i="13" s="1"/>
  <c r="L712" i="13" s="1"/>
  <c r="L713" i="13" s="1"/>
  <c r="L714" i="13" s="1"/>
  <c r="L715" i="13" s="1"/>
  <c r="L716" i="13" s="1"/>
  <c r="L718" i="13" s="1"/>
  <c r="L719" i="13" s="1"/>
  <c r="L720" i="13" s="1"/>
  <c r="L721" i="13" s="1"/>
  <c r="L722" i="13" s="1"/>
  <c r="L723" i="13" s="1"/>
  <c r="L724" i="13" s="1"/>
  <c r="L725" i="13" s="1"/>
  <c r="L726" i="13" s="1"/>
  <c r="L728" i="13" s="1"/>
  <c r="L729" i="13" s="1"/>
  <c r="L730" i="13" s="1"/>
  <c r="L731" i="13" s="1"/>
  <c r="L732" i="13" s="1"/>
  <c r="L733" i="13" s="1"/>
  <c r="L734" i="13" s="1"/>
  <c r="L735" i="13" s="1"/>
  <c r="L736" i="13" s="1"/>
  <c r="L739" i="13" s="1"/>
  <c r="L740" i="13" s="1"/>
  <c r="L741" i="13" s="1"/>
  <c r="L742" i="13" s="1"/>
  <c r="L743" i="13" s="1"/>
  <c r="L744" i="13" s="1"/>
  <c r="L745" i="13" s="1"/>
  <c r="L746" i="13" s="1"/>
  <c r="L747" i="13" s="1"/>
  <c r="L749" i="13" s="1"/>
  <c r="L750" i="13" s="1"/>
  <c r="L751" i="13" s="1"/>
  <c r="L752" i="13" s="1"/>
  <c r="L753" i="13" s="1"/>
  <c r="L754" i="13" s="1"/>
  <c r="L755" i="13" s="1"/>
  <c r="L756" i="13" s="1"/>
  <c r="L757" i="13" s="1"/>
  <c r="L759" i="13" s="1"/>
  <c r="L760" i="13" s="1"/>
  <c r="L761" i="13" s="1"/>
  <c r="L762" i="13" s="1"/>
  <c r="L763" i="13" s="1"/>
  <c r="L764" i="13" s="1"/>
  <c r="L765" i="13" s="1"/>
  <c r="L766" i="13" s="1"/>
  <c r="L767" i="13" s="1"/>
  <c r="L769" i="13" s="1"/>
  <c r="L770" i="13" s="1"/>
  <c r="L771" i="13" s="1"/>
  <c r="L772" i="13" s="1"/>
  <c r="L773" i="13" s="1"/>
  <c r="L774" i="13" s="1"/>
  <c r="L775" i="13" s="1"/>
  <c r="L776" i="13" s="1"/>
  <c r="L777" i="13" s="1"/>
  <c r="L779" i="13" s="1"/>
  <c r="L780" i="13" s="1"/>
  <c r="L781" i="13" s="1"/>
  <c r="L782" i="13" s="1"/>
  <c r="L783" i="13" s="1"/>
  <c r="L784" i="13" s="1"/>
  <c r="L785" i="13" s="1"/>
  <c r="L786" i="13" s="1"/>
  <c r="L787" i="13" s="1"/>
  <c r="L789" i="13" s="1"/>
  <c r="L790" i="13" s="1"/>
  <c r="L791" i="13" s="1"/>
  <c r="L792" i="13" s="1"/>
  <c r="L793" i="13" s="1"/>
  <c r="L794" i="13" s="1"/>
  <c r="L795" i="13" s="1"/>
  <c r="L796" i="13" s="1"/>
  <c r="L797" i="13" s="1"/>
  <c r="L799" i="13" s="1"/>
  <c r="L800" i="13" s="1"/>
  <c r="L801" i="13" s="1"/>
  <c r="L802" i="13" s="1"/>
  <c r="L803" i="13" s="1"/>
  <c r="L804" i="13" s="1"/>
  <c r="L805" i="13" s="1"/>
  <c r="L806" i="13" s="1"/>
  <c r="L807" i="13" s="1"/>
  <c r="L809" i="13" s="1"/>
  <c r="L810" i="13" s="1"/>
  <c r="L811" i="13" s="1"/>
  <c r="L812" i="13" s="1"/>
  <c r="L813" i="13" s="1"/>
  <c r="L814" i="13" s="1"/>
  <c r="L815" i="13" s="1"/>
  <c r="L816" i="13" s="1"/>
  <c r="L817" i="13" s="1"/>
  <c r="L819" i="13" s="1"/>
  <c r="L820" i="13" s="1"/>
  <c r="L821" i="13" s="1"/>
  <c r="L822" i="13" s="1"/>
  <c r="L823" i="13" s="1"/>
  <c r="L824" i="13" s="1"/>
  <c r="L825" i="13" s="1"/>
  <c r="L826" i="13" s="1"/>
  <c r="L827" i="13" s="1"/>
  <c r="A12" i="13"/>
  <c r="A13" i="13"/>
  <c r="A14" i="13" s="1"/>
  <c r="A15" i="13" s="1"/>
  <c r="A16" i="13" s="1"/>
  <c r="A17" i="13" s="1"/>
  <c r="A18" i="13" s="1"/>
  <c r="A19" i="13" s="1"/>
  <c r="A21" i="13" s="1"/>
  <c r="A22" i="13" s="1"/>
  <c r="A23" i="13" s="1"/>
  <c r="A24" i="13" s="1"/>
  <c r="A25" i="13" s="1"/>
  <c r="A26" i="13" s="1"/>
  <c r="A27" i="13" s="1"/>
  <c r="A28" i="13" s="1"/>
  <c r="A29" i="13" s="1"/>
  <c r="A31" i="13" s="1"/>
  <c r="A32" i="13" s="1"/>
  <c r="A33" i="13" s="1"/>
  <c r="A34" i="13" s="1"/>
  <c r="A35" i="13" s="1"/>
  <c r="A36" i="13" s="1"/>
  <c r="A37" i="13" s="1"/>
  <c r="A38" i="13" s="1"/>
  <c r="A39" i="13" s="1"/>
  <c r="A41" i="13" s="1"/>
  <c r="A42" i="13" s="1"/>
  <c r="A43" i="13" s="1"/>
  <c r="A44" i="13" s="1"/>
  <c r="A45" i="13" s="1"/>
  <c r="A46" i="13" s="1"/>
  <c r="A47" i="13" s="1"/>
  <c r="A48" i="13" s="1"/>
  <c r="A49" i="13" s="1"/>
  <c r="A51" i="13" s="1"/>
  <c r="A52" i="13" s="1"/>
  <c r="A53" i="13" s="1"/>
  <c r="A54" i="13" s="1"/>
  <c r="A55" i="13" s="1"/>
  <c r="A56" i="13" s="1"/>
  <c r="A57" i="13" s="1"/>
  <c r="A58" i="13" s="1"/>
  <c r="A59" i="13" s="1"/>
  <c r="A61" i="13" s="1"/>
  <c r="A62" i="13" s="1"/>
  <c r="A63" i="13" s="1"/>
  <c r="A64" i="13" s="1"/>
  <c r="A65" i="13" s="1"/>
  <c r="A66" i="13" s="1"/>
  <c r="A67" i="13" s="1"/>
  <c r="A68" i="13" s="1"/>
  <c r="A69" i="13" s="1"/>
  <c r="A71" i="13" s="1"/>
  <c r="A72" i="13" s="1"/>
  <c r="A73" i="13" s="1"/>
  <c r="A74" i="13" s="1"/>
  <c r="A75" i="13" s="1"/>
  <c r="A76" i="13" s="1"/>
  <c r="A77" i="13" s="1"/>
  <c r="A78" i="13" s="1"/>
  <c r="A79" i="13" s="1"/>
  <c r="A81" i="13" s="1"/>
  <c r="A82" i="13" s="1"/>
  <c r="A83" i="13" s="1"/>
  <c r="A84" i="13" s="1"/>
  <c r="A85" i="13" s="1"/>
  <c r="A86" i="13" s="1"/>
  <c r="A87" i="13" s="1"/>
  <c r="A88" i="13" s="1"/>
  <c r="A89" i="13" s="1"/>
  <c r="A91" i="13" s="1"/>
  <c r="A92" i="13" s="1"/>
  <c r="A93" i="13" s="1"/>
  <c r="A94" i="13" s="1"/>
  <c r="A95" i="13" s="1"/>
  <c r="A96" i="13" s="1"/>
  <c r="A97" i="13" s="1"/>
  <c r="A98" i="13" s="1"/>
  <c r="A99" i="13" s="1"/>
  <c r="A102" i="13" s="1"/>
  <c r="A103" i="13" s="1"/>
  <c r="A104" i="13" s="1"/>
  <c r="A105" i="13" s="1"/>
  <c r="A106" i="13" s="1"/>
  <c r="A107" i="13" s="1"/>
  <c r="A108" i="13" s="1"/>
  <c r="A109" i="13" s="1"/>
  <c r="A110" i="13" s="1"/>
  <c r="A112" i="13" s="1"/>
  <c r="A113" i="13" s="1"/>
  <c r="A114" i="13" s="1"/>
  <c r="A115" i="13" s="1"/>
  <c r="A116" i="13" s="1"/>
  <c r="A117" i="13" s="1"/>
  <c r="A118" i="13" s="1"/>
  <c r="A119" i="13" s="1"/>
  <c r="A120" i="13" s="1"/>
  <c r="A122" i="13" s="1"/>
  <c r="A123" i="13" s="1"/>
  <c r="A124" i="13" s="1"/>
  <c r="A125" i="13" s="1"/>
  <c r="A126" i="13" s="1"/>
  <c r="A127" i="13" s="1"/>
  <c r="A128" i="13" s="1"/>
  <c r="A129" i="13" s="1"/>
  <c r="A130" i="13" s="1"/>
  <c r="A132" i="13" s="1"/>
  <c r="A133" i="13" s="1"/>
  <c r="A134" i="13" s="1"/>
  <c r="A135" i="13" s="1"/>
  <c r="A136" i="13" s="1"/>
  <c r="A137" i="13" s="1"/>
  <c r="A138" i="13" s="1"/>
  <c r="A139" i="13" s="1"/>
  <c r="A140" i="13" s="1"/>
  <c r="A142" i="13" s="1"/>
  <c r="A143" i="13" s="1"/>
  <c r="A144" i="13" s="1"/>
  <c r="A145" i="13" s="1"/>
  <c r="A146" i="13" s="1"/>
  <c r="A147" i="13" s="1"/>
  <c r="A148" i="13" s="1"/>
  <c r="A149" i="13" s="1"/>
  <c r="A150" i="13" s="1"/>
  <c r="A152" i="13" s="1"/>
  <c r="A153" i="13" s="1"/>
  <c r="A154" i="13" s="1"/>
  <c r="A155" i="13" s="1"/>
  <c r="A156" i="13" s="1"/>
  <c r="A157" i="13" s="1"/>
  <c r="A158" i="13" s="1"/>
  <c r="A159" i="13" s="1"/>
  <c r="A160" i="13" s="1"/>
  <c r="A162" i="13" s="1"/>
  <c r="A163" i="13" s="1"/>
  <c r="A164" i="13" s="1"/>
  <c r="A165" i="13" s="1"/>
  <c r="A166" i="13" s="1"/>
  <c r="A167" i="13" s="1"/>
  <c r="A168" i="13" s="1"/>
  <c r="A169" i="13" s="1"/>
  <c r="A170" i="13" s="1"/>
  <c r="A172" i="13" s="1"/>
  <c r="A173" i="13" s="1"/>
  <c r="A174" i="13" s="1"/>
  <c r="A175" i="13" s="1"/>
  <c r="A176" i="13" s="1"/>
  <c r="A177" i="13" s="1"/>
  <c r="A178" i="13" s="1"/>
  <c r="A179" i="13" s="1"/>
  <c r="A180" i="13" s="1"/>
  <c r="A182" i="13" s="1"/>
  <c r="A183" i="13" s="1"/>
  <c r="A184" i="13" s="1"/>
  <c r="A185" i="13" s="1"/>
  <c r="A186" i="13" s="1"/>
  <c r="A187" i="13" s="1"/>
  <c r="A188" i="13" s="1"/>
  <c r="A189" i="13" s="1"/>
  <c r="A190" i="13" s="1"/>
  <c r="A193" i="13" s="1"/>
  <c r="A194" i="13" s="1"/>
  <c r="A195" i="13" s="1"/>
  <c r="A196" i="13" s="1"/>
  <c r="A197" i="13" s="1"/>
  <c r="A198" i="13" s="1"/>
  <c r="A199" i="13" s="1"/>
  <c r="A200" i="13" s="1"/>
  <c r="A201" i="13" s="1"/>
  <c r="A203" i="13" s="1"/>
  <c r="A204" i="13" s="1"/>
  <c r="A205" i="13" s="1"/>
  <c r="A206" i="13" s="1"/>
  <c r="A207" i="13" s="1"/>
  <c r="A208" i="13" s="1"/>
  <c r="A209" i="13" s="1"/>
  <c r="A210" i="13" s="1"/>
  <c r="A211" i="13" s="1"/>
  <c r="A213" i="13" s="1"/>
  <c r="A214" i="13" s="1"/>
  <c r="A215" i="13" s="1"/>
  <c r="A216" i="13" s="1"/>
  <c r="A217" i="13" s="1"/>
  <c r="A218" i="13" s="1"/>
  <c r="A219" i="13" s="1"/>
  <c r="A220" i="13" s="1"/>
  <c r="A221" i="13" s="1"/>
  <c r="A223" i="13" s="1"/>
  <c r="A224" i="13" s="1"/>
  <c r="A225" i="13" s="1"/>
  <c r="A226" i="13" s="1"/>
  <c r="A227" i="13" s="1"/>
  <c r="A228" i="13" s="1"/>
  <c r="A229" i="13" s="1"/>
  <c r="A230" i="13" s="1"/>
  <c r="A231" i="13" s="1"/>
  <c r="A233" i="13" s="1"/>
  <c r="A234" i="13" s="1"/>
  <c r="A235" i="13" s="1"/>
  <c r="A236" i="13" s="1"/>
  <c r="A237" i="13" s="1"/>
  <c r="A238" i="13" s="1"/>
  <c r="A239" i="13" s="1"/>
  <c r="A240" i="13" s="1"/>
  <c r="A241" i="13" s="1"/>
  <c r="A243" i="13" s="1"/>
  <c r="A244" i="13" s="1"/>
  <c r="A245" i="13" s="1"/>
  <c r="A246" i="13" s="1"/>
  <c r="A247" i="13" s="1"/>
  <c r="A248" i="13" s="1"/>
  <c r="A249" i="13" s="1"/>
  <c r="A250" i="13" s="1"/>
  <c r="A251" i="13" s="1"/>
  <c r="A253" i="13" s="1"/>
  <c r="A254" i="13" s="1"/>
  <c r="A255" i="13" s="1"/>
  <c r="A256" i="13" s="1"/>
  <c r="A257" i="13" s="1"/>
  <c r="A258" i="13" s="1"/>
  <c r="A259" i="13" s="1"/>
  <c r="A260" i="13" s="1"/>
  <c r="A261" i="13" s="1"/>
  <c r="A263" i="13" s="1"/>
  <c r="A264" i="13" s="1"/>
  <c r="A265" i="13" s="1"/>
  <c r="A266" i="13" s="1"/>
  <c r="A267" i="13" s="1"/>
  <c r="A268" i="13" s="1"/>
  <c r="A269" i="13" s="1"/>
  <c r="A270" i="13" s="1"/>
  <c r="A271" i="13" s="1"/>
  <c r="A273" i="13" s="1"/>
  <c r="A274" i="13" s="1"/>
  <c r="A275" i="13" s="1"/>
  <c r="A276" i="13" s="1"/>
  <c r="A277" i="13" s="1"/>
  <c r="A278" i="13" s="1"/>
  <c r="A279" i="13" s="1"/>
  <c r="A280" i="13" s="1"/>
  <c r="A281" i="13" s="1"/>
  <c r="A284" i="13" s="1"/>
  <c r="A285" i="13" s="1"/>
  <c r="A286" i="13" s="1"/>
  <c r="A287" i="13" s="1"/>
  <c r="A288" i="13" s="1"/>
  <c r="A289" i="13" s="1"/>
  <c r="A290" i="13" s="1"/>
  <c r="A291" i="13" s="1"/>
  <c r="A292" i="13" s="1"/>
  <c r="A294" i="13" s="1"/>
  <c r="A295" i="13" s="1"/>
  <c r="A296" i="13" s="1"/>
  <c r="A297" i="13" s="1"/>
  <c r="A298" i="13" s="1"/>
  <c r="A299" i="13" s="1"/>
  <c r="A300" i="13" s="1"/>
  <c r="A301" i="13" s="1"/>
  <c r="A302" i="13" s="1"/>
  <c r="A304" i="13" s="1"/>
  <c r="A305" i="13" s="1"/>
  <c r="A306" i="13" s="1"/>
  <c r="A307" i="13" s="1"/>
  <c r="A308" i="13" s="1"/>
  <c r="A309" i="13" s="1"/>
  <c r="A310" i="13" s="1"/>
  <c r="A311" i="13" s="1"/>
  <c r="A312" i="13" s="1"/>
  <c r="A314" i="13" s="1"/>
  <c r="A315" i="13" s="1"/>
  <c r="A316" i="13" s="1"/>
  <c r="A317" i="13" s="1"/>
  <c r="A318" i="13" s="1"/>
  <c r="A319" i="13" s="1"/>
  <c r="A320" i="13" s="1"/>
  <c r="A321" i="13" s="1"/>
  <c r="A322" i="13" s="1"/>
  <c r="A324" i="13" s="1"/>
  <c r="A325" i="13" s="1"/>
  <c r="A326" i="13" s="1"/>
  <c r="A327" i="13" s="1"/>
  <c r="A328" i="13" s="1"/>
  <c r="A329" i="13" s="1"/>
  <c r="A330" i="13" s="1"/>
  <c r="A331" i="13" s="1"/>
  <c r="A332" i="13" s="1"/>
  <c r="A334" i="13" s="1"/>
  <c r="A335" i="13" s="1"/>
  <c r="A336" i="13" s="1"/>
  <c r="A337" i="13" s="1"/>
  <c r="A338" i="13" s="1"/>
  <c r="A339" i="13" s="1"/>
  <c r="A340" i="13" s="1"/>
  <c r="A341" i="13" s="1"/>
  <c r="A342" i="13" s="1"/>
  <c r="A344" i="13" s="1"/>
  <c r="A345" i="13" s="1"/>
  <c r="A346" i="13" s="1"/>
  <c r="A347" i="13" s="1"/>
  <c r="A348" i="13" s="1"/>
  <c r="A349" i="13" s="1"/>
  <c r="A350" i="13" s="1"/>
  <c r="A351" i="13" s="1"/>
  <c r="A352" i="13" s="1"/>
  <c r="A354" i="13" s="1"/>
  <c r="A355" i="13" s="1"/>
  <c r="A356" i="13" s="1"/>
  <c r="A357" i="13" s="1"/>
  <c r="A358" i="13" s="1"/>
  <c r="A359" i="13" s="1"/>
  <c r="A360" i="13" s="1"/>
  <c r="A361" i="13" s="1"/>
  <c r="A362" i="13" s="1"/>
  <c r="A364" i="13" s="1"/>
  <c r="A365" i="13" s="1"/>
  <c r="A366" i="13" s="1"/>
  <c r="A367" i="13" s="1"/>
  <c r="A368" i="13" s="1"/>
  <c r="A369" i="13" s="1"/>
  <c r="A370" i="13" s="1"/>
  <c r="A371" i="13" s="1"/>
  <c r="A372" i="13" s="1"/>
  <c r="A375" i="13" s="1"/>
  <c r="A376" i="13" s="1"/>
  <c r="A377" i="13" s="1"/>
  <c r="A378" i="13" s="1"/>
  <c r="A379" i="13" s="1"/>
  <c r="A380" i="13" s="1"/>
  <c r="A381" i="13" s="1"/>
  <c r="A382" i="13" s="1"/>
  <c r="A383" i="13" s="1"/>
  <c r="A385" i="13" s="1"/>
  <c r="A386" i="13" s="1"/>
  <c r="A387" i="13" s="1"/>
  <c r="A388" i="13" s="1"/>
  <c r="A389" i="13" s="1"/>
  <c r="A390" i="13" s="1"/>
  <c r="A391" i="13" s="1"/>
  <c r="A392" i="13" s="1"/>
  <c r="A393" i="13" s="1"/>
  <c r="A395" i="13" s="1"/>
  <c r="A396" i="13" s="1"/>
  <c r="A397" i="13" s="1"/>
  <c r="A398" i="13" s="1"/>
  <c r="A399" i="13" s="1"/>
  <c r="A400" i="13" s="1"/>
  <c r="A401" i="13" s="1"/>
  <c r="A402" i="13" s="1"/>
  <c r="A403" i="13" s="1"/>
  <c r="A405" i="13" s="1"/>
  <c r="A406" i="13" s="1"/>
  <c r="A407" i="13" s="1"/>
  <c r="A408" i="13" s="1"/>
  <c r="A409" i="13" s="1"/>
  <c r="A410" i="13" s="1"/>
  <c r="A411" i="13" s="1"/>
  <c r="A412" i="13" s="1"/>
  <c r="A413" i="13" s="1"/>
  <c r="A415" i="13" s="1"/>
  <c r="A416" i="13" s="1"/>
  <c r="A417" i="13" s="1"/>
  <c r="A418" i="13" s="1"/>
  <c r="A419" i="13" s="1"/>
  <c r="A420" i="13" s="1"/>
  <c r="A421" i="13" s="1"/>
  <c r="A422" i="13" s="1"/>
  <c r="A423" i="13" s="1"/>
  <c r="A425" i="13" s="1"/>
  <c r="A426" i="13" s="1"/>
  <c r="A427" i="13" s="1"/>
  <c r="A428" i="13" s="1"/>
  <c r="A429" i="13" s="1"/>
  <c r="A430" i="13" s="1"/>
  <c r="A431" i="13" s="1"/>
  <c r="A432" i="13" s="1"/>
  <c r="A433" i="13" s="1"/>
  <c r="A435" i="13" s="1"/>
  <c r="A436" i="13" s="1"/>
  <c r="A437" i="13" s="1"/>
  <c r="A438" i="13" s="1"/>
  <c r="A439" i="13" s="1"/>
  <c r="A440" i="13" s="1"/>
  <c r="A441" i="13" s="1"/>
  <c r="A442" i="13" s="1"/>
  <c r="A443" i="13" s="1"/>
  <c r="A445" i="13" s="1"/>
  <c r="A446" i="13" s="1"/>
  <c r="A447" i="13" s="1"/>
  <c r="A448" i="13" s="1"/>
  <c r="A449" i="13" s="1"/>
  <c r="A450" i="13" s="1"/>
  <c r="A451" i="13" s="1"/>
  <c r="A452" i="13" s="1"/>
  <c r="A453" i="13" s="1"/>
  <c r="A455" i="13" s="1"/>
  <c r="A456" i="13" s="1"/>
  <c r="A457" i="13" s="1"/>
  <c r="A458" i="13" s="1"/>
  <c r="A459" i="13" s="1"/>
  <c r="A460" i="13" s="1"/>
  <c r="A461" i="13" s="1"/>
  <c r="A462" i="13" s="1"/>
  <c r="A463" i="13" s="1"/>
  <c r="A466" i="13" s="1"/>
  <c r="A467" i="13" s="1"/>
  <c r="A468" i="13" s="1"/>
  <c r="A469" i="13" s="1"/>
  <c r="A470" i="13" s="1"/>
  <c r="A471" i="13" s="1"/>
  <c r="A472" i="13" s="1"/>
  <c r="A473" i="13" s="1"/>
  <c r="A474" i="13" s="1"/>
  <c r="A476" i="13" s="1"/>
  <c r="A477" i="13" s="1"/>
  <c r="A478" i="13" s="1"/>
  <c r="A479" i="13" s="1"/>
  <c r="A480" i="13" s="1"/>
  <c r="A481" i="13" s="1"/>
  <c r="A482" i="13" s="1"/>
  <c r="A483" i="13" s="1"/>
  <c r="A484" i="13" s="1"/>
  <c r="A486" i="13" s="1"/>
  <c r="A487" i="13" s="1"/>
  <c r="A488" i="13" s="1"/>
  <c r="A489" i="13" s="1"/>
  <c r="A490" i="13" s="1"/>
  <c r="A491" i="13" s="1"/>
  <c r="A492" i="13" s="1"/>
  <c r="A493" i="13" s="1"/>
  <c r="A494" i="13" s="1"/>
  <c r="A496" i="13" s="1"/>
  <c r="A497" i="13" s="1"/>
  <c r="A498" i="13" s="1"/>
  <c r="A499" i="13" s="1"/>
  <c r="A500" i="13" s="1"/>
  <c r="A501" i="13" s="1"/>
  <c r="A502" i="13" s="1"/>
  <c r="A503" i="13" s="1"/>
  <c r="A504" i="13" s="1"/>
  <c r="A506" i="13" s="1"/>
  <c r="A507" i="13" s="1"/>
  <c r="A508" i="13" s="1"/>
  <c r="A509" i="13" s="1"/>
  <c r="A510" i="13" s="1"/>
  <c r="A511" i="13" s="1"/>
  <c r="A512" i="13" s="1"/>
  <c r="A513" i="13" s="1"/>
  <c r="A514" i="13" s="1"/>
  <c r="A516" i="13" s="1"/>
  <c r="A517" i="13" s="1"/>
  <c r="A518" i="13" s="1"/>
  <c r="A519" i="13" s="1"/>
  <c r="A520" i="13" s="1"/>
  <c r="A521" i="13" s="1"/>
  <c r="A522" i="13" s="1"/>
  <c r="A523" i="13" s="1"/>
  <c r="A524" i="13" s="1"/>
  <c r="A526" i="13" s="1"/>
  <c r="A527" i="13" s="1"/>
  <c r="A528" i="13" s="1"/>
  <c r="A529" i="13" s="1"/>
  <c r="A530" i="13" s="1"/>
  <c r="A531" i="13" s="1"/>
  <c r="A532" i="13" s="1"/>
  <c r="A533" i="13" s="1"/>
  <c r="A534" i="13" s="1"/>
  <c r="A536" i="13" s="1"/>
  <c r="A537" i="13" s="1"/>
  <c r="A538" i="13" s="1"/>
  <c r="A539" i="13" s="1"/>
  <c r="A540" i="13" s="1"/>
  <c r="A541" i="13" s="1"/>
  <c r="A542" i="13" s="1"/>
  <c r="A543" i="13" s="1"/>
  <c r="A544" i="13" s="1"/>
  <c r="A546" i="13" s="1"/>
  <c r="A547" i="13" s="1"/>
  <c r="A548" i="13" s="1"/>
  <c r="A549" i="13" s="1"/>
  <c r="A550" i="13" s="1"/>
  <c r="A551" i="13" s="1"/>
  <c r="A552" i="13" s="1"/>
  <c r="A553" i="13" s="1"/>
  <c r="A554" i="13" s="1"/>
  <c r="A557" i="13" s="1"/>
  <c r="A558" i="13" s="1"/>
  <c r="A559" i="13" s="1"/>
  <c r="A560" i="13" s="1"/>
  <c r="A561" i="13" s="1"/>
  <c r="A562" i="13" s="1"/>
  <c r="A563" i="13" s="1"/>
  <c r="A564" i="13" s="1"/>
  <c r="A565" i="13" s="1"/>
  <c r="A567" i="13" s="1"/>
  <c r="A568" i="13" s="1"/>
  <c r="A569" i="13" s="1"/>
  <c r="A570" i="13" s="1"/>
  <c r="A571" i="13" s="1"/>
  <c r="A572" i="13" s="1"/>
  <c r="A573" i="13" s="1"/>
  <c r="A574" i="13" s="1"/>
  <c r="A575" i="13" s="1"/>
  <c r="A577" i="13" s="1"/>
  <c r="A578" i="13" s="1"/>
  <c r="A579" i="13" s="1"/>
  <c r="A580" i="13" s="1"/>
  <c r="A581" i="13" s="1"/>
  <c r="A582" i="13" s="1"/>
  <c r="A583" i="13" s="1"/>
  <c r="A584" i="13" s="1"/>
  <c r="A585" i="13" s="1"/>
  <c r="A587" i="13" s="1"/>
  <c r="A588" i="13" s="1"/>
  <c r="A589" i="13" s="1"/>
  <c r="A590" i="13" s="1"/>
  <c r="A591" i="13" s="1"/>
  <c r="A592" i="13" s="1"/>
  <c r="A593" i="13" s="1"/>
  <c r="A594" i="13" s="1"/>
  <c r="A595" i="13" s="1"/>
  <c r="A597" i="13" s="1"/>
  <c r="A598" i="13" s="1"/>
  <c r="A599" i="13" s="1"/>
  <c r="A600" i="13" s="1"/>
  <c r="A601" i="13" s="1"/>
  <c r="A602" i="13" s="1"/>
  <c r="A603" i="13" s="1"/>
  <c r="A604" i="13" s="1"/>
  <c r="A605" i="13" s="1"/>
  <c r="A607" i="13" s="1"/>
  <c r="A608" i="13" s="1"/>
  <c r="A609" i="13" s="1"/>
  <c r="A610" i="13" s="1"/>
  <c r="A611" i="13" s="1"/>
  <c r="A612" i="13" s="1"/>
  <c r="A613" i="13" s="1"/>
  <c r="A614" i="13" s="1"/>
  <c r="A615" i="13" s="1"/>
  <c r="A617" i="13" s="1"/>
  <c r="A618" i="13" s="1"/>
  <c r="A619" i="13" s="1"/>
  <c r="A620" i="13" s="1"/>
  <c r="A621" i="13" s="1"/>
  <c r="A622" i="13" s="1"/>
  <c r="A623" i="13" s="1"/>
  <c r="A624" i="13" s="1"/>
  <c r="A625" i="13" s="1"/>
  <c r="A627" i="13" s="1"/>
  <c r="A628" i="13" s="1"/>
  <c r="A629" i="13" s="1"/>
  <c r="A630" i="13" s="1"/>
  <c r="A631" i="13" s="1"/>
  <c r="A632" i="13" s="1"/>
  <c r="A633" i="13" s="1"/>
  <c r="A634" i="13" s="1"/>
  <c r="A635" i="13" s="1"/>
  <c r="A637" i="13" s="1"/>
  <c r="A638" i="13" s="1"/>
  <c r="A639" i="13" s="1"/>
  <c r="A640" i="13" s="1"/>
  <c r="A641" i="13" s="1"/>
  <c r="A642" i="13" s="1"/>
  <c r="A643" i="13" s="1"/>
  <c r="A644" i="13" s="1"/>
  <c r="A645" i="13" s="1"/>
  <c r="A648" i="13" s="1"/>
  <c r="A649" i="13" s="1"/>
  <c r="A650" i="13" s="1"/>
  <c r="A651" i="13" s="1"/>
  <c r="A652" i="13" s="1"/>
  <c r="A653" i="13" s="1"/>
  <c r="A654" i="13" s="1"/>
  <c r="A655" i="13" s="1"/>
  <c r="A656" i="13" s="1"/>
  <c r="A658" i="13" s="1"/>
  <c r="A659" i="13" s="1"/>
  <c r="A660" i="13" s="1"/>
  <c r="A661" i="13" s="1"/>
  <c r="A662" i="13" s="1"/>
  <c r="A663" i="13" s="1"/>
  <c r="A664" i="13" s="1"/>
  <c r="A665" i="13" s="1"/>
  <c r="A666" i="13" s="1"/>
  <c r="A668" i="13" s="1"/>
  <c r="A669" i="13" s="1"/>
  <c r="A670" i="13" s="1"/>
  <c r="A671" i="13" s="1"/>
  <c r="A672" i="13" s="1"/>
  <c r="A673" i="13" s="1"/>
  <c r="A674" i="13" s="1"/>
  <c r="A675" i="13" s="1"/>
  <c r="A676" i="13" s="1"/>
  <c r="A678" i="13" s="1"/>
  <c r="A679" i="13" s="1"/>
  <c r="A680" i="13" s="1"/>
  <c r="A681" i="13" s="1"/>
  <c r="A682" i="13" s="1"/>
  <c r="A683" i="13" s="1"/>
  <c r="A684" i="13" s="1"/>
  <c r="A685" i="13" s="1"/>
  <c r="A686" i="13" s="1"/>
  <c r="A688" i="13" s="1"/>
  <c r="A689" i="13" s="1"/>
  <c r="A690" i="13" s="1"/>
  <c r="A691" i="13" s="1"/>
  <c r="A692" i="13" s="1"/>
  <c r="A693" i="13" s="1"/>
  <c r="A694" i="13" s="1"/>
  <c r="A695" i="13" s="1"/>
  <c r="A696" i="13" s="1"/>
  <c r="A698" i="13" s="1"/>
  <c r="A699" i="13" s="1"/>
  <c r="A700" i="13" s="1"/>
  <c r="A701" i="13" s="1"/>
  <c r="A702" i="13" s="1"/>
  <c r="A703" i="13" s="1"/>
  <c r="A704" i="13" s="1"/>
  <c r="A705" i="13" s="1"/>
  <c r="A706" i="13" s="1"/>
  <c r="A708" i="13" s="1"/>
  <c r="A709" i="13" s="1"/>
  <c r="A710" i="13" s="1"/>
  <c r="A711" i="13" s="1"/>
  <c r="A712" i="13" s="1"/>
  <c r="A713" i="13" s="1"/>
  <c r="A714" i="13" s="1"/>
  <c r="A715" i="13" s="1"/>
  <c r="A716" i="13" s="1"/>
  <c r="A718" i="13" s="1"/>
  <c r="A719" i="13" s="1"/>
  <c r="A720" i="13" s="1"/>
  <c r="A721" i="13" s="1"/>
  <c r="A722" i="13" s="1"/>
  <c r="A723" i="13" s="1"/>
  <c r="A724" i="13" s="1"/>
  <c r="A725" i="13" s="1"/>
  <c r="A726" i="13" s="1"/>
  <c r="A728" i="13" s="1"/>
  <c r="A729" i="13" s="1"/>
  <c r="A730" i="13" s="1"/>
  <c r="A731" i="13" s="1"/>
  <c r="A732" i="13" s="1"/>
  <c r="A733" i="13" s="1"/>
  <c r="A734" i="13" s="1"/>
  <c r="A735" i="13" s="1"/>
  <c r="A736" i="13" s="1"/>
  <c r="A739" i="13" s="1"/>
  <c r="A740" i="13" s="1"/>
  <c r="A741" i="13" s="1"/>
  <c r="A742" i="13" s="1"/>
  <c r="A743" i="13" s="1"/>
  <c r="A744" i="13" s="1"/>
  <c r="A745" i="13" s="1"/>
  <c r="A746" i="13" s="1"/>
  <c r="A747" i="13" s="1"/>
  <c r="A749" i="13" s="1"/>
  <c r="A750" i="13" s="1"/>
  <c r="A751" i="13" s="1"/>
  <c r="A752" i="13" s="1"/>
  <c r="A753" i="13" s="1"/>
  <c r="A754" i="13" s="1"/>
  <c r="A755" i="13" s="1"/>
  <c r="A756" i="13" s="1"/>
  <c r="A757" i="13" s="1"/>
  <c r="A759" i="13" s="1"/>
  <c r="A760" i="13" s="1"/>
  <c r="A761" i="13" s="1"/>
  <c r="A762" i="13" s="1"/>
  <c r="A763" i="13" s="1"/>
  <c r="A764" i="13" s="1"/>
  <c r="A765" i="13" s="1"/>
  <c r="A766" i="13" s="1"/>
  <c r="A767" i="13" s="1"/>
  <c r="A769" i="13" s="1"/>
  <c r="A770" i="13" s="1"/>
  <c r="A771" i="13" s="1"/>
  <c r="A772" i="13" s="1"/>
  <c r="A773" i="13" s="1"/>
  <c r="A774" i="13" s="1"/>
  <c r="A775" i="13" s="1"/>
  <c r="A776" i="13" s="1"/>
  <c r="A777" i="13" s="1"/>
  <c r="A779" i="13" s="1"/>
  <c r="A780" i="13" s="1"/>
  <c r="A781" i="13" s="1"/>
  <c r="A782" i="13" s="1"/>
  <c r="A783" i="13" s="1"/>
  <c r="A784" i="13" s="1"/>
  <c r="A785" i="13" s="1"/>
  <c r="A786" i="13" s="1"/>
  <c r="A787" i="13" s="1"/>
  <c r="A789" i="13" s="1"/>
  <c r="A790" i="13" s="1"/>
  <c r="A791" i="13" s="1"/>
  <c r="A792" i="13" s="1"/>
  <c r="A793" i="13" s="1"/>
  <c r="A794" i="13" s="1"/>
  <c r="A795" i="13" s="1"/>
  <c r="A796" i="13" s="1"/>
  <c r="A797" i="13" s="1"/>
  <c r="A799" i="13" s="1"/>
  <c r="A800" i="13" s="1"/>
  <c r="A801" i="13" s="1"/>
  <c r="A802" i="13" s="1"/>
  <c r="A803" i="13" s="1"/>
  <c r="A804" i="13" s="1"/>
  <c r="A805" i="13" s="1"/>
  <c r="A806" i="13" s="1"/>
  <c r="A807" i="13" s="1"/>
  <c r="A809" i="13" s="1"/>
  <c r="A810" i="13" s="1"/>
  <c r="A811" i="13" s="1"/>
  <c r="A812" i="13" s="1"/>
  <c r="A813" i="13" s="1"/>
  <c r="A814" i="13" s="1"/>
  <c r="A815" i="13" s="1"/>
  <c r="A816" i="13" s="1"/>
  <c r="A817" i="13" s="1"/>
  <c r="A819" i="13" s="1"/>
  <c r="A820" i="13" s="1"/>
  <c r="A821" i="13" s="1"/>
  <c r="A822" i="13" s="1"/>
  <c r="A823" i="13" s="1"/>
  <c r="A824" i="13" s="1"/>
  <c r="A825" i="13" s="1"/>
  <c r="A826" i="13" s="1"/>
  <c r="A827" i="13" s="1"/>
  <c r="A112" i="20"/>
  <c r="C2" i="20" s="1"/>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1" i="20"/>
  <c r="A10" i="20"/>
  <c r="A9" i="20"/>
  <c r="A8" i="20"/>
  <c r="A7" i="20"/>
  <c r="M112" i="20"/>
  <c r="K112" i="20"/>
  <c r="I112" i="20"/>
  <c r="M111" i="20"/>
  <c r="K111" i="20"/>
  <c r="I111" i="20"/>
  <c r="M110" i="20"/>
  <c r="K110" i="20"/>
  <c r="I110" i="20"/>
  <c r="M109" i="20"/>
  <c r="K109" i="20"/>
  <c r="I109" i="20"/>
  <c r="M108" i="20"/>
  <c r="K108" i="20"/>
  <c r="I108" i="20"/>
  <c r="M107" i="20"/>
  <c r="K107" i="20"/>
  <c r="I107" i="20"/>
  <c r="M106" i="20"/>
  <c r="K106" i="20"/>
  <c r="I106" i="20"/>
  <c r="M105" i="20"/>
  <c r="K105" i="20"/>
  <c r="I105" i="20"/>
  <c r="M104" i="20"/>
  <c r="K104" i="20"/>
  <c r="I104" i="20"/>
  <c r="M103" i="20"/>
  <c r="K103" i="20"/>
  <c r="I103" i="20"/>
  <c r="M102" i="20"/>
  <c r="K102" i="20"/>
  <c r="I102" i="20"/>
  <c r="M101" i="20"/>
  <c r="K101" i="20"/>
  <c r="I101" i="20"/>
  <c r="M100" i="20"/>
  <c r="K100" i="20"/>
  <c r="I100" i="20"/>
  <c r="M99" i="20"/>
  <c r="K99" i="20"/>
  <c r="I99" i="20"/>
  <c r="M98" i="20"/>
  <c r="K98" i="20"/>
  <c r="I98" i="20"/>
  <c r="M97" i="20"/>
  <c r="K97" i="20"/>
  <c r="I97" i="20"/>
  <c r="M96" i="20"/>
  <c r="K96" i="20"/>
  <c r="I96" i="20"/>
  <c r="M95" i="20"/>
  <c r="K95" i="20"/>
  <c r="I95" i="20"/>
  <c r="M94" i="20"/>
  <c r="K94" i="20"/>
  <c r="I94" i="20"/>
  <c r="M93" i="20"/>
  <c r="K93" i="20"/>
  <c r="I93" i="20"/>
  <c r="M92" i="20"/>
  <c r="K92" i="20"/>
  <c r="I92" i="20"/>
  <c r="M91" i="20"/>
  <c r="K91" i="20"/>
  <c r="I91" i="20"/>
  <c r="M90" i="20"/>
  <c r="K90" i="20"/>
  <c r="I90" i="20"/>
  <c r="M89" i="20"/>
  <c r="K89" i="20"/>
  <c r="I89" i="20"/>
  <c r="M88" i="20"/>
  <c r="K88" i="20"/>
  <c r="I88" i="20"/>
  <c r="M87" i="20"/>
  <c r="K87" i="20"/>
  <c r="I87" i="20"/>
  <c r="M86" i="20"/>
  <c r="K86" i="20"/>
  <c r="I86" i="20"/>
  <c r="M85" i="20"/>
  <c r="K85" i="20"/>
  <c r="I85" i="20"/>
  <c r="M84" i="20"/>
  <c r="K84" i="20"/>
  <c r="I84" i="20"/>
  <c r="M83" i="20"/>
  <c r="K83" i="20"/>
  <c r="I83" i="20"/>
  <c r="M82" i="20"/>
  <c r="K82" i="20"/>
  <c r="I82" i="20"/>
  <c r="M81" i="20"/>
  <c r="K81" i="20"/>
  <c r="I81" i="20"/>
  <c r="M80" i="20"/>
  <c r="K80" i="20"/>
  <c r="I80" i="20"/>
  <c r="M79" i="20"/>
  <c r="K79" i="20"/>
  <c r="I79" i="20"/>
  <c r="M78" i="20"/>
  <c r="K78" i="20"/>
  <c r="I78" i="20"/>
  <c r="M77" i="20"/>
  <c r="K77" i="20"/>
  <c r="I77" i="20"/>
  <c r="M76" i="20"/>
  <c r="K76" i="20"/>
  <c r="I76" i="20"/>
  <c r="M75" i="20"/>
  <c r="K75" i="20"/>
  <c r="I75" i="20"/>
  <c r="M74" i="20"/>
  <c r="K74" i="20"/>
  <c r="I74" i="20"/>
  <c r="M73" i="20"/>
  <c r="K73" i="20"/>
  <c r="I73" i="20"/>
  <c r="M72" i="20"/>
  <c r="K72" i="20"/>
  <c r="I72" i="20"/>
  <c r="M71" i="20"/>
  <c r="K71" i="20"/>
  <c r="I71" i="20"/>
  <c r="M70" i="20"/>
  <c r="K70" i="20"/>
  <c r="I70" i="20"/>
  <c r="M69" i="20"/>
  <c r="K69" i="20"/>
  <c r="I69" i="20"/>
  <c r="M68" i="20"/>
  <c r="K68" i="20"/>
  <c r="I68" i="20"/>
  <c r="M67" i="20"/>
  <c r="K67" i="20"/>
  <c r="I67" i="20"/>
  <c r="M66" i="20"/>
  <c r="K66" i="20"/>
  <c r="I66" i="20"/>
  <c r="M65" i="20"/>
  <c r="K65" i="20"/>
  <c r="I65" i="20"/>
  <c r="M64" i="20"/>
  <c r="K64" i="20"/>
  <c r="I64" i="20"/>
  <c r="M63" i="20"/>
  <c r="K63" i="20"/>
  <c r="I63" i="20"/>
  <c r="M62" i="20"/>
  <c r="K62" i="20"/>
  <c r="I62" i="20"/>
  <c r="M61" i="20"/>
  <c r="K61" i="20"/>
  <c r="I61" i="20"/>
  <c r="M60" i="20"/>
  <c r="K60" i="20"/>
  <c r="I60" i="20"/>
  <c r="M59" i="20"/>
  <c r="K59" i="20"/>
  <c r="I59" i="20"/>
  <c r="M58" i="20"/>
  <c r="K58" i="20"/>
  <c r="I58" i="20"/>
  <c r="M57" i="20"/>
  <c r="K57" i="20"/>
  <c r="I57" i="20"/>
  <c r="M56" i="20"/>
  <c r="K56" i="20"/>
  <c r="I56" i="20"/>
  <c r="M55" i="20"/>
  <c r="K55" i="20"/>
  <c r="I55" i="20"/>
  <c r="M54" i="20"/>
  <c r="K54" i="20"/>
  <c r="I54" i="20"/>
  <c r="M53" i="20"/>
  <c r="K53" i="20"/>
  <c r="I53" i="20"/>
  <c r="M52" i="20"/>
  <c r="K52" i="20"/>
  <c r="I52" i="20"/>
  <c r="M51" i="20"/>
  <c r="K51" i="20"/>
  <c r="I51" i="20"/>
  <c r="M50" i="20"/>
  <c r="K50" i="20"/>
  <c r="I50" i="20"/>
  <c r="M49" i="20"/>
  <c r="K49" i="20"/>
  <c r="I49" i="20"/>
  <c r="M48" i="20"/>
  <c r="K48" i="20"/>
  <c r="I48" i="20"/>
  <c r="M47" i="20"/>
  <c r="K47" i="20"/>
  <c r="I47" i="20"/>
  <c r="M46" i="20"/>
  <c r="K46" i="20"/>
  <c r="I46" i="20"/>
  <c r="M45" i="20"/>
  <c r="K45" i="20"/>
  <c r="I45" i="20"/>
  <c r="M44" i="20"/>
  <c r="K44" i="20"/>
  <c r="I44" i="20"/>
  <c r="M43" i="20"/>
  <c r="K43" i="20"/>
  <c r="I43" i="20"/>
  <c r="M42" i="20"/>
  <c r="K42" i="20"/>
  <c r="I42" i="20"/>
  <c r="M41" i="20"/>
  <c r="K41" i="20"/>
  <c r="I41" i="20"/>
  <c r="M40" i="20"/>
  <c r="K40" i="20"/>
  <c r="I40" i="20"/>
  <c r="M39" i="20"/>
  <c r="K39" i="20"/>
  <c r="I39" i="20"/>
  <c r="M38" i="20"/>
  <c r="K38" i="20"/>
  <c r="I38" i="20"/>
  <c r="M37" i="20"/>
  <c r="K37" i="20"/>
  <c r="I37" i="20"/>
  <c r="M36" i="20"/>
  <c r="K36" i="20"/>
  <c r="I36" i="20"/>
  <c r="M35" i="20"/>
  <c r="K35" i="20"/>
  <c r="I35" i="20"/>
  <c r="M34" i="20"/>
  <c r="K34" i="20"/>
  <c r="I34" i="20"/>
  <c r="M33" i="20"/>
  <c r="K33" i="20"/>
  <c r="I33" i="20"/>
  <c r="M32" i="20"/>
  <c r="K32" i="20"/>
  <c r="I32" i="20"/>
  <c r="M31" i="20"/>
  <c r="K31" i="20"/>
  <c r="I31" i="20"/>
  <c r="M30" i="20"/>
  <c r="K30" i="20"/>
  <c r="I30" i="20"/>
  <c r="M29" i="20"/>
  <c r="K29" i="20"/>
  <c r="I29" i="20"/>
  <c r="M28" i="20"/>
  <c r="K28" i="20"/>
  <c r="I28" i="20"/>
  <c r="M27" i="20"/>
  <c r="K27" i="20"/>
  <c r="I27" i="20"/>
  <c r="M26" i="20"/>
  <c r="K26" i="20"/>
  <c r="I26" i="20"/>
  <c r="M25" i="20"/>
  <c r="K25" i="20"/>
  <c r="I25" i="20"/>
  <c r="M24" i="20"/>
  <c r="K24" i="20"/>
  <c r="I24" i="20"/>
  <c r="M23" i="20"/>
  <c r="K23" i="20"/>
  <c r="I23" i="20"/>
  <c r="M22" i="20"/>
  <c r="K22" i="20"/>
  <c r="I22" i="20"/>
  <c r="M21" i="20"/>
  <c r="K21" i="20"/>
  <c r="I21" i="20"/>
  <c r="M20" i="20"/>
  <c r="K20" i="20"/>
  <c r="I20" i="20"/>
  <c r="M19" i="20"/>
  <c r="K19" i="20"/>
  <c r="I19" i="20"/>
  <c r="M18" i="20"/>
  <c r="K18" i="20"/>
  <c r="I18" i="20"/>
  <c r="M17" i="20"/>
  <c r="K17" i="20"/>
  <c r="I17" i="20"/>
  <c r="M11" i="20"/>
  <c r="K11" i="20"/>
  <c r="I11" i="20"/>
  <c r="M10" i="20"/>
  <c r="K10" i="20"/>
  <c r="I10" i="20"/>
  <c r="M9" i="20"/>
  <c r="K9" i="20"/>
  <c r="I9" i="20"/>
  <c r="M8" i="20"/>
  <c r="K8" i="20"/>
  <c r="I8" i="20"/>
  <c r="M7" i="20"/>
  <c r="K7" i="20"/>
  <c r="I7" i="20"/>
  <c r="S110" i="20"/>
  <c r="S109" i="20"/>
  <c r="S108" i="20"/>
  <c r="S112" i="20"/>
  <c r="S107" i="20"/>
  <c r="S106" i="20"/>
  <c r="S105" i="20"/>
  <c r="S104" i="20"/>
  <c r="S103" i="20"/>
  <c r="S102" i="20"/>
  <c r="S101" i="20"/>
  <c r="S100" i="20"/>
  <c r="S99" i="20"/>
  <c r="S98" i="20"/>
  <c r="S97" i="20"/>
  <c r="S96" i="20"/>
  <c r="S95" i="20"/>
  <c r="S94" i="20"/>
  <c r="S93" i="20"/>
  <c r="S92" i="20"/>
  <c r="S91" i="20"/>
  <c r="S90" i="20"/>
  <c r="S89" i="20"/>
  <c r="S88" i="20"/>
  <c r="S87" i="20"/>
  <c r="S86" i="20"/>
  <c r="S85" i="20"/>
  <c r="S84" i="20"/>
  <c r="S83" i="20"/>
  <c r="S82" i="20"/>
  <c r="S81" i="20"/>
  <c r="S80" i="20"/>
  <c r="S79" i="20"/>
  <c r="S78" i="20"/>
  <c r="S77" i="20"/>
  <c r="S76" i="20"/>
  <c r="S75" i="20"/>
  <c r="S74" i="20"/>
  <c r="S73" i="20"/>
  <c r="S72" i="20"/>
  <c r="S71" i="20"/>
  <c r="S70" i="20"/>
  <c r="S69" i="20"/>
  <c r="S68" i="20"/>
  <c r="S67" i="20"/>
  <c r="S66" i="20"/>
  <c r="S65" i="20"/>
  <c r="S64" i="20"/>
  <c r="S63" i="20"/>
  <c r="S62" i="20"/>
  <c r="S61" i="20"/>
  <c r="S60" i="20"/>
  <c r="S59" i="20"/>
  <c r="S58" i="20"/>
  <c r="S57" i="20"/>
  <c r="S56" i="20"/>
  <c r="S55" i="20"/>
  <c r="S54" i="20"/>
  <c r="S53" i="20"/>
  <c r="S52" i="20"/>
  <c r="S51" i="20"/>
  <c r="S50" i="20"/>
  <c r="S49" i="20"/>
  <c r="S48" i="20"/>
  <c r="S47" i="20"/>
  <c r="S46" i="20"/>
  <c r="S45" i="20"/>
  <c r="S44" i="20"/>
  <c r="S43" i="20"/>
  <c r="S42" i="20"/>
  <c r="S41" i="20"/>
  <c r="S40" i="20"/>
  <c r="S39" i="20"/>
  <c r="S38" i="20"/>
  <c r="S37" i="20"/>
  <c r="S36" i="20"/>
  <c r="S35" i="20"/>
  <c r="S34" i="20"/>
  <c r="S33" i="20"/>
  <c r="S32" i="20"/>
  <c r="S31" i="20"/>
  <c r="S30" i="20"/>
  <c r="S29" i="20"/>
  <c r="S28" i="20"/>
  <c r="S27" i="20"/>
  <c r="S26" i="20"/>
  <c r="S25" i="20"/>
  <c r="S24" i="20"/>
  <c r="S23" i="20"/>
  <c r="S22" i="20"/>
  <c r="S20" i="20"/>
  <c r="S19" i="20"/>
  <c r="S18" i="20"/>
  <c r="S17" i="20"/>
  <c r="S11" i="20"/>
  <c r="S10" i="20"/>
  <c r="S9" i="20"/>
  <c r="S8" i="20"/>
  <c r="U7" i="20"/>
  <c r="E8" i="3"/>
  <c r="M28" i="19"/>
  <c r="L28" i="19"/>
  <c r="K40" i="19"/>
  <c r="J41" i="19"/>
  <c r="I40" i="19"/>
  <c r="O40" i="19" s="1"/>
  <c r="H41" i="19"/>
  <c r="G40" i="19"/>
  <c r="F41" i="19"/>
  <c r="E40" i="19"/>
  <c r="D28" i="19"/>
  <c r="M26" i="19"/>
  <c r="L26" i="19"/>
  <c r="K26" i="19"/>
  <c r="J26" i="19"/>
  <c r="I26" i="19"/>
  <c r="H26" i="19"/>
  <c r="G26" i="19"/>
  <c r="F26" i="19"/>
  <c r="E26" i="19"/>
  <c r="D26" i="19"/>
  <c r="AF9" i="19"/>
  <c r="S9" i="19"/>
  <c r="F8" i="19"/>
  <c r="AG6" i="19"/>
  <c r="AF6" i="19" s="1"/>
  <c r="I19" i="19"/>
  <c r="B35" i="9"/>
  <c r="A35" i="9"/>
  <c r="B856" i="13"/>
  <c r="B855" i="13"/>
  <c r="B854" i="13"/>
  <c r="B853" i="13"/>
  <c r="B852" i="13"/>
  <c r="B851" i="13"/>
  <c r="B850" i="13"/>
  <c r="B849" i="13"/>
  <c r="B848" i="13"/>
  <c r="M7" i="5"/>
  <c r="M6" i="5"/>
  <c r="O5" i="3"/>
  <c r="O6" i="3"/>
  <c r="AM24" i="9"/>
  <c r="AL24" i="9"/>
  <c r="AK24" i="9"/>
  <c r="AJ24" i="9"/>
  <c r="AI24" i="9"/>
  <c r="AH24" i="9"/>
  <c r="AG24" i="9"/>
  <c r="AF24" i="9"/>
  <c r="AE24" i="9"/>
  <c r="AD24" i="9"/>
  <c r="AC24" i="9"/>
  <c r="AM23" i="9"/>
  <c r="AL23" i="9"/>
  <c r="AK23" i="9"/>
  <c r="AJ23" i="9"/>
  <c r="AI23" i="9"/>
  <c r="AH23" i="9"/>
  <c r="AG23" i="9"/>
  <c r="AF23" i="9"/>
  <c r="AE23" i="9"/>
  <c r="AD23" i="9"/>
  <c r="AC23" i="9"/>
  <c r="AB24" i="9"/>
  <c r="AB23" i="9"/>
  <c r="Z24" i="9"/>
  <c r="Y24" i="9"/>
  <c r="X24" i="9"/>
  <c r="W24" i="9"/>
  <c r="V24" i="9"/>
  <c r="U24" i="9"/>
  <c r="T24" i="9"/>
  <c r="S24" i="9"/>
  <c r="R24" i="9"/>
  <c r="Q24" i="9"/>
  <c r="P24" i="9"/>
  <c r="Z23" i="9"/>
  <c r="Y23" i="9"/>
  <c r="X23" i="9"/>
  <c r="W23" i="9"/>
  <c r="V23" i="9"/>
  <c r="U23" i="9"/>
  <c r="T23" i="9"/>
  <c r="S23" i="9"/>
  <c r="R23" i="9"/>
  <c r="Q23" i="9"/>
  <c r="P23" i="9"/>
  <c r="O24" i="9"/>
  <c r="O23" i="9"/>
  <c r="M24" i="9"/>
  <c r="L24" i="9"/>
  <c r="K24" i="9"/>
  <c r="J24" i="9"/>
  <c r="I24" i="9"/>
  <c r="H24" i="9"/>
  <c r="G24" i="9"/>
  <c r="F24" i="9"/>
  <c r="M23" i="9"/>
  <c r="L23" i="9"/>
  <c r="K23" i="9"/>
  <c r="J23" i="9"/>
  <c r="I23" i="9"/>
  <c r="H23" i="9"/>
  <c r="G23" i="9"/>
  <c r="F23" i="9"/>
  <c r="E23" i="9"/>
  <c r="E24" i="9"/>
  <c r="C124" i="9"/>
  <c r="B124" i="9"/>
  <c r="A124" i="9"/>
  <c r="C123" i="9"/>
  <c r="B123" i="9"/>
  <c r="A123" i="9"/>
  <c r="C122" i="9"/>
  <c r="B122" i="9"/>
  <c r="A122" i="9"/>
  <c r="C121" i="9"/>
  <c r="B121" i="9"/>
  <c r="A121" i="9"/>
  <c r="C120" i="9"/>
  <c r="B120" i="9"/>
  <c r="A120" i="9"/>
  <c r="C119" i="9"/>
  <c r="B119" i="9"/>
  <c r="A119" i="9"/>
  <c r="C118" i="9"/>
  <c r="B118" i="9"/>
  <c r="A118" i="9"/>
  <c r="C117" i="9"/>
  <c r="B117" i="9"/>
  <c r="A117" i="9"/>
  <c r="C116" i="9"/>
  <c r="B116" i="9"/>
  <c r="A116" i="9"/>
  <c r="C115" i="9"/>
  <c r="B115" i="9"/>
  <c r="A115" i="9"/>
  <c r="C114" i="9"/>
  <c r="B114" i="9"/>
  <c r="A114" i="9"/>
  <c r="C113" i="9"/>
  <c r="B113" i="9"/>
  <c r="A113" i="9"/>
  <c r="C111" i="9"/>
  <c r="B111" i="9"/>
  <c r="A111" i="9"/>
  <c r="C110" i="9"/>
  <c r="B110" i="9"/>
  <c r="A110" i="9"/>
  <c r="C109" i="9"/>
  <c r="B109" i="9"/>
  <c r="A109" i="9"/>
  <c r="C108" i="9"/>
  <c r="B108" i="9"/>
  <c r="A108" i="9"/>
  <c r="C107" i="9"/>
  <c r="B107" i="9"/>
  <c r="A107" i="9"/>
  <c r="C106" i="9"/>
  <c r="B106" i="9"/>
  <c r="A106" i="9"/>
  <c r="C105" i="9"/>
  <c r="B105" i="9"/>
  <c r="A105" i="9"/>
  <c r="C104" i="9"/>
  <c r="B104" i="9"/>
  <c r="A104" i="9"/>
  <c r="C103" i="9"/>
  <c r="B103" i="9"/>
  <c r="A103" i="9"/>
  <c r="C102" i="9"/>
  <c r="B102" i="9"/>
  <c r="A102" i="9"/>
  <c r="C101" i="9"/>
  <c r="B101" i="9"/>
  <c r="A101" i="9"/>
  <c r="C100" i="9"/>
  <c r="B100" i="9"/>
  <c r="A100" i="9"/>
  <c r="C95" i="9"/>
  <c r="B95" i="9"/>
  <c r="A95" i="9"/>
  <c r="C94" i="9"/>
  <c r="B94" i="9"/>
  <c r="A94" i="9"/>
  <c r="C93" i="9"/>
  <c r="B93" i="9"/>
  <c r="A93" i="9"/>
  <c r="C92" i="9"/>
  <c r="B92" i="9"/>
  <c r="A92" i="9"/>
  <c r="C91" i="9"/>
  <c r="B91" i="9"/>
  <c r="A91" i="9"/>
  <c r="C90" i="9"/>
  <c r="B90" i="9"/>
  <c r="A90" i="9"/>
  <c r="C89" i="9"/>
  <c r="B89" i="9"/>
  <c r="A89" i="9"/>
  <c r="C88" i="9"/>
  <c r="B88" i="9"/>
  <c r="A88" i="9"/>
  <c r="C87" i="9"/>
  <c r="B87" i="9"/>
  <c r="A87" i="9"/>
  <c r="C86" i="9"/>
  <c r="B86" i="9"/>
  <c r="A86" i="9"/>
  <c r="C85" i="9"/>
  <c r="B85" i="9"/>
  <c r="A85" i="9"/>
  <c r="C84" i="9"/>
  <c r="B84" i="9"/>
  <c r="A84" i="9"/>
  <c r="C82" i="9"/>
  <c r="B82" i="9"/>
  <c r="A82" i="9"/>
  <c r="C81" i="9"/>
  <c r="B81" i="9"/>
  <c r="A81" i="9"/>
  <c r="C80" i="9"/>
  <c r="B80" i="9"/>
  <c r="A80" i="9"/>
  <c r="C79" i="9"/>
  <c r="B79" i="9"/>
  <c r="A79" i="9"/>
  <c r="C78" i="9"/>
  <c r="B78" i="9"/>
  <c r="A78" i="9"/>
  <c r="C77" i="9"/>
  <c r="B77" i="9"/>
  <c r="A77" i="9"/>
  <c r="C76" i="9"/>
  <c r="B76" i="9"/>
  <c r="A76" i="9"/>
  <c r="C75" i="9"/>
  <c r="B75" i="9"/>
  <c r="A75" i="9"/>
  <c r="C74" i="9"/>
  <c r="B74" i="9"/>
  <c r="A74" i="9"/>
  <c r="C70" i="9"/>
  <c r="B70" i="9"/>
  <c r="A70" i="9"/>
  <c r="C69" i="9"/>
  <c r="B69" i="9"/>
  <c r="A69" i="9"/>
  <c r="C68" i="9"/>
  <c r="B68" i="9"/>
  <c r="A68" i="9"/>
  <c r="C67" i="9"/>
  <c r="B67" i="9"/>
  <c r="A67" i="9"/>
  <c r="C66" i="9"/>
  <c r="B66" i="9"/>
  <c r="A66" i="9"/>
  <c r="C65" i="9"/>
  <c r="B65" i="9"/>
  <c r="A65" i="9"/>
  <c r="C64" i="9"/>
  <c r="B64" i="9"/>
  <c r="A64" i="9"/>
  <c r="C63" i="9"/>
  <c r="B63" i="9"/>
  <c r="A63" i="9"/>
  <c r="C62" i="9"/>
  <c r="B62" i="9"/>
  <c r="A62" i="9"/>
  <c r="C61" i="9"/>
  <c r="B61" i="9"/>
  <c r="A61" i="9"/>
  <c r="C60" i="9"/>
  <c r="B60" i="9"/>
  <c r="A60" i="9"/>
  <c r="C59" i="9"/>
  <c r="B59" i="9"/>
  <c r="A59" i="9"/>
  <c r="C57" i="9"/>
  <c r="B57" i="9"/>
  <c r="A57" i="9"/>
  <c r="C56" i="9"/>
  <c r="B56" i="9"/>
  <c r="A56" i="9"/>
  <c r="C55" i="9"/>
  <c r="B55" i="9"/>
  <c r="A55" i="9"/>
  <c r="C54" i="9"/>
  <c r="B54" i="9"/>
  <c r="A54" i="9"/>
  <c r="C53" i="9"/>
  <c r="B53" i="9"/>
  <c r="A53" i="9"/>
  <c r="C52" i="9"/>
  <c r="B52" i="9"/>
  <c r="A52" i="9"/>
  <c r="C51" i="9"/>
  <c r="B51" i="9"/>
  <c r="A51" i="9"/>
  <c r="C50" i="9"/>
  <c r="B50" i="9"/>
  <c r="A50" i="9"/>
  <c r="C49" i="9"/>
  <c r="B49" i="9"/>
  <c r="A49" i="9"/>
  <c r="C47" i="9"/>
  <c r="B47" i="9"/>
  <c r="A47" i="9"/>
  <c r="C46" i="9"/>
  <c r="B46" i="9"/>
  <c r="A46" i="9"/>
  <c r="C45" i="9"/>
  <c r="B45" i="9"/>
  <c r="A45" i="9"/>
  <c r="C44" i="9"/>
  <c r="B44" i="9"/>
  <c r="A44" i="9"/>
  <c r="C43" i="9"/>
  <c r="B43" i="9"/>
  <c r="A43" i="9"/>
  <c r="C42" i="9"/>
  <c r="B42" i="9"/>
  <c r="A42" i="9"/>
  <c r="C41" i="9"/>
  <c r="B41" i="9"/>
  <c r="A41" i="9"/>
  <c r="C40" i="9"/>
  <c r="B40" i="9"/>
  <c r="A40" i="9"/>
  <c r="C39" i="9"/>
  <c r="B39" i="9"/>
  <c r="A39" i="9"/>
  <c r="C38" i="9"/>
  <c r="B38" i="9"/>
  <c r="A38" i="9"/>
  <c r="C29" i="9"/>
  <c r="B34" i="9"/>
  <c r="B33" i="9"/>
  <c r="B32" i="9"/>
  <c r="B30" i="9"/>
  <c r="B28" i="9"/>
  <c r="B27" i="9"/>
  <c r="A34" i="9"/>
  <c r="A33" i="9"/>
  <c r="A32" i="9"/>
  <c r="A30" i="9"/>
  <c r="A28" i="9"/>
  <c r="A27" i="9"/>
  <c r="B26" i="9"/>
  <c r="A26" i="9"/>
  <c r="AN5" i="3"/>
  <c r="AM5" i="3"/>
  <c r="AL5" i="3"/>
  <c r="AK5" i="3"/>
  <c r="AJ5" i="3"/>
  <c r="AI5" i="3"/>
  <c r="AH5" i="3"/>
  <c r="AG5" i="3"/>
  <c r="AF5" i="3"/>
  <c r="AE5" i="3"/>
  <c r="AD5" i="3"/>
  <c r="AC5" i="3"/>
  <c r="AA5" i="3"/>
  <c r="Z5" i="3"/>
  <c r="Y5" i="3"/>
  <c r="X5" i="3"/>
  <c r="W5" i="3"/>
  <c r="V5" i="3"/>
  <c r="U5" i="3"/>
  <c r="T5" i="3"/>
  <c r="S5" i="3"/>
  <c r="R5" i="3"/>
  <c r="Q5" i="3"/>
  <c r="P5" i="3"/>
  <c r="N5" i="3"/>
  <c r="M5" i="3"/>
  <c r="L5" i="3"/>
  <c r="K5" i="3"/>
  <c r="J5" i="3"/>
  <c r="I5" i="3"/>
  <c r="H5" i="3"/>
  <c r="G5" i="3"/>
  <c r="F5" i="3"/>
  <c r="E5" i="3"/>
  <c r="AN6" i="3"/>
  <c r="AM6" i="3"/>
  <c r="AL6" i="3"/>
  <c r="AK6" i="3"/>
  <c r="AJ6" i="3"/>
  <c r="AI6" i="3"/>
  <c r="AH6" i="3"/>
  <c r="AG6" i="3"/>
  <c r="AF6" i="3"/>
  <c r="AE6" i="3"/>
  <c r="AD6" i="3"/>
  <c r="AC6" i="3"/>
  <c r="AA6" i="3"/>
  <c r="Z6" i="3"/>
  <c r="Y6" i="3"/>
  <c r="X6" i="3"/>
  <c r="W6" i="3"/>
  <c r="V6" i="3"/>
  <c r="U6" i="3"/>
  <c r="T6" i="3"/>
  <c r="S6" i="3"/>
  <c r="R6" i="3"/>
  <c r="Q6" i="3"/>
  <c r="P6" i="3"/>
  <c r="N6" i="3"/>
  <c r="M6" i="3"/>
  <c r="L6" i="3"/>
  <c r="K6" i="3"/>
  <c r="J6" i="3"/>
  <c r="I6" i="3"/>
  <c r="H6" i="3"/>
  <c r="G6" i="3"/>
  <c r="F6" i="3"/>
  <c r="E6" i="3"/>
  <c r="D95" i="3"/>
  <c r="AO74" i="3"/>
  <c r="C95" i="3"/>
  <c r="A95" i="3" s="1"/>
  <c r="B95" i="3"/>
  <c r="D94" i="3"/>
  <c r="AO73" i="3" s="1"/>
  <c r="C94" i="3"/>
  <c r="B94" i="3"/>
  <c r="D93" i="3"/>
  <c r="C93" i="3"/>
  <c r="B93" i="3"/>
  <c r="D92" i="3"/>
  <c r="AO71" i="3"/>
  <c r="C92" i="3"/>
  <c r="B92" i="3"/>
  <c r="D91" i="3"/>
  <c r="AO70" i="3"/>
  <c r="C91" i="3"/>
  <c r="A91" i="3" s="1"/>
  <c r="B91" i="3"/>
  <c r="D90" i="3"/>
  <c r="AO69" i="3" s="1"/>
  <c r="C90" i="3"/>
  <c r="A90" i="3" s="1"/>
  <c r="B90" i="3"/>
  <c r="D89" i="3"/>
  <c r="AO68" i="3"/>
  <c r="C89" i="3"/>
  <c r="B89" i="3"/>
  <c r="D88" i="3"/>
  <c r="C88" i="3"/>
  <c r="A88" i="3" s="1"/>
  <c r="B88" i="3"/>
  <c r="D87" i="3"/>
  <c r="AO66" i="3"/>
  <c r="C87" i="3"/>
  <c r="B87" i="3"/>
  <c r="D86" i="3"/>
  <c r="AO65" i="3" s="1"/>
  <c r="C86" i="3"/>
  <c r="A86" i="3" s="1"/>
  <c r="B86" i="3"/>
  <c r="D85" i="3"/>
  <c r="AO64" i="3"/>
  <c r="C85" i="3"/>
  <c r="B85" i="3"/>
  <c r="D84" i="3"/>
  <c r="AO63" i="3" s="1"/>
  <c r="C84" i="3"/>
  <c r="B84" i="3"/>
  <c r="D82" i="3"/>
  <c r="AO61" i="3"/>
  <c r="C82" i="3"/>
  <c r="B82" i="3"/>
  <c r="D81" i="3"/>
  <c r="AO60" i="3" s="1"/>
  <c r="C81" i="3"/>
  <c r="A81" i="3" s="1"/>
  <c r="B81" i="3"/>
  <c r="D80" i="3"/>
  <c r="AO59" i="3"/>
  <c r="C80" i="3"/>
  <c r="B80" i="3"/>
  <c r="D79" i="3"/>
  <c r="C79" i="3"/>
  <c r="A79" i="3" s="1"/>
  <c r="B79" i="3"/>
  <c r="D78" i="3"/>
  <c r="AO57" i="3"/>
  <c r="C78" i="3"/>
  <c r="B78" i="3"/>
  <c r="D77" i="3"/>
  <c r="AO56" i="3" s="1"/>
  <c r="C77" i="3"/>
  <c r="A77" i="3" s="1"/>
  <c r="B77" i="3"/>
  <c r="D76" i="3"/>
  <c r="AO55" i="3"/>
  <c r="C76" i="3"/>
  <c r="B76" i="3"/>
  <c r="D75" i="3"/>
  <c r="AO54" i="3" s="1"/>
  <c r="C75" i="3"/>
  <c r="B75" i="3"/>
  <c r="D74" i="3"/>
  <c r="AO53" i="3"/>
  <c r="C74" i="3"/>
  <c r="B74" i="3"/>
  <c r="D73" i="3"/>
  <c r="AO52" i="3" s="1"/>
  <c r="C73" i="3"/>
  <c r="A73" i="3" s="1"/>
  <c r="B73" i="3"/>
  <c r="D72" i="3"/>
  <c r="AO51" i="3"/>
  <c r="C72" i="3"/>
  <c r="B72" i="3"/>
  <c r="D71" i="3"/>
  <c r="AO50" i="3" s="1"/>
  <c r="C71" i="3"/>
  <c r="A71" i="3" s="1"/>
  <c r="B71" i="3"/>
  <c r="D66" i="3"/>
  <c r="C66" i="3"/>
  <c r="B66" i="3"/>
  <c r="D65" i="3"/>
  <c r="C65" i="3"/>
  <c r="A65" i="3" s="1"/>
  <c r="B65" i="3"/>
  <c r="D64" i="3"/>
  <c r="C64" i="3"/>
  <c r="B64" i="3"/>
  <c r="D63" i="3"/>
  <c r="A63" i="3" s="1"/>
  <c r="C63" i="3"/>
  <c r="B63" i="3"/>
  <c r="D62" i="3"/>
  <c r="C62" i="3"/>
  <c r="A62" i="3" s="1"/>
  <c r="B62" i="3"/>
  <c r="D61" i="3"/>
  <c r="A61" i="3" s="1"/>
  <c r="C61" i="3"/>
  <c r="B61" i="3"/>
  <c r="D60" i="3"/>
  <c r="A60" i="3" s="1"/>
  <c r="C60" i="3"/>
  <c r="B60" i="3"/>
  <c r="D59" i="3"/>
  <c r="C59" i="3"/>
  <c r="B59" i="3"/>
  <c r="D58" i="3"/>
  <c r="C58" i="3"/>
  <c r="B58" i="3"/>
  <c r="D57" i="3"/>
  <c r="C57" i="3"/>
  <c r="B57" i="3"/>
  <c r="D56" i="3"/>
  <c r="A56" i="3" s="1"/>
  <c r="C56" i="3"/>
  <c r="B56" i="3"/>
  <c r="D55" i="3"/>
  <c r="C55" i="3"/>
  <c r="B55" i="3"/>
  <c r="D53" i="3"/>
  <c r="C53" i="3"/>
  <c r="A53" i="3" s="1"/>
  <c r="B53" i="3"/>
  <c r="D52" i="3"/>
  <c r="C52" i="3"/>
  <c r="A52" i="3" s="1"/>
  <c r="B52" i="3"/>
  <c r="D51" i="3"/>
  <c r="A51" i="3"/>
  <c r="C51" i="3"/>
  <c r="B51" i="3"/>
  <c r="D50" i="3"/>
  <c r="C50" i="3"/>
  <c r="B50" i="3"/>
  <c r="D49" i="3"/>
  <c r="C49" i="3"/>
  <c r="B49" i="3"/>
  <c r="D48" i="3"/>
  <c r="C48" i="3"/>
  <c r="B48" i="3"/>
  <c r="D47" i="3"/>
  <c r="C47" i="3"/>
  <c r="A47" i="3" s="1"/>
  <c r="B47" i="3"/>
  <c r="D46" i="3"/>
  <c r="C46" i="3"/>
  <c r="B46" i="3"/>
  <c r="D45" i="3"/>
  <c r="C45" i="3"/>
  <c r="B45" i="3"/>
  <c r="D41" i="3"/>
  <c r="C41" i="3"/>
  <c r="B41" i="3"/>
  <c r="D40" i="3"/>
  <c r="AO46" i="3" s="1"/>
  <c r="C40" i="3"/>
  <c r="A40" i="3" s="1"/>
  <c r="B40" i="3"/>
  <c r="D39" i="3"/>
  <c r="AO45" i="3" s="1"/>
  <c r="C39" i="3"/>
  <c r="B39" i="3"/>
  <c r="D38" i="3"/>
  <c r="AO44" i="3"/>
  <c r="C38" i="3"/>
  <c r="B38" i="3"/>
  <c r="D37" i="3"/>
  <c r="AO43" i="3" s="1"/>
  <c r="C37" i="3"/>
  <c r="B37" i="3"/>
  <c r="D36" i="3"/>
  <c r="AO42" i="3"/>
  <c r="C36" i="3"/>
  <c r="B36" i="3"/>
  <c r="D35" i="3"/>
  <c r="AO41" i="3" s="1"/>
  <c r="C35" i="3"/>
  <c r="B35" i="3"/>
  <c r="D34" i="3"/>
  <c r="AO40" i="3"/>
  <c r="C34" i="3"/>
  <c r="B34" i="3"/>
  <c r="D33" i="3"/>
  <c r="AO39" i="3" s="1"/>
  <c r="C33" i="3"/>
  <c r="B33" i="3"/>
  <c r="D32" i="3"/>
  <c r="AO38" i="3"/>
  <c r="C32" i="3"/>
  <c r="B32" i="3"/>
  <c r="D31" i="3"/>
  <c r="AO37" i="3" s="1"/>
  <c r="C31" i="3"/>
  <c r="B31" i="3"/>
  <c r="D30" i="3"/>
  <c r="AO36" i="3"/>
  <c r="C30" i="3"/>
  <c r="B30" i="3"/>
  <c r="A29" i="3"/>
  <c r="D28" i="3"/>
  <c r="AO34" i="3"/>
  <c r="C28" i="3"/>
  <c r="B28" i="3"/>
  <c r="D27" i="3"/>
  <c r="C27" i="3"/>
  <c r="B27" i="3"/>
  <c r="D26" i="3"/>
  <c r="C26" i="3"/>
  <c r="B26" i="3"/>
  <c r="D25" i="3"/>
  <c r="AO31" i="3" s="1"/>
  <c r="C25" i="3"/>
  <c r="B25" i="3"/>
  <c r="D24" i="3"/>
  <c r="AO30" i="3" s="1"/>
  <c r="C24" i="3"/>
  <c r="B24" i="3"/>
  <c r="D23" i="3"/>
  <c r="C23" i="3"/>
  <c r="B23" i="3"/>
  <c r="D22" i="3"/>
  <c r="C22" i="3"/>
  <c r="B22" i="3"/>
  <c r="D21" i="3"/>
  <c r="AO27" i="3"/>
  <c r="C21" i="3"/>
  <c r="B21" i="3"/>
  <c r="D20" i="3"/>
  <c r="AO26" i="3" s="1"/>
  <c r="C20" i="3"/>
  <c r="B20" i="3"/>
  <c r="D18" i="3"/>
  <c r="AO23" i="3"/>
  <c r="C18" i="3"/>
  <c r="B18" i="3"/>
  <c r="D17" i="3"/>
  <c r="AO22" i="3" s="1"/>
  <c r="C17" i="3"/>
  <c r="B17" i="3"/>
  <c r="D16" i="3"/>
  <c r="AO21" i="3"/>
  <c r="C16" i="3"/>
  <c r="B16" i="3"/>
  <c r="D15" i="3"/>
  <c r="C15" i="3"/>
  <c r="A15" i="3"/>
  <c r="B15" i="3"/>
  <c r="D14" i="3"/>
  <c r="C14" i="3"/>
  <c r="A14" i="3" s="1"/>
  <c r="B14" i="3"/>
  <c r="D13" i="3"/>
  <c r="AO18" i="3" s="1"/>
  <c r="C13" i="3"/>
  <c r="A13" i="3" s="1"/>
  <c r="B13" i="3"/>
  <c r="D12" i="3"/>
  <c r="AO17" i="3" s="1"/>
  <c r="C12" i="3"/>
  <c r="B12" i="3"/>
  <c r="D11" i="3"/>
  <c r="AO16" i="3"/>
  <c r="C11" i="3"/>
  <c r="B11" i="3"/>
  <c r="D10" i="3"/>
  <c r="AO15" i="3" s="1"/>
  <c r="C10" i="3"/>
  <c r="B10" i="3"/>
  <c r="D9" i="3"/>
  <c r="AO14" i="3"/>
  <c r="C9" i="3"/>
  <c r="B9" i="3"/>
  <c r="A83" i="3"/>
  <c r="A70" i="3"/>
  <c r="A69" i="3"/>
  <c r="A68" i="3"/>
  <c r="A67" i="3"/>
  <c r="A54" i="3"/>
  <c r="A44" i="3"/>
  <c r="A43" i="3"/>
  <c r="A42" i="3"/>
  <c r="A19" i="3"/>
  <c r="D3" i="13"/>
  <c r="AB2" i="13"/>
  <c r="Z2" i="13"/>
  <c r="X2" i="13"/>
  <c r="W2" i="13"/>
  <c r="V2" i="13"/>
  <c r="N2" i="13"/>
  <c r="M2" i="13"/>
  <c r="L2" i="13"/>
  <c r="D2" i="13"/>
  <c r="B2" i="13"/>
  <c r="S2" i="9"/>
  <c r="T2" i="9"/>
  <c r="U2" i="9"/>
  <c r="W2" i="9"/>
  <c r="X2" i="9"/>
  <c r="Y2" i="9"/>
  <c r="AA2" i="9"/>
  <c r="AF2" i="9"/>
  <c r="AN5" i="9"/>
  <c r="AN6" i="9"/>
  <c r="AN7" i="9"/>
  <c r="AN8" i="9"/>
  <c r="AN9" i="9"/>
  <c r="AN10" i="9"/>
  <c r="AN11" i="9"/>
  <c r="AN12" i="9"/>
  <c r="AN13" i="9"/>
  <c r="AN14" i="9"/>
  <c r="AN15" i="9"/>
  <c r="AN16" i="9"/>
  <c r="S2" i="2"/>
  <c r="T2" i="2"/>
  <c r="U2" i="2"/>
  <c r="W2" i="2"/>
  <c r="X2" i="2"/>
  <c r="Y2" i="2"/>
  <c r="AA2" i="2"/>
  <c r="H4" i="20"/>
  <c r="AG2" i="2"/>
  <c r="AN5" i="2"/>
  <c r="AN6" i="2"/>
  <c r="AN7" i="2"/>
  <c r="AN8" i="2"/>
  <c r="AN9" i="2"/>
  <c r="AN10" i="2"/>
  <c r="AN11" i="2"/>
  <c r="AN12" i="2"/>
  <c r="AN13" i="2"/>
  <c r="AN14" i="2"/>
  <c r="AN15" i="2"/>
  <c r="AN16" i="2"/>
  <c r="D856" i="13"/>
  <c r="D855" i="13"/>
  <c r="D854" i="13"/>
  <c r="D853" i="13"/>
  <c r="D852" i="13"/>
  <c r="D851" i="13"/>
  <c r="D850" i="13"/>
  <c r="D849" i="13"/>
  <c r="D848" i="13"/>
  <c r="D2" i="9"/>
  <c r="I19" i="9"/>
  <c r="D2" i="2"/>
  <c r="I19" i="2" s="1"/>
  <c r="D839" i="13"/>
  <c r="E839" i="13" s="1"/>
  <c r="C839" i="13"/>
  <c r="B839" i="13"/>
  <c r="D842" i="13"/>
  <c r="C842" i="13"/>
  <c r="B842" i="13"/>
  <c r="C857" i="13"/>
  <c r="E855" i="13"/>
  <c r="B846" i="13"/>
  <c r="L16" i="4"/>
  <c r="AW13" i="2" s="1"/>
  <c r="L15" i="4"/>
  <c r="AW12" i="2" s="1"/>
  <c r="L14" i="4"/>
  <c r="AW11" i="2" s="1"/>
  <c r="L13" i="4"/>
  <c r="AW10" i="2" s="1"/>
  <c r="L12" i="4"/>
  <c r="AW9" i="2" s="1"/>
  <c r="I31" i="4"/>
  <c r="J31" i="4" s="1"/>
  <c r="I18" i="4"/>
  <c r="M18" i="4" s="1"/>
  <c r="AS14" i="2" s="1"/>
  <c r="I16" i="4"/>
  <c r="J16" i="4"/>
  <c r="I15" i="4"/>
  <c r="I14" i="4"/>
  <c r="J14" i="4" s="1"/>
  <c r="I13" i="4"/>
  <c r="M13" i="4" s="1"/>
  <c r="AS10" i="2" s="1"/>
  <c r="I12" i="4"/>
  <c r="J12" i="4" s="1"/>
  <c r="I11" i="4"/>
  <c r="I10" i="4"/>
  <c r="J10" i="4" s="1"/>
  <c r="K45" i="9"/>
  <c r="J45" i="9"/>
  <c r="F8" i="9" s="1"/>
  <c r="I45" i="9"/>
  <c r="H45" i="9"/>
  <c r="G45" i="9"/>
  <c r="M27" i="9"/>
  <c r="M26" i="9" s="1"/>
  <c r="L27" i="9"/>
  <c r="L26" i="9" s="1"/>
  <c r="K27" i="9"/>
  <c r="K28" i="9" s="1"/>
  <c r="J27" i="9"/>
  <c r="J28" i="9" s="1"/>
  <c r="I27" i="9"/>
  <c r="I38" i="9" s="1"/>
  <c r="H27" i="9"/>
  <c r="H40" i="9"/>
  <c r="G27" i="9"/>
  <c r="G40" i="9"/>
  <c r="F27" i="9"/>
  <c r="F41" i="9" s="1"/>
  <c r="E27" i="9"/>
  <c r="E41" i="9" s="1"/>
  <c r="F27" i="2"/>
  <c r="F39" i="2" s="1"/>
  <c r="C2" i="9"/>
  <c r="A37" i="4"/>
  <c r="K45" i="2"/>
  <c r="S9" i="2" s="1"/>
  <c r="J45" i="2"/>
  <c r="I45" i="2"/>
  <c r="H45" i="2"/>
  <c r="G45" i="2"/>
  <c r="M27" i="2"/>
  <c r="M26" i="2" s="1"/>
  <c r="L27" i="2"/>
  <c r="L28" i="2"/>
  <c r="K27" i="2"/>
  <c r="K28" i="2" s="1"/>
  <c r="J27" i="2"/>
  <c r="I27" i="2"/>
  <c r="I39" i="2" s="1"/>
  <c r="H27" i="2"/>
  <c r="H40" i="2" s="1"/>
  <c r="G27" i="2"/>
  <c r="G39" i="2" s="1"/>
  <c r="E27" i="2"/>
  <c r="E39" i="2" s="1"/>
  <c r="D27" i="2"/>
  <c r="F38" i="4"/>
  <c r="G38" i="4"/>
  <c r="H38" i="4"/>
  <c r="I38" i="4"/>
  <c r="J38" i="4"/>
  <c r="F59" i="7"/>
  <c r="G59" i="7" s="1"/>
  <c r="H59" i="7" s="1"/>
  <c r="I59" i="7" s="1"/>
  <c r="J59" i="7" s="1"/>
  <c r="K59" i="7"/>
  <c r="L59" i="7" s="1"/>
  <c r="M59" i="7" s="1"/>
  <c r="N59" i="7" s="1"/>
  <c r="O59" i="7" s="1"/>
  <c r="P59" i="7" s="1"/>
  <c r="Q59" i="7" s="1"/>
  <c r="R59" i="7" s="1"/>
  <c r="S59" i="7"/>
  <c r="T59" i="7" s="1"/>
  <c r="U59" i="7" s="1"/>
  <c r="V59" i="7" s="1"/>
  <c r="W59" i="7" s="1"/>
  <c r="X59" i="7" s="1"/>
  <c r="Y59" i="7" s="1"/>
  <c r="Z59" i="7" s="1"/>
  <c r="AA59" i="7" s="1"/>
  <c r="AB59" i="7" s="1"/>
  <c r="AC59" i="7" s="1"/>
  <c r="AD59" i="7" s="1"/>
  <c r="AE59" i="7" s="1"/>
  <c r="AF59" i="7" s="1"/>
  <c r="AG59" i="7" s="1"/>
  <c r="AH59" i="7" s="1"/>
  <c r="AI59" i="7" s="1"/>
  <c r="AJ59" i="7" s="1"/>
  <c r="AK59" i="7" s="1"/>
  <c r="AL59" i="7" s="1"/>
  <c r="AM59" i="7" s="1"/>
  <c r="AN59" i="7" s="1"/>
  <c r="C64" i="7"/>
  <c r="AB66" i="7"/>
  <c r="AB67" i="7"/>
  <c r="AB68" i="7"/>
  <c r="AB69" i="7"/>
  <c r="AB70" i="7"/>
  <c r="AB71" i="7"/>
  <c r="AB72" i="7"/>
  <c r="AB73" i="7"/>
  <c r="AB74" i="7"/>
  <c r="AB75" i="7"/>
  <c r="E99" i="7"/>
  <c r="F99" i="7"/>
  <c r="G99" i="7"/>
  <c r="H99" i="7"/>
  <c r="I99" i="7"/>
  <c r="J99" i="7"/>
  <c r="K99" i="7"/>
  <c r="L99" i="7"/>
  <c r="M99" i="7"/>
  <c r="N99" i="7"/>
  <c r="P99" i="7"/>
  <c r="Q99" i="7"/>
  <c r="R99" i="7"/>
  <c r="S99" i="7"/>
  <c r="T99" i="7"/>
  <c r="U99" i="7"/>
  <c r="V99" i="7"/>
  <c r="W99" i="7"/>
  <c r="X99" i="7"/>
  <c r="Y99" i="7"/>
  <c r="Z99" i="7"/>
  <c r="AA99" i="7"/>
  <c r="AB99" i="7"/>
  <c r="AC99" i="7"/>
  <c r="AD99" i="7"/>
  <c r="AE99" i="7"/>
  <c r="AF99" i="7"/>
  <c r="AG99" i="7"/>
  <c r="AH99" i="7"/>
  <c r="AI99" i="7"/>
  <c r="AJ99" i="7"/>
  <c r="AK99" i="7"/>
  <c r="AL99" i="7"/>
  <c r="AM99" i="7"/>
  <c r="AN99" i="7"/>
  <c r="C100" i="7"/>
  <c r="AB102" i="7"/>
  <c r="AB103" i="7"/>
  <c r="AB104" i="7"/>
  <c r="AB105" i="7"/>
  <c r="AB106" i="7"/>
  <c r="AB107" i="7"/>
  <c r="AB108" i="7"/>
  <c r="AB109" i="7"/>
  <c r="AB110" i="7"/>
  <c r="AB111" i="7"/>
  <c r="AB112" i="7"/>
  <c r="AB113" i="7"/>
  <c r="AB114" i="7"/>
  <c r="AB115" i="7"/>
  <c r="AB116" i="7"/>
  <c r="AB117" i="7"/>
  <c r="AB118" i="7"/>
  <c r="AB119" i="7"/>
  <c r="AB120" i="7"/>
  <c r="AB121" i="7"/>
  <c r="AB122" i="7"/>
  <c r="AB123" i="7"/>
  <c r="C124" i="7"/>
  <c r="E124" i="7"/>
  <c r="F124" i="7"/>
  <c r="G124" i="7"/>
  <c r="H124" i="7"/>
  <c r="I124" i="7"/>
  <c r="J124" i="7"/>
  <c r="K124" i="7"/>
  <c r="L124" i="7"/>
  <c r="M124" i="7"/>
  <c r="N124" i="7"/>
  <c r="P124" i="7"/>
  <c r="Q124" i="7"/>
  <c r="R124" i="7"/>
  <c r="S124" i="7"/>
  <c r="T124" i="7"/>
  <c r="U124" i="7"/>
  <c r="V124" i="7"/>
  <c r="W124" i="7"/>
  <c r="X124" i="7"/>
  <c r="Y124" i="7"/>
  <c r="Z124" i="7"/>
  <c r="AA124" i="7"/>
  <c r="AB124" i="7"/>
  <c r="AC124" i="7"/>
  <c r="AD124" i="7"/>
  <c r="AE124" i="7"/>
  <c r="AF124" i="7"/>
  <c r="AG124" i="7"/>
  <c r="AH124" i="7"/>
  <c r="AI124" i="7"/>
  <c r="AJ124" i="7"/>
  <c r="AK124" i="7"/>
  <c r="AL124" i="7"/>
  <c r="AM124" i="7"/>
  <c r="AN124" i="7"/>
  <c r="C125" i="7"/>
  <c r="E125" i="7"/>
  <c r="F125" i="7"/>
  <c r="G125" i="7"/>
  <c r="H125" i="7"/>
  <c r="I125" i="7"/>
  <c r="J125" i="7"/>
  <c r="K125" i="7"/>
  <c r="L125" i="7"/>
  <c r="M125" i="7"/>
  <c r="N125" i="7"/>
  <c r="P125" i="7"/>
  <c r="Q125" i="7"/>
  <c r="R125" i="7"/>
  <c r="S125" i="7"/>
  <c r="T125" i="7"/>
  <c r="U125" i="7"/>
  <c r="V125" i="7"/>
  <c r="W125" i="7"/>
  <c r="X125" i="7"/>
  <c r="Y125" i="7"/>
  <c r="Z125" i="7"/>
  <c r="AA125" i="7"/>
  <c r="AB125" i="7"/>
  <c r="AC125" i="7"/>
  <c r="AD125" i="7"/>
  <c r="AE125" i="7"/>
  <c r="AF125" i="7"/>
  <c r="AG125" i="7"/>
  <c r="AH125" i="7"/>
  <c r="AI125" i="7"/>
  <c r="AJ125" i="7"/>
  <c r="AK125" i="7"/>
  <c r="AL125" i="7"/>
  <c r="AM125" i="7"/>
  <c r="AN125" i="7"/>
  <c r="C126" i="7"/>
  <c r="E126" i="7"/>
  <c r="F126" i="7"/>
  <c r="G126" i="7"/>
  <c r="H126" i="7"/>
  <c r="I126" i="7"/>
  <c r="J126" i="7"/>
  <c r="K126" i="7"/>
  <c r="L126" i="7"/>
  <c r="M126" i="7"/>
  <c r="N126" i="7"/>
  <c r="O126" i="7"/>
  <c r="P126" i="7"/>
  <c r="Q126" i="7"/>
  <c r="R126" i="7"/>
  <c r="S126" i="7"/>
  <c r="T126" i="7"/>
  <c r="U126" i="7"/>
  <c r="V126" i="7"/>
  <c r="W126" i="7"/>
  <c r="X126" i="7"/>
  <c r="Y126" i="7"/>
  <c r="Z126" i="7"/>
  <c r="AA126" i="7"/>
  <c r="AB126" i="7"/>
  <c r="AC126" i="7"/>
  <c r="AD126" i="7"/>
  <c r="AE126" i="7"/>
  <c r="AF126" i="7"/>
  <c r="AG126" i="7"/>
  <c r="AH126" i="7"/>
  <c r="AI126" i="7"/>
  <c r="AJ126" i="7"/>
  <c r="AK126" i="7"/>
  <c r="AL126" i="7"/>
  <c r="AM126" i="7"/>
  <c r="AN126" i="7"/>
  <c r="C127" i="7"/>
  <c r="E127" i="7"/>
  <c r="F127" i="7"/>
  <c r="G127" i="7"/>
  <c r="H127" i="7"/>
  <c r="I127" i="7"/>
  <c r="J127" i="7"/>
  <c r="K127" i="7"/>
  <c r="L127" i="7"/>
  <c r="M127" i="7"/>
  <c r="N127" i="7"/>
  <c r="O127" i="7"/>
  <c r="P127" i="7"/>
  <c r="Q127" i="7"/>
  <c r="R127" i="7"/>
  <c r="S127" i="7"/>
  <c r="T127" i="7"/>
  <c r="U127" i="7"/>
  <c r="V127" i="7"/>
  <c r="W127" i="7"/>
  <c r="X127" i="7"/>
  <c r="Y127" i="7"/>
  <c r="Z127" i="7"/>
  <c r="AA127" i="7"/>
  <c r="AB127" i="7"/>
  <c r="AC127" i="7"/>
  <c r="AD127" i="7"/>
  <c r="AE127" i="7"/>
  <c r="AF127" i="7"/>
  <c r="AG127" i="7"/>
  <c r="AH127" i="7"/>
  <c r="AI127" i="7"/>
  <c r="AJ127" i="7"/>
  <c r="AK127" i="7"/>
  <c r="AL127" i="7"/>
  <c r="AM127" i="7"/>
  <c r="AN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E153" i="7"/>
  <c r="F153" i="7"/>
  <c r="G153" i="7"/>
  <c r="H153" i="7"/>
  <c r="I153" i="7"/>
  <c r="J153" i="7"/>
  <c r="K153" i="7"/>
  <c r="L153" i="7"/>
  <c r="M153" i="7"/>
  <c r="N153" i="7"/>
  <c r="O153" i="7"/>
  <c r="P153" i="7"/>
  <c r="Q153" i="7"/>
  <c r="R153" i="7"/>
  <c r="S153" i="7"/>
  <c r="T153" i="7"/>
  <c r="U153" i="7"/>
  <c r="V153" i="7"/>
  <c r="W153" i="7"/>
  <c r="X153" i="7"/>
  <c r="Y153" i="7"/>
  <c r="Z153" i="7"/>
  <c r="AA153" i="7"/>
  <c r="AB153" i="7"/>
  <c r="AC153" i="7"/>
  <c r="AD153" i="7"/>
  <c r="AE153" i="7"/>
  <c r="AF153" i="7"/>
  <c r="AG153" i="7"/>
  <c r="AH153" i="7"/>
  <c r="AI153" i="7"/>
  <c r="AJ153" i="7"/>
  <c r="AK153" i="7"/>
  <c r="AL153" i="7"/>
  <c r="AM153" i="7"/>
  <c r="AN153" i="7"/>
  <c r="R98" i="3"/>
  <c r="C2" i="2"/>
  <c r="E4" i="20" s="1"/>
  <c r="C11" i="5"/>
  <c r="D11" i="5" s="1"/>
  <c r="J4" i="4" s="1"/>
  <c r="I5" i="4" s="1"/>
  <c r="C16" i="5"/>
  <c r="D16" i="5" s="1"/>
  <c r="K4" i="4" s="1"/>
  <c r="C21" i="5"/>
  <c r="D21" i="5" s="1"/>
  <c r="H10" i="5"/>
  <c r="M16" i="4"/>
  <c r="AS13" i="2" s="1"/>
  <c r="M31" i="4"/>
  <c r="AS6" i="2" s="1"/>
  <c r="E111" i="19"/>
  <c r="E110" i="19"/>
  <c r="E109" i="19"/>
  <c r="E108" i="19"/>
  <c r="E107" i="19"/>
  <c r="E106" i="19"/>
  <c r="E105" i="19"/>
  <c r="E104" i="19"/>
  <c r="E103" i="19"/>
  <c r="E102" i="19"/>
  <c r="E101" i="19"/>
  <c r="E100" i="19"/>
  <c r="E81" i="19"/>
  <c r="E79" i="19"/>
  <c r="E77" i="19"/>
  <c r="E82" i="19"/>
  <c r="E78" i="19"/>
  <c r="G110" i="19"/>
  <c r="G105" i="19"/>
  <c r="G102" i="19"/>
  <c r="G77" i="19"/>
  <c r="I111" i="19"/>
  <c r="I110" i="19"/>
  <c r="I109" i="19"/>
  <c r="I108" i="19"/>
  <c r="I107" i="19"/>
  <c r="I106" i="19"/>
  <c r="I105" i="19"/>
  <c r="I104" i="19"/>
  <c r="I103" i="19"/>
  <c r="I102" i="19"/>
  <c r="I101" i="19"/>
  <c r="I81" i="19"/>
  <c r="I74" i="19"/>
  <c r="O74" i="19" s="1"/>
  <c r="I100" i="19"/>
  <c r="I82" i="19"/>
  <c r="I77" i="19"/>
  <c r="M111" i="19"/>
  <c r="M110" i="19"/>
  <c r="M109" i="19"/>
  <c r="M108" i="19"/>
  <c r="M107" i="19"/>
  <c r="M106" i="19"/>
  <c r="M105" i="19"/>
  <c r="M104" i="19"/>
  <c r="M103" i="19"/>
  <c r="M102" i="19"/>
  <c r="M101" i="19"/>
  <c r="M78" i="19"/>
  <c r="M74" i="19"/>
  <c r="M100" i="19"/>
  <c r="M81" i="19"/>
  <c r="M79" i="19"/>
  <c r="M77" i="19"/>
  <c r="E28" i="19"/>
  <c r="G28" i="19"/>
  <c r="I28" i="19"/>
  <c r="K28" i="19"/>
  <c r="E29" i="19"/>
  <c r="I29" i="19"/>
  <c r="M29" i="19"/>
  <c r="F30" i="19"/>
  <c r="H30" i="19"/>
  <c r="L30" i="19"/>
  <c r="F38" i="19"/>
  <c r="H38" i="19"/>
  <c r="J38" i="19"/>
  <c r="E39" i="19"/>
  <c r="G39" i="19"/>
  <c r="I39" i="19"/>
  <c r="K39" i="19"/>
  <c r="F40" i="19"/>
  <c r="H40" i="19"/>
  <c r="J40" i="19"/>
  <c r="E41" i="19"/>
  <c r="G41" i="19"/>
  <c r="I41" i="19"/>
  <c r="K41" i="19"/>
  <c r="H42" i="19"/>
  <c r="J42" i="19"/>
  <c r="E43" i="19"/>
  <c r="H43" i="19"/>
  <c r="E44" i="19"/>
  <c r="I44" i="19"/>
  <c r="D49" i="19"/>
  <c r="I49" i="19"/>
  <c r="M49" i="19"/>
  <c r="E50" i="19"/>
  <c r="L50" i="19"/>
  <c r="M51" i="19"/>
  <c r="E52" i="19"/>
  <c r="J52" i="19"/>
  <c r="L52" i="19"/>
  <c r="D53" i="19"/>
  <c r="H53" i="19"/>
  <c r="M53" i="19"/>
  <c r="G54" i="19"/>
  <c r="I54" i="19"/>
  <c r="E56" i="19"/>
  <c r="I56" i="19"/>
  <c r="E57" i="19"/>
  <c r="G57" i="19"/>
  <c r="I57" i="19"/>
  <c r="D111" i="19"/>
  <c r="D110" i="19"/>
  <c r="D109" i="19"/>
  <c r="D108" i="19"/>
  <c r="D107" i="19"/>
  <c r="D106" i="19"/>
  <c r="D105" i="19"/>
  <c r="D104" i="19"/>
  <c r="D103" i="19"/>
  <c r="D102" i="19"/>
  <c r="D101" i="19"/>
  <c r="D82" i="19"/>
  <c r="D78" i="19"/>
  <c r="D74" i="19"/>
  <c r="D100" i="19"/>
  <c r="D81" i="19"/>
  <c r="D77" i="19"/>
  <c r="D75" i="19"/>
  <c r="F111" i="19"/>
  <c r="F108" i="19"/>
  <c r="F107" i="19"/>
  <c r="F104" i="19"/>
  <c r="F103" i="19"/>
  <c r="F82" i="19"/>
  <c r="F100" i="19"/>
  <c r="F81" i="19"/>
  <c r="F74" i="19"/>
  <c r="H111" i="19"/>
  <c r="H110" i="19"/>
  <c r="H109" i="19"/>
  <c r="H108" i="19"/>
  <c r="H107" i="19"/>
  <c r="H106" i="19"/>
  <c r="H105" i="19"/>
  <c r="H104" i="19"/>
  <c r="H103" i="19"/>
  <c r="H102" i="19"/>
  <c r="H101" i="19"/>
  <c r="H100" i="19"/>
  <c r="H82" i="19"/>
  <c r="H78" i="19"/>
  <c r="H75" i="19"/>
  <c r="H81" i="19"/>
  <c r="H74" i="19"/>
  <c r="J109" i="19"/>
  <c r="J108" i="19"/>
  <c r="J105" i="19"/>
  <c r="J104" i="19"/>
  <c r="J101" i="19"/>
  <c r="J100" i="19"/>
  <c r="J77" i="19"/>
  <c r="J75" i="19"/>
  <c r="J74" i="19"/>
  <c r="L111" i="19"/>
  <c r="L110" i="19"/>
  <c r="L109" i="19"/>
  <c r="L108" i="19"/>
  <c r="L107" i="19"/>
  <c r="L106" i="19"/>
  <c r="L105" i="19"/>
  <c r="L104" i="19"/>
  <c r="L103" i="19"/>
  <c r="L102" i="19"/>
  <c r="L101" i="19"/>
  <c r="L100" i="19"/>
  <c r="L82" i="19"/>
  <c r="L79" i="19"/>
  <c r="L77" i="19"/>
  <c r="L78" i="19"/>
  <c r="L76" i="19"/>
  <c r="L74" i="19"/>
  <c r="AB26" i="19"/>
  <c r="F28" i="19"/>
  <c r="H28" i="19"/>
  <c r="J28" i="19"/>
  <c r="D29" i="19"/>
  <c r="F29" i="19"/>
  <c r="H29" i="19"/>
  <c r="L29" i="19"/>
  <c r="E30" i="19"/>
  <c r="I30" i="19"/>
  <c r="M30" i="19"/>
  <c r="E38" i="19"/>
  <c r="G38" i="19"/>
  <c r="I38" i="19"/>
  <c r="K38" i="19"/>
  <c r="F39" i="19"/>
  <c r="H39" i="19"/>
  <c r="J39" i="19"/>
  <c r="E42" i="19"/>
  <c r="I42" i="19"/>
  <c r="G43" i="19"/>
  <c r="I43" i="19"/>
  <c r="H44" i="19"/>
  <c r="J44" i="19"/>
  <c r="H49" i="19"/>
  <c r="J49" i="19"/>
  <c r="L49" i="19"/>
  <c r="AB49" i="19"/>
  <c r="G50" i="19"/>
  <c r="I50" i="19"/>
  <c r="AB51" i="19"/>
  <c r="D52" i="19"/>
  <c r="I52" i="19"/>
  <c r="M52" i="19"/>
  <c r="E53" i="19"/>
  <c r="J53" i="19"/>
  <c r="J59" i="19" s="1"/>
  <c r="L53" i="19"/>
  <c r="AB53" i="19"/>
  <c r="F54" i="19"/>
  <c r="H54" i="19"/>
  <c r="D56" i="19"/>
  <c r="F56" i="19"/>
  <c r="H56" i="19"/>
  <c r="J56" i="19"/>
  <c r="AB56" i="19"/>
  <c r="D57" i="19"/>
  <c r="H57" i="19"/>
  <c r="J57" i="19"/>
  <c r="AB57" i="19"/>
  <c r="AB29" i="19"/>
  <c r="O34" i="19"/>
  <c r="O109" i="19" s="1"/>
  <c r="AC26" i="19"/>
  <c r="L124" i="19"/>
  <c r="L122" i="19"/>
  <c r="L120" i="19"/>
  <c r="L118" i="19"/>
  <c r="L116" i="19"/>
  <c r="L114" i="19"/>
  <c r="L123" i="19"/>
  <c r="L121" i="19"/>
  <c r="L119" i="19"/>
  <c r="L117" i="19"/>
  <c r="L115" i="19"/>
  <c r="L113" i="19"/>
  <c r="H122" i="19"/>
  <c r="H120" i="19"/>
  <c r="H118" i="19"/>
  <c r="H114" i="19"/>
  <c r="H123" i="19"/>
  <c r="H121" i="19"/>
  <c r="H117" i="19"/>
  <c r="H115" i="19"/>
  <c r="H113" i="19"/>
  <c r="AB54" i="19"/>
  <c r="AB52" i="19"/>
  <c r="M119" i="19"/>
  <c r="M115" i="19"/>
  <c r="M120" i="19"/>
  <c r="I123" i="19"/>
  <c r="I121" i="19"/>
  <c r="I119" i="19"/>
  <c r="I117" i="19"/>
  <c r="I115" i="19"/>
  <c r="I113" i="19"/>
  <c r="O113" i="19"/>
  <c r="I124" i="19"/>
  <c r="I122" i="19"/>
  <c r="I120" i="19"/>
  <c r="I118" i="19"/>
  <c r="O118" i="19"/>
  <c r="I116" i="19"/>
  <c r="O116" i="19"/>
  <c r="I114" i="19"/>
  <c r="E123" i="19"/>
  <c r="E121" i="19"/>
  <c r="E119" i="19"/>
  <c r="E115" i="19"/>
  <c r="E113" i="19"/>
  <c r="E124" i="19"/>
  <c r="E120" i="19"/>
  <c r="E118" i="19"/>
  <c r="E116" i="19"/>
  <c r="F124" i="19"/>
  <c r="F117" i="19"/>
  <c r="F115" i="19"/>
  <c r="AC57" i="19"/>
  <c r="AC53" i="19"/>
  <c r="O108" i="19"/>
  <c r="O104" i="19"/>
  <c r="O121" i="19"/>
  <c r="O119" i="19"/>
  <c r="O81" i="19"/>
  <c r="O82" i="19"/>
  <c r="O56" i="19"/>
  <c r="O49" i="19"/>
  <c r="O44" i="19"/>
  <c r="Z35" i="19"/>
  <c r="O29" i="19"/>
  <c r="O26" i="19"/>
  <c r="H84" i="19" s="1"/>
  <c r="P84" i="19" s="1"/>
  <c r="O54" i="19"/>
  <c r="O52" i="19"/>
  <c r="O46" i="19"/>
  <c r="O45" i="19"/>
  <c r="O38" i="19"/>
  <c r="A30" i="3"/>
  <c r="AO58" i="3"/>
  <c r="K40" i="2"/>
  <c r="AO19" i="3"/>
  <c r="A58" i="3"/>
  <c r="A87" i="3"/>
  <c r="A45" i="3"/>
  <c r="E853" i="13"/>
  <c r="E854" i="13"/>
  <c r="E856" i="13"/>
  <c r="E850" i="13"/>
  <c r="E849" i="13"/>
  <c r="E851" i="13"/>
  <c r="E852" i="13"/>
  <c r="C3" i="4"/>
  <c r="C2" i="4"/>
  <c r="F3" i="4"/>
  <c r="F4" i="4" s="1"/>
  <c r="E5" i="4" s="1"/>
  <c r="F2" i="4"/>
  <c r="J39" i="2"/>
  <c r="A37" i="3"/>
  <c r="A75" i="3"/>
  <c r="A31" i="3"/>
  <c r="J38" i="2"/>
  <c r="J26" i="2"/>
  <c r="J41" i="2"/>
  <c r="AO32" i="3"/>
  <c r="A35" i="3"/>
  <c r="A78" i="3"/>
  <c r="AO67" i="3"/>
  <c r="AO20" i="3"/>
  <c r="J40" i="2"/>
  <c r="J28" i="2"/>
  <c r="A94" i="3"/>
  <c r="A16" i="3"/>
  <c r="A25" i="3"/>
  <c r="A84" i="3"/>
  <c r="A92" i="3"/>
  <c r="A12" i="3"/>
  <c r="E40" i="9"/>
  <c r="E28" i="2"/>
  <c r="A33" i="3"/>
  <c r="A48" i="3"/>
  <c r="A89" i="3"/>
  <c r="A57" i="3"/>
  <c r="A50" i="3"/>
  <c r="A82" i="3"/>
  <c r="A85" i="3"/>
  <c r="A11" i="3"/>
  <c r="A74" i="3"/>
  <c r="A76" i="3"/>
  <c r="A80" i="3"/>
  <c r="A24" i="3"/>
  <c r="A32" i="3"/>
  <c r="A66" i="3"/>
  <c r="A17" i="3"/>
  <c r="A26" i="3"/>
  <c r="A46" i="3"/>
  <c r="A72" i="3"/>
  <c r="L28" i="9"/>
  <c r="I28" i="9"/>
  <c r="I40" i="9"/>
  <c r="E41" i="2"/>
  <c r="A18" i="3"/>
  <c r="AO33" i="3"/>
  <c r="A27" i="3"/>
  <c r="A9" i="3"/>
  <c r="A20" i="3"/>
  <c r="A28" i="3"/>
  <c r="A34" i="3"/>
  <c r="A36" i="3"/>
  <c r="A38" i="3"/>
  <c r="A39" i="3"/>
  <c r="A55" i="3"/>
  <c r="A64" i="3"/>
  <c r="O113" i="20"/>
  <c r="O47" i="20"/>
  <c r="A10" i="3"/>
  <c r="A21" i="3"/>
  <c r="A59" i="3"/>
  <c r="V49" i="21"/>
  <c r="I26" i="2"/>
  <c r="J13" i="4"/>
  <c r="N13" i="4" s="1"/>
  <c r="M12" i="4"/>
  <c r="AS9" i="2" s="1"/>
  <c r="M28" i="2"/>
  <c r="L26" i="2"/>
  <c r="M10" i="4"/>
  <c r="AS7" i="2" s="1"/>
  <c r="C4" i="4"/>
  <c r="O48" i="20"/>
  <c r="O28" i="20"/>
  <c r="O34" i="20"/>
  <c r="O97" i="20"/>
  <c r="O105" i="20"/>
  <c r="O44" i="20"/>
  <c r="O81" i="20"/>
  <c r="O87" i="20"/>
  <c r="O13" i="20"/>
  <c r="O60" i="20"/>
  <c r="O91" i="20"/>
  <c r="O17" i="20"/>
  <c r="O39" i="20"/>
  <c r="J40" i="9"/>
  <c r="H38" i="9"/>
  <c r="H28" i="9"/>
  <c r="M28" i="9"/>
  <c r="K41" i="9"/>
  <c r="J38" i="9"/>
  <c r="G28" i="9"/>
  <c r="G38" i="9"/>
  <c r="G26" i="9"/>
  <c r="G42" i="9" s="1"/>
  <c r="G108" i="9"/>
  <c r="G39" i="9"/>
  <c r="G41" i="9"/>
  <c r="F26" i="9"/>
  <c r="F29" i="9" s="1"/>
  <c r="K40" i="9"/>
  <c r="K39" i="9"/>
  <c r="K26" i="9"/>
  <c r="K38" i="9"/>
  <c r="J39" i="9"/>
  <c r="J41" i="9"/>
  <c r="J26" i="9"/>
  <c r="I41" i="9"/>
  <c r="I39" i="9"/>
  <c r="I26" i="9"/>
  <c r="H39" i="9"/>
  <c r="H41" i="9"/>
  <c r="H26" i="9"/>
  <c r="E26" i="9"/>
  <c r="E28" i="9"/>
  <c r="E38" i="9"/>
  <c r="E39" i="9"/>
  <c r="AO28" i="3"/>
  <c r="A22" i="3"/>
  <c r="AO29" i="3"/>
  <c r="A23" i="3"/>
  <c r="F118" i="19"/>
  <c r="F121" i="19"/>
  <c r="F113" i="19"/>
  <c r="F122" i="19"/>
  <c r="F123" i="19"/>
  <c r="F120" i="19"/>
  <c r="F119" i="19"/>
  <c r="F116" i="19"/>
  <c r="F114" i="19"/>
  <c r="J15" i="4"/>
  <c r="N15" i="4" s="1"/>
  <c r="AT12" i="2" s="1"/>
  <c r="M15" i="4"/>
  <c r="AS12" i="2" s="1"/>
  <c r="AC29" i="19"/>
  <c r="AC52" i="19"/>
  <c r="AC56" i="19"/>
  <c r="P34" i="19"/>
  <c r="P118" i="19" s="1"/>
  <c r="AC49" i="19"/>
  <c r="AC54" i="19"/>
  <c r="M117" i="19"/>
  <c r="M122" i="19"/>
  <c r="M114" i="19"/>
  <c r="M123" i="19"/>
  <c r="M113" i="19"/>
  <c r="M116" i="19"/>
  <c r="M121" i="19"/>
  <c r="M124" i="19"/>
  <c r="E76" i="19"/>
  <c r="G108" i="19"/>
  <c r="G104" i="19"/>
  <c r="G100" i="19"/>
  <c r="G74" i="19"/>
  <c r="G75" i="19"/>
  <c r="F51" i="19"/>
  <c r="D76" i="19"/>
  <c r="J51" i="19"/>
  <c r="G111" i="19"/>
  <c r="G107" i="19"/>
  <c r="G103" i="19"/>
  <c r="G81" i="19"/>
  <c r="G82" i="19"/>
  <c r="I51" i="19"/>
  <c r="O51" i="19" s="1"/>
  <c r="G52" i="19"/>
  <c r="H76" i="19"/>
  <c r="L51" i="19"/>
  <c r="G53" i="19"/>
  <c r="G59" i="19" s="1"/>
  <c r="AC51" i="19"/>
  <c r="X6" i="19"/>
  <c r="X10" i="19"/>
  <c r="F10" i="19"/>
  <c r="G109" i="19"/>
  <c r="G101" i="19"/>
  <c r="G78" i="19"/>
  <c r="G29" i="19"/>
  <c r="G49" i="19"/>
  <c r="G56" i="19"/>
  <c r="J76" i="19"/>
  <c r="G42" i="19"/>
  <c r="E51" i="19"/>
  <c r="T12" i="19"/>
  <c r="J4" i="19"/>
  <c r="H10" i="19"/>
  <c r="G106" i="19"/>
  <c r="G79" i="19"/>
  <c r="I76" i="19"/>
  <c r="O76" i="19"/>
  <c r="M76" i="19"/>
  <c r="G44" i="19"/>
  <c r="D51" i="19"/>
  <c r="G30" i="19"/>
  <c r="H51" i="19"/>
  <c r="AD51" i="19"/>
  <c r="K108" i="19"/>
  <c r="K104" i="19"/>
  <c r="K100" i="19"/>
  <c r="K74" i="19"/>
  <c r="K75" i="19"/>
  <c r="M80" i="19"/>
  <c r="K29" i="19"/>
  <c r="J55" i="19"/>
  <c r="H80" i="19"/>
  <c r="H47" i="19"/>
  <c r="K43" i="19"/>
  <c r="K111" i="19"/>
  <c r="K107" i="19"/>
  <c r="K103" i="19"/>
  <c r="K81" i="19"/>
  <c r="K82" i="19"/>
  <c r="K44" i="19"/>
  <c r="K49" i="19"/>
  <c r="D55" i="19"/>
  <c r="M55" i="19"/>
  <c r="K56" i="19"/>
  <c r="K57" i="19"/>
  <c r="L80" i="19"/>
  <c r="K30" i="19"/>
  <c r="K120" i="19" s="1"/>
  <c r="K42" i="19"/>
  <c r="L55" i="19"/>
  <c r="K109" i="19"/>
  <c r="K101" i="19"/>
  <c r="K77" i="19"/>
  <c r="I55" i="19"/>
  <c r="O55" i="19"/>
  <c r="E80" i="19"/>
  <c r="I80" i="19"/>
  <c r="K106" i="19"/>
  <c r="K78" i="19"/>
  <c r="K53" i="19"/>
  <c r="K59" i="19" s="1"/>
  <c r="F55" i="19"/>
  <c r="R55" i="19" s="1"/>
  <c r="D80" i="19"/>
  <c r="K52" i="19"/>
  <c r="K54" i="19"/>
  <c r="AB55" i="19"/>
  <c r="O120" i="19"/>
  <c r="O111" i="19"/>
  <c r="O107" i="19"/>
  <c r="O103" i="19"/>
  <c r="O123" i="19"/>
  <c r="O124" i="19"/>
  <c r="O114" i="19"/>
  <c r="O106" i="19"/>
  <c r="O101" i="19"/>
  <c r="O117" i="19"/>
  <c r="O80" i="19"/>
  <c r="AB59" i="19"/>
  <c r="H59" i="19"/>
  <c r="P59" i="19" s="1"/>
  <c r="D59" i="19"/>
  <c r="O53" i="19"/>
  <c r="O41" i="19"/>
  <c r="O28" i="19"/>
  <c r="AC59" i="19"/>
  <c r="I59" i="19"/>
  <c r="O59" i="19" s="1"/>
  <c r="E59" i="19"/>
  <c r="O50" i="19"/>
  <c r="O43" i="19"/>
  <c r="O30" i="19"/>
  <c r="I32" i="19"/>
  <c r="O122" i="19"/>
  <c r="O110" i="19"/>
  <c r="O105" i="19"/>
  <c r="O100" i="19"/>
  <c r="O115" i="19"/>
  <c r="O77" i="19"/>
  <c r="O78" i="19"/>
  <c r="L59" i="19"/>
  <c r="O57" i="19"/>
  <c r="O39" i="19"/>
  <c r="O27" i="19"/>
  <c r="M59" i="19"/>
  <c r="O47" i="19"/>
  <c r="O42" i="19"/>
  <c r="AD26" i="19"/>
  <c r="M118" i="19"/>
  <c r="E117" i="19"/>
  <c r="E122" i="19"/>
  <c r="E114" i="19"/>
  <c r="H124" i="19"/>
  <c r="H116" i="19"/>
  <c r="H119" i="19"/>
  <c r="V4" i="19"/>
  <c r="D8" i="19"/>
  <c r="R4" i="19"/>
  <c r="F4" i="19"/>
  <c r="AG4" i="19" s="1"/>
  <c r="D6" i="19"/>
  <c r="V12" i="19"/>
  <c r="R12" i="19"/>
  <c r="E75" i="19"/>
  <c r="I75" i="19"/>
  <c r="O75" i="19"/>
  <c r="M75" i="19"/>
  <c r="F42" i="19"/>
  <c r="H50" i="19"/>
  <c r="F110" i="19"/>
  <c r="F106" i="19"/>
  <c r="F102" i="19"/>
  <c r="F78" i="19"/>
  <c r="F79" i="19"/>
  <c r="L75" i="19"/>
  <c r="F49" i="19"/>
  <c r="K50" i="19"/>
  <c r="F52" i="19"/>
  <c r="H4" i="19"/>
  <c r="J8" i="19"/>
  <c r="J6" i="19"/>
  <c r="P6" i="19"/>
  <c r="D10" i="19"/>
  <c r="J50" i="19"/>
  <c r="F53" i="19"/>
  <c r="F59" i="19" s="1"/>
  <c r="F109" i="19"/>
  <c r="F105" i="19"/>
  <c r="F101" i="19"/>
  <c r="F76" i="19"/>
  <c r="F77" i="19"/>
  <c r="F44" i="19"/>
  <c r="D50" i="19"/>
  <c r="M50" i="19"/>
  <c r="F57" i="19"/>
  <c r="AB50" i="19"/>
  <c r="AC50" i="19"/>
  <c r="J30" i="19"/>
  <c r="L54" i="19"/>
  <c r="D79" i="19"/>
  <c r="H79" i="19"/>
  <c r="J111" i="19"/>
  <c r="J107" i="19"/>
  <c r="J103" i="19"/>
  <c r="J82" i="19"/>
  <c r="J81" i="19"/>
  <c r="J29" i="19"/>
  <c r="I79" i="19"/>
  <c r="O79" i="19" s="1"/>
  <c r="J43" i="19"/>
  <c r="E54" i="19"/>
  <c r="J110" i="19"/>
  <c r="J106" i="19"/>
  <c r="J102" i="19"/>
  <c r="J80" i="19"/>
  <c r="J78" i="19"/>
  <c r="J47" i="19"/>
  <c r="D54" i="19"/>
  <c r="M54" i="19"/>
  <c r="E848" i="13"/>
  <c r="A49" i="3"/>
  <c r="AB111" i="21"/>
  <c r="AB110" i="21"/>
  <c r="AB109" i="21" s="1"/>
  <c r="AB108" i="21"/>
  <c r="AB107" i="21" s="1"/>
  <c r="AB106" i="21" s="1"/>
  <c r="AB105" i="21"/>
  <c r="AB104" i="21" s="1"/>
  <c r="AB103" i="21" s="1"/>
  <c r="AB102" i="21" s="1"/>
  <c r="AB101" i="21" s="1"/>
  <c r="AB100" i="21" s="1"/>
  <c r="AB99" i="21" s="1"/>
  <c r="AB98" i="21" s="1"/>
  <c r="AB97" i="21" s="1"/>
  <c r="AB96" i="21" s="1"/>
  <c r="AB95" i="21" s="1"/>
  <c r="AB94" i="21" s="1"/>
  <c r="AB93" i="21" s="1"/>
  <c r="AB92" i="21" s="1"/>
  <c r="AB91" i="21" s="1"/>
  <c r="AB90" i="21" s="1"/>
  <c r="AB89" i="21" s="1"/>
  <c r="AB88" i="21" s="1"/>
  <c r="AB87" i="21" s="1"/>
  <c r="AB86" i="21" s="1"/>
  <c r="AB85" i="21" s="1"/>
  <c r="AB84" i="21" s="1"/>
  <c r="AB83" i="21" s="1"/>
  <c r="AB82" i="21" s="1"/>
  <c r="AB81" i="21" s="1"/>
  <c r="AB80" i="21" s="1"/>
  <c r="AB79" i="21" s="1"/>
  <c r="AB78" i="21" s="1"/>
  <c r="AB77" i="21" s="1"/>
  <c r="AB76" i="21" s="1"/>
  <c r="AB75" i="21" s="1"/>
  <c r="AB74" i="21" s="1"/>
  <c r="AB73" i="21" s="1"/>
  <c r="AB72" i="21" s="1"/>
  <c r="AB71" i="21" s="1"/>
  <c r="AB70" i="21" s="1"/>
  <c r="AB69" i="21" s="1"/>
  <c r="AB68" i="21" s="1"/>
  <c r="AB67" i="21" s="1"/>
  <c r="AB66" i="21" s="1"/>
  <c r="AB65" i="21" s="1"/>
  <c r="AB64" i="21" s="1"/>
  <c r="AB63" i="21" s="1"/>
  <c r="AB62" i="21" s="1"/>
  <c r="AB61" i="21" s="1"/>
  <c r="AB60" i="21" s="1"/>
  <c r="AB59" i="21" s="1"/>
  <c r="AB58" i="21" s="1"/>
  <c r="AB57" i="21" s="1"/>
  <c r="AB56" i="21" s="1"/>
  <c r="AB55" i="21" s="1"/>
  <c r="AB54" i="21" s="1"/>
  <c r="AB53" i="21" s="1"/>
  <c r="AB52" i="21" s="1"/>
  <c r="AB51" i="21" s="1"/>
  <c r="AB50" i="21" s="1"/>
  <c r="AB49" i="21" s="1"/>
  <c r="AB48" i="21" s="1"/>
  <c r="AB47" i="21" s="1"/>
  <c r="AB46" i="21" s="1"/>
  <c r="AB45" i="21" s="1"/>
  <c r="AB44" i="21" s="1"/>
  <c r="AB43" i="21" s="1"/>
  <c r="AB42" i="21" s="1"/>
  <c r="AB41" i="21" s="1"/>
  <c r="AB40" i="21" s="1"/>
  <c r="AB39" i="21" s="1"/>
  <c r="AB38" i="21" s="1"/>
  <c r="AB37" i="21" s="1"/>
  <c r="AB36" i="21" s="1"/>
  <c r="AB35" i="21" s="1"/>
  <c r="AB34" i="21" s="1"/>
  <c r="AB33" i="21" s="1"/>
  <c r="AB32" i="21" s="1"/>
  <c r="AB31" i="21" s="1"/>
  <c r="AB30" i="21" s="1"/>
  <c r="AB29" i="21" s="1"/>
  <c r="AB28" i="21" s="1"/>
  <c r="AB27" i="21" s="1"/>
  <c r="AB26" i="21" s="1"/>
  <c r="AB25" i="21" s="1"/>
  <c r="AB24" i="21" s="1"/>
  <c r="AB23" i="21" s="1"/>
  <c r="AB22" i="21" s="1"/>
  <c r="AB21" i="21" s="1"/>
  <c r="AB20" i="21" s="1"/>
  <c r="AB19" i="21" s="1"/>
  <c r="AB18" i="21" s="1"/>
  <c r="AB17" i="21" s="1"/>
  <c r="AB16" i="21" s="1"/>
  <c r="AB15" i="21" s="1"/>
  <c r="AB14" i="21" s="1"/>
  <c r="AB13" i="21" s="1"/>
  <c r="AB12" i="21" s="1"/>
  <c r="AB11" i="21" s="1"/>
  <c r="AB10" i="21" s="1"/>
  <c r="AB9" i="21" s="1"/>
  <c r="AB8" i="21" s="1"/>
  <c r="AB7" i="21" s="1"/>
  <c r="AB6" i="21" s="1"/>
  <c r="AB5" i="21" s="1"/>
  <c r="AB2" i="21" s="1"/>
  <c r="J76" i="9"/>
  <c r="K76" i="9"/>
  <c r="G100" i="9"/>
  <c r="I100" i="2"/>
  <c r="I43" i="2"/>
  <c r="L102" i="2"/>
  <c r="G107" i="9"/>
  <c r="G77" i="9"/>
  <c r="G52" i="9"/>
  <c r="G80" i="9"/>
  <c r="J51" i="9"/>
  <c r="G29" i="9"/>
  <c r="I76" i="9"/>
  <c r="G104" i="9"/>
  <c r="G43" i="9"/>
  <c r="G111" i="9"/>
  <c r="G105" i="9"/>
  <c r="G110" i="9"/>
  <c r="G101" i="9"/>
  <c r="G103" i="9"/>
  <c r="G102" i="9"/>
  <c r="G54" i="9"/>
  <c r="G79" i="9"/>
  <c r="K51" i="9"/>
  <c r="G109" i="9"/>
  <c r="G106" i="9"/>
  <c r="G55" i="9"/>
  <c r="G50" i="9"/>
  <c r="F77" i="9"/>
  <c r="I50" i="9"/>
  <c r="K44" i="9"/>
  <c r="K106" i="9"/>
  <c r="K101" i="9"/>
  <c r="K29" i="9"/>
  <c r="K105" i="9"/>
  <c r="K108" i="9"/>
  <c r="K110" i="9"/>
  <c r="K109" i="9"/>
  <c r="K111" i="9"/>
  <c r="K102" i="9"/>
  <c r="K107" i="9"/>
  <c r="K100" i="9"/>
  <c r="K103" i="9"/>
  <c r="K104" i="9"/>
  <c r="K43" i="9"/>
  <c r="K42" i="9"/>
  <c r="J100" i="9"/>
  <c r="J106" i="9"/>
  <c r="J103" i="9"/>
  <c r="J29" i="9"/>
  <c r="K54" i="9"/>
  <c r="J44" i="9"/>
  <c r="J109" i="9"/>
  <c r="J107" i="9"/>
  <c r="J105" i="9"/>
  <c r="K79" i="9"/>
  <c r="J104" i="9"/>
  <c r="J108" i="9"/>
  <c r="J110" i="9"/>
  <c r="J111" i="9"/>
  <c r="J43" i="9"/>
  <c r="J101" i="9"/>
  <c r="J102" i="9"/>
  <c r="J80" i="9"/>
  <c r="J55" i="9"/>
  <c r="J42" i="9"/>
  <c r="I42" i="9"/>
  <c r="I110" i="9"/>
  <c r="I104" i="9"/>
  <c r="K53" i="9"/>
  <c r="J53" i="9"/>
  <c r="I100" i="9"/>
  <c r="I29" i="9"/>
  <c r="I102" i="9"/>
  <c r="I79" i="9"/>
  <c r="I101" i="9"/>
  <c r="I43" i="9"/>
  <c r="H104" i="9"/>
  <c r="K52" i="9"/>
  <c r="H106" i="9"/>
  <c r="H55" i="9"/>
  <c r="I52" i="9"/>
  <c r="H111" i="9"/>
  <c r="H102" i="9"/>
  <c r="H108" i="9"/>
  <c r="H110" i="9"/>
  <c r="H29" i="9"/>
  <c r="J52" i="9"/>
  <c r="H80" i="9"/>
  <c r="H43" i="9"/>
  <c r="H44" i="9"/>
  <c r="J77" i="9"/>
  <c r="H42" i="9"/>
  <c r="K77" i="9"/>
  <c r="H54" i="9"/>
  <c r="H79" i="9"/>
  <c r="H107" i="9"/>
  <c r="H78" i="9"/>
  <c r="H100" i="9"/>
  <c r="H101" i="9"/>
  <c r="H103" i="9"/>
  <c r="H51" i="9"/>
  <c r="H109" i="9"/>
  <c r="H105" i="9"/>
  <c r="H53" i="9"/>
  <c r="H76" i="9"/>
  <c r="E77" i="9"/>
  <c r="E43" i="9"/>
  <c r="E53" i="9"/>
  <c r="H49" i="9"/>
  <c r="E54" i="9"/>
  <c r="E52" i="9"/>
  <c r="E79" i="9"/>
  <c r="E76" i="9"/>
  <c r="E109" i="9"/>
  <c r="K49" i="9"/>
  <c r="K74" i="9"/>
  <c r="E102" i="9"/>
  <c r="E42" i="9"/>
  <c r="G74" i="9"/>
  <c r="E80" i="9"/>
  <c r="H74" i="9"/>
  <c r="E105" i="9"/>
  <c r="E55" i="9"/>
  <c r="G49" i="9"/>
  <c r="E107" i="9"/>
  <c r="E103" i="9"/>
  <c r="E100" i="9"/>
  <c r="E108" i="9"/>
  <c r="E101" i="9"/>
  <c r="E29" i="9"/>
  <c r="E78" i="9"/>
  <c r="E104" i="9"/>
  <c r="E110" i="9"/>
  <c r="E44" i="9"/>
  <c r="E111" i="9"/>
  <c r="E51" i="9"/>
  <c r="J49" i="9"/>
  <c r="J74" i="9"/>
  <c r="E106" i="9"/>
  <c r="J118" i="19"/>
  <c r="J121" i="19"/>
  <c r="AJ35" i="19" s="1"/>
  <c r="J113" i="19"/>
  <c r="J120" i="19"/>
  <c r="J119" i="19"/>
  <c r="J116" i="19"/>
  <c r="AE35" i="19"/>
  <c r="J117" i="19"/>
  <c r="J114" i="19"/>
  <c r="AC35" i="19" s="1"/>
  <c r="J123" i="19"/>
  <c r="J124" i="19"/>
  <c r="J122" i="19"/>
  <c r="J115" i="19"/>
  <c r="K122" i="19"/>
  <c r="K114" i="19"/>
  <c r="K121" i="19"/>
  <c r="K124" i="19"/>
  <c r="AM35" i="19" s="1"/>
  <c r="K119" i="19"/>
  <c r="K113" i="19"/>
  <c r="K123" i="19"/>
  <c r="K115" i="19"/>
  <c r="K116" i="19"/>
  <c r="P121" i="19"/>
  <c r="P113" i="19"/>
  <c r="P110" i="19"/>
  <c r="P102" i="19"/>
  <c r="P81" i="19"/>
  <c r="AB60" i="19"/>
  <c r="H60" i="19"/>
  <c r="D60" i="19"/>
  <c r="P42" i="19"/>
  <c r="I60" i="19"/>
  <c r="O60" i="19" s="1"/>
  <c r="E60" i="19"/>
  <c r="P29" i="19"/>
  <c r="P124" i="19"/>
  <c r="P116" i="19"/>
  <c r="P109" i="19"/>
  <c r="P101" i="19"/>
  <c r="P79" i="19"/>
  <c r="P54" i="19"/>
  <c r="P46" i="19"/>
  <c r="P40" i="19"/>
  <c r="P53" i="19"/>
  <c r="P28" i="19"/>
  <c r="P114" i="19"/>
  <c r="P104" i="19"/>
  <c r="P76" i="19"/>
  <c r="P52" i="19"/>
  <c r="G60" i="19"/>
  <c r="Q60" i="19" s="1"/>
  <c r="P51" i="19"/>
  <c r="P27" i="19"/>
  <c r="P115" i="19"/>
  <c r="P103" i="19"/>
  <c r="P50" i="19"/>
  <c r="P49" i="19"/>
  <c r="P26" i="19"/>
  <c r="J85" i="19" s="1"/>
  <c r="P122" i="19"/>
  <c r="F60" i="19"/>
  <c r="K60" i="19"/>
  <c r="P39" i="19"/>
  <c r="P82" i="19"/>
  <c r="P107" i="19"/>
  <c r="P108" i="19"/>
  <c r="P45" i="19"/>
  <c r="H32" i="19"/>
  <c r="P75" i="19"/>
  <c r="P56" i="19"/>
  <c r="Q34" i="19"/>
  <c r="Q100" i="19" s="1"/>
  <c r="AD54" i="19"/>
  <c r="AD56" i="19"/>
  <c r="AE26" i="19"/>
  <c r="AD57" i="19"/>
  <c r="AD50" i="19"/>
  <c r="AD49" i="19"/>
  <c r="AD52" i="19"/>
  <c r="AD60" i="19"/>
  <c r="AD53" i="19"/>
  <c r="AD59" i="19"/>
  <c r="AD55" i="19"/>
  <c r="AD29" i="19"/>
  <c r="G117" i="19"/>
  <c r="G122" i="19"/>
  <c r="G114" i="19"/>
  <c r="G123" i="19"/>
  <c r="AL35" i="19"/>
  <c r="G113" i="19"/>
  <c r="AB35" i="19"/>
  <c r="G116" i="19"/>
  <c r="G121" i="19"/>
  <c r="G124" i="19"/>
  <c r="G115" i="19"/>
  <c r="AD35" i="19"/>
  <c r="G120" i="19"/>
  <c r="AI35" i="19"/>
  <c r="G119" i="19"/>
  <c r="G118" i="19"/>
  <c r="AK35" i="19"/>
  <c r="AE49" i="19"/>
  <c r="AE56" i="19"/>
  <c r="AE52" i="19"/>
  <c r="R34" i="19"/>
  <c r="R82" i="19" s="1"/>
  <c r="AE50" i="19"/>
  <c r="AF26" i="19"/>
  <c r="AE54" i="19"/>
  <c r="AE29" i="19"/>
  <c r="AE57" i="19"/>
  <c r="AE53" i="19"/>
  <c r="AE59" i="19" s="1"/>
  <c r="AE55" i="19"/>
  <c r="AE51" i="19"/>
  <c r="Q108" i="19"/>
  <c r="Q79" i="19"/>
  <c r="Q120" i="19"/>
  <c r="Q103" i="19"/>
  <c r="Q41" i="19"/>
  <c r="I61" i="19"/>
  <c r="O61" i="19" s="1"/>
  <c r="Q121" i="19"/>
  <c r="Q39" i="19"/>
  <c r="X35" i="19"/>
  <c r="Q49" i="19"/>
  <c r="AH35" i="19"/>
  <c r="AF52" i="19"/>
  <c r="AF29" i="19"/>
  <c r="AF54" i="19"/>
  <c r="AF56" i="19"/>
  <c r="S34" i="19"/>
  <c r="AF57" i="19"/>
  <c r="AF55" i="19"/>
  <c r="R123" i="19"/>
  <c r="R120" i="19"/>
  <c r="R107" i="19"/>
  <c r="R74" i="19"/>
  <c r="R75" i="19"/>
  <c r="R45" i="19"/>
  <c r="R38" i="19"/>
  <c r="M62" i="19"/>
  <c r="R121" i="19"/>
  <c r="R118" i="19"/>
  <c r="R110" i="19"/>
  <c r="R106" i="19"/>
  <c r="AD62" i="19"/>
  <c r="R43" i="19"/>
  <c r="K62" i="19"/>
  <c r="R51" i="19"/>
  <c r="R27" i="19"/>
  <c r="R119" i="19"/>
  <c r="R105" i="19"/>
  <c r="R42" i="19"/>
  <c r="R56" i="19"/>
  <c r="W35" i="19"/>
  <c r="R114" i="19"/>
  <c r="R76" i="19"/>
  <c r="R54" i="19"/>
  <c r="R40" i="19"/>
  <c r="R124" i="19"/>
  <c r="H62" i="19"/>
  <c r="P62" i="19" s="1"/>
  <c r="AE62" i="19"/>
  <c r="R49" i="19"/>
  <c r="R100" i="19"/>
  <c r="R44" i="19"/>
  <c r="R109" i="19"/>
  <c r="R79" i="19"/>
  <c r="S111" i="19"/>
  <c r="S103" i="19"/>
  <c r="S115" i="19"/>
  <c r="S77" i="19"/>
  <c r="S78" i="19"/>
  <c r="S29" i="19"/>
  <c r="S118" i="19"/>
  <c r="S110" i="19"/>
  <c r="S102" i="19"/>
  <c r="S105" i="19"/>
  <c r="S81" i="19"/>
  <c r="S80" i="19"/>
  <c r="AB63" i="19"/>
  <c r="S41" i="19"/>
  <c r="M63" i="19"/>
  <c r="S54" i="19"/>
  <c r="S46" i="19"/>
  <c r="S40" i="19"/>
  <c r="S104" i="19"/>
  <c r="S79" i="19"/>
  <c r="L63" i="19"/>
  <c r="F63" i="19"/>
  <c r="R63" i="19" s="1"/>
  <c r="S39" i="19"/>
  <c r="S45" i="19"/>
  <c r="S38" i="19"/>
  <c r="S124" i="19"/>
  <c r="S75" i="19"/>
  <c r="S51" i="19"/>
  <c r="E63" i="19"/>
  <c r="S63" i="19" s="1"/>
  <c r="S43" i="19"/>
  <c r="S100" i="19"/>
  <c r="H63" i="19"/>
  <c r="P63" i="19" s="1"/>
  <c r="AC63" i="19"/>
  <c r="S42" i="19"/>
  <c r="S108" i="19"/>
  <c r="S28" i="19"/>
  <c r="S109" i="19"/>
  <c r="V35" i="19"/>
  <c r="S50" i="19"/>
  <c r="S117" i="19"/>
  <c r="D63" i="19"/>
  <c r="S30" i="19"/>
  <c r="J18" i="4"/>
  <c r="N18" i="4" s="1"/>
  <c r="AT14" i="2" s="1"/>
  <c r="K39" i="2"/>
  <c r="K38" i="2"/>
  <c r="K26" i="2"/>
  <c r="K105" i="2" s="1"/>
  <c r="K41" i="2"/>
  <c r="F8" i="2"/>
  <c r="J105" i="2"/>
  <c r="J110" i="2"/>
  <c r="J111" i="2"/>
  <c r="I102" i="2"/>
  <c r="I104" i="2"/>
  <c r="I44" i="2"/>
  <c r="H26" i="2"/>
  <c r="L107" i="2"/>
  <c r="L103" i="2"/>
  <c r="L108" i="2"/>
  <c r="L106" i="2"/>
  <c r="L100" i="2"/>
  <c r="L111" i="2"/>
  <c r="J56" i="2"/>
  <c r="J81" i="2"/>
  <c r="L53" i="2"/>
  <c r="L101" i="2"/>
  <c r="L110" i="2"/>
  <c r="L29" i="2"/>
  <c r="L105" i="2"/>
  <c r="L104" i="2"/>
  <c r="L109" i="2"/>
  <c r="O15" i="4"/>
  <c r="AV12" i="2" s="1"/>
  <c r="J29" i="2"/>
  <c r="J44" i="2"/>
  <c r="J103" i="2"/>
  <c r="I107" i="2"/>
  <c r="I29" i="2"/>
  <c r="I108" i="2"/>
  <c r="I79" i="2"/>
  <c r="I103" i="2"/>
  <c r="J78" i="2"/>
  <c r="I41" i="2"/>
  <c r="M14" i="4"/>
  <c r="AS11" i="2"/>
  <c r="I28" i="2"/>
  <c r="I81" i="2"/>
  <c r="I106" i="2"/>
  <c r="I101" i="2"/>
  <c r="I105" i="2"/>
  <c r="J53" i="2"/>
  <c r="I109" i="2"/>
  <c r="I38" i="2"/>
  <c r="I56" i="2"/>
  <c r="L78" i="2"/>
  <c r="I110" i="2"/>
  <c r="I42" i="2"/>
  <c r="I111" i="2"/>
  <c r="I54" i="2"/>
  <c r="I40" i="2"/>
  <c r="H39" i="2"/>
  <c r="H41" i="2"/>
  <c r="H28" i="2"/>
  <c r="H38" i="2"/>
  <c r="M11" i="4"/>
  <c r="AS8" i="2" s="1"/>
  <c r="J11" i="4"/>
  <c r="N11" i="4" s="1"/>
  <c r="F38" i="2"/>
  <c r="F41" i="2"/>
  <c r="F40" i="2"/>
  <c r="F28" i="2"/>
  <c r="F26" i="2"/>
  <c r="F56" i="2" s="1"/>
  <c r="D27" i="9"/>
  <c r="D28" i="9" s="1"/>
  <c r="B831" i="13"/>
  <c r="E40" i="2"/>
  <c r="E38" i="2"/>
  <c r="E26" i="2"/>
  <c r="D26" i="2"/>
  <c r="D28" i="2"/>
  <c r="H56" i="2"/>
  <c r="F103" i="2"/>
  <c r="D26" i="9"/>
  <c r="M30" i="9" s="1"/>
  <c r="B833" i="13"/>
  <c r="B832" i="13"/>
  <c r="E43" i="2"/>
  <c r="E100" i="2"/>
  <c r="E54" i="2"/>
  <c r="E29" i="2"/>
  <c r="E111" i="2"/>
  <c r="E79" i="2"/>
  <c r="E104" i="2"/>
  <c r="E102" i="2"/>
  <c r="I74" i="2"/>
  <c r="E53" i="2"/>
  <c r="E56" i="2"/>
  <c r="D104" i="2"/>
  <c r="D108" i="2"/>
  <c r="D111" i="2"/>
  <c r="H30" i="2"/>
  <c r="D74" i="2"/>
  <c r="I30" i="2"/>
  <c r="I118" i="2" s="1"/>
  <c r="D81" i="2"/>
  <c r="D29" i="2"/>
  <c r="D100" i="2"/>
  <c r="D109" i="2"/>
  <c r="J30" i="2"/>
  <c r="J117" i="2" s="1"/>
  <c r="D54" i="2"/>
  <c r="D79" i="2"/>
  <c r="D107" i="2"/>
  <c r="D78" i="2"/>
  <c r="D56" i="2"/>
  <c r="D110" i="2"/>
  <c r="D105" i="2"/>
  <c r="D103" i="2"/>
  <c r="AB26" i="2"/>
  <c r="AC26" i="2" s="1"/>
  <c r="AC56" i="2" s="1"/>
  <c r="L30" i="2"/>
  <c r="L118" i="2" s="1"/>
  <c r="D101" i="2"/>
  <c r="D106" i="2"/>
  <c r="D53" i="2"/>
  <c r="E30" i="2"/>
  <c r="E118" i="2" s="1"/>
  <c r="AG6" i="2"/>
  <c r="AF6" i="2" s="1"/>
  <c r="D102" i="2"/>
  <c r="E122" i="2"/>
  <c r="E115" i="2"/>
  <c r="E117" i="2"/>
  <c r="E114" i="2"/>
  <c r="E116" i="2"/>
  <c r="E123" i="2"/>
  <c r="E119" i="2"/>
  <c r="AB50" i="2"/>
  <c r="L119" i="2"/>
  <c r="L120" i="2"/>
  <c r="I122" i="2"/>
  <c r="M101" i="9"/>
  <c r="M103" i="9"/>
  <c r="M104" i="9"/>
  <c r="M51" i="9"/>
  <c r="M55" i="9"/>
  <c r="M74" i="9"/>
  <c r="E82" i="9"/>
  <c r="M110" i="9"/>
  <c r="M108" i="9"/>
  <c r="M102" i="9"/>
  <c r="M76" i="9"/>
  <c r="G57" i="9"/>
  <c r="K82" i="9"/>
  <c r="M54" i="9"/>
  <c r="M79" i="9"/>
  <c r="M78" i="9"/>
  <c r="H82" i="9"/>
  <c r="M105" i="9"/>
  <c r="M109" i="9"/>
  <c r="M100" i="9"/>
  <c r="J82" i="9"/>
  <c r="J57" i="9"/>
  <c r="M53" i="9"/>
  <c r="M77" i="9"/>
  <c r="H57" i="9"/>
  <c r="M111" i="9"/>
  <c r="M107" i="9"/>
  <c r="M106" i="9"/>
  <c r="M29" i="9"/>
  <c r="G82" i="9"/>
  <c r="M80" i="9"/>
  <c r="K57" i="9"/>
  <c r="I82" i="9"/>
  <c r="I57" i="9"/>
  <c r="M52" i="9"/>
  <c r="E57" i="9"/>
  <c r="M49" i="9"/>
  <c r="N16" i="4"/>
  <c r="O16" i="4" s="1"/>
  <c r="AV13" i="2" s="1"/>
  <c r="J123" i="2"/>
  <c r="J120" i="2"/>
  <c r="J116" i="2"/>
  <c r="J43" i="2"/>
  <c r="J114" i="2"/>
  <c r="J122" i="2"/>
  <c r="J100" i="2"/>
  <c r="J107" i="2"/>
  <c r="N14" i="4"/>
  <c r="AF9" i="2"/>
  <c r="AT8" i="2"/>
  <c r="O11" i="4"/>
  <c r="AV8" i="2"/>
  <c r="J30" i="9"/>
  <c r="D107" i="9"/>
  <c r="D51" i="9"/>
  <c r="D80" i="9"/>
  <c r="D79" i="9"/>
  <c r="D54" i="9"/>
  <c r="D29" i="9"/>
  <c r="D105" i="9"/>
  <c r="D102" i="9"/>
  <c r="D109" i="9"/>
  <c r="I30" i="9"/>
  <c r="G30" i="9"/>
  <c r="G113" i="9" s="1"/>
  <c r="H30" i="9"/>
  <c r="H124" i="9" s="1"/>
  <c r="D108" i="9"/>
  <c r="D104" i="9"/>
  <c r="F30" i="9"/>
  <c r="F117" i="9" s="1"/>
  <c r="D100" i="9"/>
  <c r="D77" i="9"/>
  <c r="D76" i="9"/>
  <c r="D110" i="9"/>
  <c r="AB26" i="9"/>
  <c r="D53" i="9"/>
  <c r="D82" i="9"/>
  <c r="D55" i="9"/>
  <c r="D106" i="9"/>
  <c r="D49" i="9"/>
  <c r="K30" i="9"/>
  <c r="AG6" i="9"/>
  <c r="D57" i="9"/>
  <c r="D101" i="9"/>
  <c r="D74" i="9"/>
  <c r="N10" i="4"/>
  <c r="AT7" i="2"/>
  <c r="O10" i="4"/>
  <c r="AV7" i="2" s="1"/>
  <c r="O31" i="4"/>
  <c r="AV6" i="2" s="1"/>
  <c r="N31" i="4"/>
  <c r="AT6" i="2"/>
  <c r="K116" i="9"/>
  <c r="K114" i="9"/>
  <c r="K122" i="9"/>
  <c r="K123" i="9"/>
  <c r="K115" i="9"/>
  <c r="K119" i="9"/>
  <c r="K120" i="9"/>
  <c r="K117" i="9"/>
  <c r="K113" i="9"/>
  <c r="K118" i="9"/>
  <c r="K121" i="9"/>
  <c r="K124" i="9"/>
  <c r="AB54" i="9"/>
  <c r="AB57" i="9"/>
  <c r="O34" i="9"/>
  <c r="O80" i="9" s="1"/>
  <c r="AB53" i="9"/>
  <c r="AB51" i="9"/>
  <c r="AB55" i="9"/>
  <c r="AB52" i="9"/>
  <c r="AC26" i="9"/>
  <c r="AB29" i="9"/>
  <c r="AB49" i="9"/>
  <c r="H116" i="9"/>
  <c r="H120" i="9"/>
  <c r="H122" i="9"/>
  <c r="H117" i="9"/>
  <c r="H121" i="9"/>
  <c r="H113" i="9"/>
  <c r="H115" i="9"/>
  <c r="H114" i="9"/>
  <c r="H119" i="9"/>
  <c r="H123" i="9"/>
  <c r="I124" i="9"/>
  <c r="I118" i="9"/>
  <c r="I119" i="9"/>
  <c r="I113" i="9"/>
  <c r="J118" i="9"/>
  <c r="J119" i="9"/>
  <c r="J116" i="9"/>
  <c r="J120" i="9"/>
  <c r="J115" i="9"/>
  <c r="J121" i="9"/>
  <c r="J122" i="9"/>
  <c r="J114" i="9"/>
  <c r="J123" i="9"/>
  <c r="J124" i="9"/>
  <c r="J113" i="9"/>
  <c r="J117" i="9"/>
  <c r="O106" i="9"/>
  <c r="O107" i="9"/>
  <c r="O76" i="9"/>
  <c r="O100" i="9"/>
  <c r="O39" i="9"/>
  <c r="O52" i="9"/>
  <c r="O51" i="9"/>
  <c r="O49" i="9"/>
  <c r="AC52" i="9"/>
  <c r="AC51" i="9"/>
  <c r="AC57" i="9"/>
  <c r="AC53" i="9"/>
  <c r="AC49" i="9"/>
  <c r="AD26" i="9"/>
  <c r="AC54" i="9"/>
  <c r="AC55" i="9"/>
  <c r="AC50" i="9"/>
  <c r="AC29" i="9"/>
  <c r="P34" i="9"/>
  <c r="P30" i="9" s="1"/>
  <c r="P117" i="9"/>
  <c r="D60" i="9"/>
  <c r="P121" i="9"/>
  <c r="P122" i="9"/>
  <c r="G60" i="9"/>
  <c r="P39" i="9"/>
  <c r="P52" i="9"/>
  <c r="K32" i="9"/>
  <c r="AD51" i="9"/>
  <c r="AD53" i="9"/>
  <c r="Q34" i="9"/>
  <c r="Q117" i="9" s="1"/>
  <c r="AD57" i="9"/>
  <c r="AD54" i="9"/>
  <c r="AD59" i="9" s="1"/>
  <c r="AD55" i="9"/>
  <c r="AD29" i="9"/>
  <c r="AD52" i="9"/>
  <c r="AE26" i="9"/>
  <c r="AE52" i="9" s="1"/>
  <c r="AD49" i="9"/>
  <c r="AE53" i="9"/>
  <c r="AE55" i="9"/>
  <c r="R34" i="9"/>
  <c r="R124" i="9" s="1"/>
  <c r="Q108" i="9"/>
  <c r="Q114" i="9"/>
  <c r="Q82" i="9"/>
  <c r="Q49" i="9"/>
  <c r="Q123" i="9"/>
  <c r="Q106" i="9"/>
  <c r="Q57" i="9"/>
  <c r="Q118" i="9"/>
  <c r="Q27" i="9"/>
  <c r="K61" i="9"/>
  <c r="Q30" i="9"/>
  <c r="Q43" i="9"/>
  <c r="Q103" i="9"/>
  <c r="Q124" i="9"/>
  <c r="X35" i="9"/>
  <c r="AC61" i="9"/>
  <c r="Q51" i="9"/>
  <c r="Q46" i="9"/>
  <c r="Q115" i="9"/>
  <c r="E61" i="9"/>
  <c r="Q29" i="9"/>
  <c r="Q105" i="9"/>
  <c r="Q74" i="9"/>
  <c r="Q77" i="9"/>
  <c r="Q52" i="9"/>
  <c r="Q26" i="9"/>
  <c r="J62" i="9"/>
  <c r="R102" i="9"/>
  <c r="AC62" i="9"/>
  <c r="R41" i="9"/>
  <c r="R52" i="9"/>
  <c r="R43" i="9"/>
  <c r="R117" i="9"/>
  <c r="H62" i="9"/>
  <c r="R40" i="9"/>
  <c r="S111" i="20"/>
  <c r="W111" i="20" s="1"/>
  <c r="S7" i="20"/>
  <c r="W7" i="20" s="1"/>
  <c r="E842" i="13"/>
  <c r="AN2" i="9"/>
  <c r="AN2" i="2"/>
  <c r="C4" i="20" s="1"/>
  <c r="AD2" i="13"/>
  <c r="O30" i="20"/>
  <c r="O68" i="20"/>
  <c r="O89" i="20"/>
  <c r="O95" i="20"/>
  <c r="O57" i="20"/>
  <c r="O46" i="20"/>
  <c r="Q8" i="4"/>
  <c r="S8" i="4" s="1"/>
  <c r="Q3" i="4" s="1"/>
  <c r="B5" i="4"/>
  <c r="O102" i="20"/>
  <c r="O25" i="20"/>
  <c r="O110" i="20"/>
  <c r="S21" i="20"/>
  <c r="W21" i="20" s="1"/>
  <c r="AH58" i="7"/>
  <c r="M133" i="7"/>
  <c r="C84" i="7"/>
  <c r="N85" i="7"/>
  <c r="M73" i="7"/>
  <c r="E145" i="7"/>
  <c r="C115" i="7"/>
  <c r="G71" i="7"/>
  <c r="J131" i="7"/>
  <c r="M72" i="7"/>
  <c r="H58" i="7"/>
  <c r="J138" i="7"/>
  <c r="M70" i="7"/>
  <c r="E58" i="7"/>
  <c r="M60" i="7"/>
  <c r="T2" i="7"/>
  <c r="AB81" i="7"/>
  <c r="C142" i="7"/>
  <c r="J60" i="7"/>
  <c r="E148" i="7"/>
  <c r="E67" i="7"/>
  <c r="K81" i="7"/>
  <c r="F143" i="7"/>
  <c r="V58" i="7"/>
  <c r="E75" i="7"/>
  <c r="C80" i="7"/>
  <c r="L58" i="7"/>
  <c r="C61" i="7"/>
  <c r="C137" i="7"/>
  <c r="C96" i="7"/>
  <c r="E71" i="7"/>
  <c r="K67" i="7"/>
  <c r="M69" i="7"/>
  <c r="C74" i="7"/>
  <c r="J133" i="7"/>
  <c r="E69" i="7"/>
  <c r="M74" i="7"/>
  <c r="K71" i="7"/>
  <c r="K144" i="7"/>
  <c r="F71" i="7"/>
  <c r="C138" i="7"/>
  <c r="C94" i="7"/>
  <c r="J84" i="7"/>
  <c r="O77" i="7"/>
  <c r="L108" i="7"/>
  <c r="H74" i="7"/>
  <c r="E149" i="7"/>
  <c r="F132" i="7"/>
  <c r="F145" i="7"/>
  <c r="C78" i="7"/>
  <c r="K66" i="7"/>
  <c r="M75" i="7"/>
  <c r="K69" i="7"/>
  <c r="I69" i="7"/>
  <c r="C143" i="7"/>
  <c r="E142" i="7"/>
  <c r="C105" i="7"/>
  <c r="E73" i="7"/>
  <c r="M135" i="7"/>
  <c r="E131" i="7"/>
  <c r="AB84" i="7"/>
  <c r="K109" i="7"/>
  <c r="AN58" i="7"/>
  <c r="C72" i="7"/>
  <c r="G60" i="7"/>
  <c r="C136" i="7"/>
  <c r="C113" i="7"/>
  <c r="F74" i="7"/>
  <c r="N74" i="7"/>
  <c r="H79" i="7"/>
  <c r="M131" i="7"/>
  <c r="F82" i="7"/>
  <c r="I80" i="7"/>
  <c r="AB77" i="7"/>
  <c r="E106" i="7"/>
  <c r="AB2" i="7"/>
  <c r="C102" i="7"/>
  <c r="J106" i="7"/>
  <c r="J136" i="7"/>
  <c r="C89" i="7"/>
  <c r="J73" i="7"/>
  <c r="E133" i="7"/>
  <c r="K138" i="7"/>
  <c r="N73" i="7"/>
  <c r="C108" i="7"/>
  <c r="M130" i="7"/>
  <c r="C132" i="7"/>
  <c r="C95" i="7"/>
  <c r="C109" i="7"/>
  <c r="M84" i="7"/>
  <c r="L67" i="7"/>
  <c r="E137" i="7"/>
  <c r="E150" i="7"/>
  <c r="C147" i="7"/>
  <c r="O60" i="7"/>
  <c r="N69" i="7"/>
  <c r="C128" i="7"/>
  <c r="E151" i="7"/>
  <c r="AL58" i="7"/>
  <c r="C91" i="7"/>
  <c r="L73" i="7"/>
  <c r="J139" i="7"/>
  <c r="E139" i="7"/>
  <c r="N68" i="7"/>
  <c r="C112" i="7"/>
  <c r="L83" i="7"/>
  <c r="Y2" i="7"/>
  <c r="G78" i="7"/>
  <c r="L69" i="7"/>
  <c r="E102" i="7"/>
  <c r="C107" i="7"/>
  <c r="J109" i="7"/>
  <c r="G73" i="7"/>
  <c r="I60" i="7"/>
  <c r="F144" i="7"/>
  <c r="N75" i="7"/>
  <c r="J81" i="7"/>
  <c r="C146" i="7"/>
  <c r="F66" i="7"/>
  <c r="F147" i="7"/>
  <c r="M71" i="7"/>
  <c r="S2" i="7"/>
  <c r="O82" i="7"/>
  <c r="J66" i="7"/>
  <c r="C98" i="7"/>
  <c r="O81" i="7"/>
  <c r="H73" i="7"/>
  <c r="C97" i="7"/>
  <c r="E74" i="7"/>
  <c r="E107" i="7"/>
  <c r="M132" i="7"/>
  <c r="E128" i="7"/>
  <c r="J68" i="7"/>
  <c r="M109" i="7"/>
  <c r="N110" i="7"/>
  <c r="E146" i="7"/>
  <c r="C139" i="7"/>
  <c r="J67" i="7"/>
  <c r="K139" i="7"/>
  <c r="E134" i="7"/>
  <c r="C149" i="7"/>
  <c r="G74" i="7"/>
  <c r="I67" i="7"/>
  <c r="AM58" i="7"/>
  <c r="N66" i="7"/>
  <c r="J150" i="7"/>
  <c r="F73" i="7"/>
  <c r="C2" i="7"/>
  <c r="G67" i="7"/>
  <c r="M81" i="7"/>
  <c r="E132" i="7"/>
  <c r="W58" i="7"/>
  <c r="C119" i="7"/>
  <c r="C82" i="7"/>
  <c r="G58" i="7"/>
  <c r="K131" i="7"/>
  <c r="AA58" i="7"/>
  <c r="N84" i="7"/>
  <c r="C144" i="7"/>
  <c r="K60" i="7"/>
  <c r="F139" i="7"/>
  <c r="I105" i="7"/>
  <c r="AF58" i="7"/>
  <c r="I66" i="7"/>
  <c r="J75" i="7"/>
  <c r="G103" i="7"/>
  <c r="U58" i="7"/>
  <c r="Q58" i="7"/>
  <c r="C81" i="7"/>
  <c r="J72" i="7"/>
  <c r="AC60" i="7"/>
  <c r="K82" i="7"/>
  <c r="F69" i="7"/>
  <c r="J129" i="7"/>
  <c r="E135" i="7"/>
  <c r="I84" i="7"/>
  <c r="C145" i="7"/>
  <c r="C103" i="7"/>
  <c r="F107" i="7"/>
  <c r="T58" i="7"/>
  <c r="C93" i="7"/>
  <c r="M134" i="7"/>
  <c r="E81" i="7"/>
  <c r="C92" i="7"/>
  <c r="F75" i="7"/>
  <c r="F60" i="7"/>
  <c r="E72" i="7"/>
  <c r="K68" i="7"/>
  <c r="E136" i="7"/>
  <c r="C77" i="7"/>
  <c r="J58" i="7"/>
  <c r="E144" i="7"/>
  <c r="J134" i="7"/>
  <c r="N60" i="7"/>
  <c r="C116" i="7"/>
  <c r="G66" i="7"/>
  <c r="AD84" i="7"/>
  <c r="AG58" i="7"/>
  <c r="C114" i="7"/>
  <c r="J82" i="7"/>
  <c r="X58" i="7"/>
  <c r="F77" i="7"/>
  <c r="C152" i="7"/>
  <c r="I74" i="7"/>
  <c r="E147" i="7"/>
  <c r="N67" i="7"/>
  <c r="J102" i="7"/>
  <c r="C85" i="7"/>
  <c r="C130" i="7"/>
  <c r="P58" i="7"/>
  <c r="J71" i="7"/>
  <c r="C87" i="7"/>
  <c r="K72" i="7"/>
  <c r="G131" i="7"/>
  <c r="AD60" i="7"/>
  <c r="J74" i="7"/>
  <c r="K73" i="7"/>
  <c r="J146" i="7"/>
  <c r="C106" i="7"/>
  <c r="C131" i="7"/>
  <c r="I73" i="7"/>
  <c r="C79" i="7"/>
  <c r="K58" i="7"/>
  <c r="J135" i="7"/>
  <c r="C135" i="7"/>
  <c r="C88" i="7"/>
  <c r="K145" i="7"/>
  <c r="W2" i="7"/>
  <c r="E130" i="7"/>
  <c r="C75" i="7"/>
  <c r="M58" i="7"/>
  <c r="C71" i="7"/>
  <c r="U2" i="7"/>
  <c r="J70" i="7"/>
  <c r="X2" i="7"/>
  <c r="AE58" i="7"/>
  <c r="F84" i="7"/>
  <c r="M147" i="7"/>
  <c r="AJ58" i="7"/>
  <c r="AG2" i="7"/>
  <c r="E70" i="7"/>
  <c r="K107" i="7"/>
  <c r="S58" i="7"/>
  <c r="I58" i="7"/>
  <c r="N71" i="7"/>
  <c r="J132" i="7"/>
  <c r="E82" i="7"/>
  <c r="K133" i="7"/>
  <c r="L75" i="7"/>
  <c r="M129" i="7"/>
  <c r="C129" i="7"/>
  <c r="J69" i="7"/>
  <c r="E143" i="7"/>
  <c r="E60" i="7"/>
  <c r="K84" i="7"/>
  <c r="M146" i="7"/>
  <c r="K150" i="7"/>
  <c r="K142" i="7"/>
  <c r="J137" i="7"/>
  <c r="C121" i="7"/>
  <c r="F128" i="7"/>
  <c r="C118" i="7"/>
  <c r="AB60" i="7"/>
  <c r="F81" i="7"/>
  <c r="J130" i="7"/>
  <c r="C70" i="7"/>
  <c r="E129" i="7"/>
  <c r="F68" i="7"/>
  <c r="K148" i="7"/>
  <c r="K106" i="7"/>
  <c r="K135" i="7"/>
  <c r="M128" i="7"/>
  <c r="K128" i="7"/>
  <c r="C148" i="7"/>
  <c r="G69" i="7"/>
  <c r="C151" i="7"/>
  <c r="H104" i="7"/>
  <c r="M67" i="7"/>
  <c r="L68" i="7"/>
  <c r="K151" i="7"/>
  <c r="F151" i="7"/>
  <c r="F130" i="7"/>
  <c r="E84" i="7"/>
  <c r="C90" i="7"/>
  <c r="F142" i="7"/>
  <c r="H67" i="7"/>
  <c r="G84" i="7"/>
  <c r="I68" i="7"/>
  <c r="E141" i="7"/>
  <c r="L74" i="7"/>
  <c r="F150" i="7"/>
  <c r="C110" i="7"/>
  <c r="F146" i="7"/>
  <c r="C141" i="7"/>
  <c r="AC58" i="7"/>
  <c r="E138" i="7"/>
  <c r="F102" i="7"/>
  <c r="C134" i="7"/>
  <c r="C73" i="7"/>
  <c r="O84" i="7"/>
  <c r="E68" i="7"/>
  <c r="F58" i="7"/>
  <c r="N72" i="7"/>
  <c r="AB82" i="7"/>
  <c r="C123" i="7"/>
  <c r="M148" i="7"/>
  <c r="C66" i="7"/>
  <c r="R58" i="7"/>
  <c r="E109" i="7"/>
  <c r="E66" i="7"/>
  <c r="C68" i="7"/>
  <c r="M68" i="7"/>
  <c r="D2" i="7"/>
  <c r="AD58" i="7"/>
  <c r="E152" i="7"/>
  <c r="N70" i="7"/>
  <c r="J128" i="7"/>
  <c r="Z58" i="7"/>
  <c r="AC78" i="7"/>
  <c r="C104" i="7"/>
  <c r="C83" i="7"/>
  <c r="M136" i="7"/>
  <c r="G68" i="7"/>
  <c r="C117" i="7"/>
  <c r="C133" i="7"/>
  <c r="F67" i="7"/>
  <c r="C60" i="7"/>
  <c r="K74" i="7"/>
  <c r="C120" i="7"/>
  <c r="N58" i="7"/>
  <c r="C69" i="7"/>
  <c r="C67" i="7"/>
  <c r="C150" i="7"/>
  <c r="AI58" i="7"/>
  <c r="J107" i="7"/>
  <c r="M106" i="7"/>
  <c r="L66" i="7"/>
  <c r="L133" i="7"/>
  <c r="M138" i="7"/>
  <c r="M85" i="7"/>
  <c r="L60" i="7"/>
  <c r="M137" i="7"/>
  <c r="M139" i="7"/>
  <c r="AN2" i="7"/>
  <c r="M66" i="7"/>
  <c r="AK58" i="7"/>
  <c r="Y58" i="7"/>
  <c r="C122" i="7"/>
  <c r="F82" i="2" l="1"/>
  <c r="L82" i="2"/>
  <c r="J57" i="2"/>
  <c r="M100" i="2"/>
  <c r="M81" i="2"/>
  <c r="M50" i="2"/>
  <c r="I82" i="2"/>
  <c r="M75" i="2"/>
  <c r="M111" i="2"/>
  <c r="J82" i="2"/>
  <c r="M74" i="2"/>
  <c r="F57" i="2"/>
  <c r="E57" i="2"/>
  <c r="M53" i="2"/>
  <c r="M78" i="2"/>
  <c r="M109" i="2"/>
  <c r="AC57" i="2"/>
  <c r="E82" i="2"/>
  <c r="D57" i="2"/>
  <c r="I57" i="2"/>
  <c r="M79" i="2"/>
  <c r="M105" i="2"/>
  <c r="M102" i="2"/>
  <c r="M101" i="2"/>
  <c r="D82" i="2"/>
  <c r="M49" i="2"/>
  <c r="M103" i="2"/>
  <c r="M29" i="2"/>
  <c r="M107" i="2"/>
  <c r="M30" i="2"/>
  <c r="AB57" i="2"/>
  <c r="M54" i="2"/>
  <c r="M104" i="2"/>
  <c r="M106" i="2"/>
  <c r="M110" i="2"/>
  <c r="M108" i="2"/>
  <c r="L79" i="2"/>
  <c r="O18" i="4"/>
  <c r="AV14" i="2" s="1"/>
  <c r="K74" i="2"/>
  <c r="M55" i="2"/>
  <c r="K57" i="2"/>
  <c r="K30" i="2"/>
  <c r="L80" i="2"/>
  <c r="K81" i="2"/>
  <c r="K101" i="2"/>
  <c r="K43" i="2"/>
  <c r="K56" i="2"/>
  <c r="K104" i="2"/>
  <c r="K110" i="2"/>
  <c r="K53" i="2"/>
  <c r="K78" i="2"/>
  <c r="D55" i="2"/>
  <c r="I55" i="2"/>
  <c r="K103" i="2"/>
  <c r="K29" i="2"/>
  <c r="K102" i="2"/>
  <c r="AT13" i="2"/>
  <c r="K106" i="2"/>
  <c r="J80" i="2"/>
  <c r="K108" i="2"/>
  <c r="D80" i="2"/>
  <c r="J55" i="2"/>
  <c r="K82" i="2"/>
  <c r="E55" i="2"/>
  <c r="K109" i="2"/>
  <c r="K54" i="2"/>
  <c r="K44" i="2"/>
  <c r="M80" i="2"/>
  <c r="F55" i="2"/>
  <c r="K100" i="2"/>
  <c r="K79" i="2"/>
  <c r="K107" i="2"/>
  <c r="I80" i="2"/>
  <c r="L55" i="2"/>
  <c r="K111" i="2"/>
  <c r="K42" i="2"/>
  <c r="H80" i="2"/>
  <c r="I84" i="19"/>
  <c r="O84" i="19" s="1"/>
  <c r="J108" i="2"/>
  <c r="I115" i="2"/>
  <c r="I120" i="2"/>
  <c r="O13" i="4"/>
  <c r="AV10" i="2" s="1"/>
  <c r="AT10" i="2"/>
  <c r="H82" i="2"/>
  <c r="H29" i="2"/>
  <c r="M77" i="2"/>
  <c r="H55" i="2"/>
  <c r="D77" i="2"/>
  <c r="K52" i="2"/>
  <c r="H74" i="2"/>
  <c r="H42" i="2"/>
  <c r="M52" i="2"/>
  <c r="H79" i="2"/>
  <c r="H49" i="2"/>
  <c r="H100" i="2"/>
  <c r="H57" i="2"/>
  <c r="H103" i="2"/>
  <c r="N12" i="4"/>
  <c r="AT9" i="2" s="1"/>
  <c r="G28" i="2"/>
  <c r="G40" i="2"/>
  <c r="G26" i="2"/>
  <c r="E76" i="2" s="1"/>
  <c r="G38" i="2"/>
  <c r="G41" i="2"/>
  <c r="M120" i="9"/>
  <c r="M113" i="9"/>
  <c r="M119" i="9"/>
  <c r="M121" i="9"/>
  <c r="J32" i="9"/>
  <c r="R116" i="9"/>
  <c r="F102" i="2"/>
  <c r="R51" i="9"/>
  <c r="M62" i="9"/>
  <c r="R114" i="9"/>
  <c r="AF26" i="9"/>
  <c r="AD60" i="9"/>
  <c r="P38" i="9"/>
  <c r="P74" i="9"/>
  <c r="P40" i="9"/>
  <c r="P45" i="9"/>
  <c r="AB60" i="9"/>
  <c r="P101" i="9"/>
  <c r="P43" i="9"/>
  <c r="O79" i="9"/>
  <c r="O29" i="9"/>
  <c r="O124" i="9"/>
  <c r="D78" i="9"/>
  <c r="D50" i="2"/>
  <c r="F29" i="2"/>
  <c r="R77" i="9"/>
  <c r="O111" i="9"/>
  <c r="P116" i="9"/>
  <c r="P102" i="9"/>
  <c r="P44" i="9"/>
  <c r="P51" i="9"/>
  <c r="P106" i="9"/>
  <c r="P124" i="9"/>
  <c r="P103" i="9"/>
  <c r="M60" i="9"/>
  <c r="R74" i="9"/>
  <c r="K62" i="9"/>
  <c r="Q62" i="9" s="1"/>
  <c r="R122" i="9"/>
  <c r="R38" i="9"/>
  <c r="R30" i="9"/>
  <c r="AE54" i="9"/>
  <c r="AE59" i="9" s="1"/>
  <c r="P41" i="9"/>
  <c r="P105" i="9"/>
  <c r="J60" i="9"/>
  <c r="P120" i="9"/>
  <c r="E60" i="9"/>
  <c r="P114" i="9"/>
  <c r="P29" i="9"/>
  <c r="O55" i="9"/>
  <c r="O102" i="9"/>
  <c r="F124" i="9"/>
  <c r="R118" i="9"/>
  <c r="R101" i="9"/>
  <c r="D62" i="9"/>
  <c r="G62" i="9"/>
  <c r="AE51" i="9"/>
  <c r="P113" i="9"/>
  <c r="AC60" i="9"/>
  <c r="P42" i="9"/>
  <c r="P111" i="9"/>
  <c r="P104" i="9"/>
  <c r="H60" i="9"/>
  <c r="P47" i="9"/>
  <c r="O46" i="9"/>
  <c r="H59" i="9"/>
  <c r="O26" i="9"/>
  <c r="J84" i="9" s="1"/>
  <c r="E75" i="2"/>
  <c r="I75" i="2"/>
  <c r="K50" i="2"/>
  <c r="AE61" i="9"/>
  <c r="R120" i="9"/>
  <c r="R27" i="9"/>
  <c r="R39" i="9"/>
  <c r="P100" i="9"/>
  <c r="Y35" i="9"/>
  <c r="P110" i="9"/>
  <c r="P57" i="9"/>
  <c r="P119" i="9"/>
  <c r="P115" i="9"/>
  <c r="P55" i="9"/>
  <c r="O40" i="9"/>
  <c r="O54" i="9"/>
  <c r="F104" i="2"/>
  <c r="F107" i="2"/>
  <c r="R49" i="9"/>
  <c r="AB62" i="9"/>
  <c r="R29" i="9"/>
  <c r="P26" i="9"/>
  <c r="H85" i="9" s="1"/>
  <c r="K60" i="9"/>
  <c r="P27" i="9"/>
  <c r="P54" i="9"/>
  <c r="P108" i="9"/>
  <c r="P107" i="9"/>
  <c r="P46" i="9"/>
  <c r="L50" i="2"/>
  <c r="F109" i="2"/>
  <c r="P109" i="9"/>
  <c r="P77" i="9"/>
  <c r="P118" i="9"/>
  <c r="P79" i="9"/>
  <c r="P82" i="9"/>
  <c r="P49" i="9"/>
  <c r="P53" i="9"/>
  <c r="D75" i="2"/>
  <c r="F81" i="2"/>
  <c r="E101" i="2"/>
  <c r="J74" i="2"/>
  <c r="E42" i="2"/>
  <c r="F49" i="2"/>
  <c r="E113" i="2"/>
  <c r="E106" i="2"/>
  <c r="I49" i="2"/>
  <c r="L49" i="2"/>
  <c r="E108" i="2"/>
  <c r="L74" i="2"/>
  <c r="J47" i="2"/>
  <c r="E120" i="2"/>
  <c r="E121" i="2"/>
  <c r="D49" i="2"/>
  <c r="E110" i="2"/>
  <c r="E109" i="2"/>
  <c r="J49" i="2"/>
  <c r="E81" i="2"/>
  <c r="E44" i="2"/>
  <c r="E105" i="2"/>
  <c r="E78" i="2"/>
  <c r="E103" i="2"/>
  <c r="E124" i="2"/>
  <c r="E80" i="2"/>
  <c r="E107" i="2"/>
  <c r="K49" i="2"/>
  <c r="AE7" i="2"/>
  <c r="K115" i="2"/>
  <c r="I116" i="2"/>
  <c r="K120" i="2"/>
  <c r="I123" i="2"/>
  <c r="K124" i="2"/>
  <c r="K123" i="2"/>
  <c r="I124" i="2"/>
  <c r="I117" i="2"/>
  <c r="K116" i="2"/>
  <c r="I113" i="2"/>
  <c r="I114" i="2"/>
  <c r="K118" i="2"/>
  <c r="I121" i="2"/>
  <c r="L116" i="2"/>
  <c r="K117" i="2"/>
  <c r="K114" i="2"/>
  <c r="I119" i="2"/>
  <c r="L114" i="2"/>
  <c r="K113" i="2"/>
  <c r="B8" i="4"/>
  <c r="H12" i="5"/>
  <c r="O12" i="20"/>
  <c r="O24" i="20"/>
  <c r="O32" i="20"/>
  <c r="O56" i="20"/>
  <c r="O64" i="20"/>
  <c r="O72" i="20"/>
  <c r="O80" i="20"/>
  <c r="O54" i="20"/>
  <c r="O58" i="20"/>
  <c r="O29" i="20"/>
  <c r="O45" i="20"/>
  <c r="O15" i="20"/>
  <c r="O38" i="20"/>
  <c r="O75" i="20"/>
  <c r="O96" i="20"/>
  <c r="O53" i="20"/>
  <c r="O61" i="20"/>
  <c r="O77" i="20"/>
  <c r="O93" i="20"/>
  <c r="O109" i="20"/>
  <c r="O69" i="20"/>
  <c r="B837" i="13"/>
  <c r="O11" i="20"/>
  <c r="O67" i="20"/>
  <c r="T112" i="20"/>
  <c r="T110" i="20"/>
  <c r="T15" i="20"/>
  <c r="T108" i="20"/>
  <c r="T11" i="20"/>
  <c r="T67" i="20"/>
  <c r="T109" i="20"/>
  <c r="O10" i="20"/>
  <c r="O18" i="20"/>
  <c r="O73" i="20"/>
  <c r="O82" i="20"/>
  <c r="O88" i="20"/>
  <c r="O104" i="20"/>
  <c r="O42" i="20"/>
  <c r="O94" i="20"/>
  <c r="R8" i="4"/>
  <c r="Q2" i="4" s="1"/>
  <c r="Q5" i="4" s="1"/>
  <c r="G15" i="4" s="1"/>
  <c r="H15" i="4" s="1"/>
  <c r="I37" i="4" s="1"/>
  <c r="O8" i="20"/>
  <c r="O16" i="20"/>
  <c r="O37" i="20"/>
  <c r="O63" i="20"/>
  <c r="O101" i="20"/>
  <c r="O20" i="20"/>
  <c r="O31" i="20"/>
  <c r="O35" i="20"/>
  <c r="O49" i="20"/>
  <c r="O66" i="20"/>
  <c r="K81" i="9"/>
  <c r="G56" i="9"/>
  <c r="L109" i="9"/>
  <c r="V12" i="9"/>
  <c r="H81" i="9"/>
  <c r="H47" i="9" s="1"/>
  <c r="H10" i="9"/>
  <c r="L78" i="9"/>
  <c r="L55" i="9"/>
  <c r="L110" i="9"/>
  <c r="L101" i="9"/>
  <c r="L74" i="9"/>
  <c r="L30" i="9"/>
  <c r="AB56" i="9"/>
  <c r="AF56" i="9"/>
  <c r="L52" i="9"/>
  <c r="J81" i="9"/>
  <c r="O81" i="9" s="1"/>
  <c r="L82" i="9"/>
  <c r="L106" i="9"/>
  <c r="E81" i="9"/>
  <c r="D56" i="9"/>
  <c r="AD56" i="9"/>
  <c r="L105" i="9"/>
  <c r="L102" i="9"/>
  <c r="J56" i="9"/>
  <c r="R56" i="9" s="1"/>
  <c r="L51" i="9"/>
  <c r="L104" i="9"/>
  <c r="D81" i="9"/>
  <c r="L108" i="9"/>
  <c r="L100" i="9"/>
  <c r="L53" i="9"/>
  <c r="L80" i="9"/>
  <c r="G81" i="9"/>
  <c r="AC56" i="9"/>
  <c r="L111" i="9"/>
  <c r="L103" i="9"/>
  <c r="H56" i="9"/>
  <c r="L54" i="9"/>
  <c r="L59" i="9" s="1"/>
  <c r="L79" i="9"/>
  <c r="H4" i="9"/>
  <c r="L76" i="9"/>
  <c r="L107" i="9"/>
  <c r="L49" i="9"/>
  <c r="I81" i="9"/>
  <c r="I56" i="9"/>
  <c r="K56" i="9"/>
  <c r="P56" i="9" s="1"/>
  <c r="M81" i="9"/>
  <c r="L29" i="9"/>
  <c r="E56" i="9"/>
  <c r="L77" i="9"/>
  <c r="L86" i="9"/>
  <c r="J84" i="19"/>
  <c r="G84" i="19"/>
  <c r="Q84" i="19" s="1"/>
  <c r="M84" i="19"/>
  <c r="E84" i="19"/>
  <c r="S84" i="19" s="1"/>
  <c r="F84" i="19"/>
  <c r="R84" i="19" s="1"/>
  <c r="D84" i="19"/>
  <c r="L84" i="19"/>
  <c r="P28" i="9"/>
  <c r="Q28" i="9"/>
  <c r="AF9" i="9"/>
  <c r="S9" i="9"/>
  <c r="R28" i="9"/>
  <c r="O28" i="9"/>
  <c r="R111" i="9"/>
  <c r="H118" i="9"/>
  <c r="G124" i="9"/>
  <c r="G44" i="9"/>
  <c r="I51" i="9"/>
  <c r="G114" i="9"/>
  <c r="P8" i="9"/>
  <c r="F10" i="9"/>
  <c r="X8" i="9"/>
  <c r="F82" i="9"/>
  <c r="F101" i="9"/>
  <c r="F79" i="9"/>
  <c r="F53" i="9"/>
  <c r="F39" i="9"/>
  <c r="F28" i="9"/>
  <c r="F116" i="9"/>
  <c r="D6" i="9"/>
  <c r="R12" i="9"/>
  <c r="X6" i="9"/>
  <c r="J50" i="9"/>
  <c r="F42" i="9"/>
  <c r="F52" i="9"/>
  <c r="F40" i="9"/>
  <c r="AB50" i="9"/>
  <c r="D50" i="9"/>
  <c r="J8" i="9"/>
  <c r="D4" i="9"/>
  <c r="R4" i="9"/>
  <c r="V4" i="9"/>
  <c r="L50" i="9"/>
  <c r="F81" i="9"/>
  <c r="F74" i="9"/>
  <c r="K50" i="9"/>
  <c r="P50" i="9" s="1"/>
  <c r="F109" i="9"/>
  <c r="H50" i="9"/>
  <c r="F105" i="9"/>
  <c r="F54" i="9"/>
  <c r="J10" i="9"/>
  <c r="D8" i="9"/>
  <c r="L75" i="9"/>
  <c r="M75" i="9"/>
  <c r="F49" i="9"/>
  <c r="F51" i="9"/>
  <c r="F107" i="9"/>
  <c r="G75" i="9"/>
  <c r="F76" i="9"/>
  <c r="AF50" i="9"/>
  <c r="X10" i="9"/>
  <c r="F4" i="9"/>
  <c r="M50" i="9"/>
  <c r="F78" i="9"/>
  <c r="F110" i="9"/>
  <c r="F104" i="9"/>
  <c r="J75" i="9"/>
  <c r="R75" i="9" s="1"/>
  <c r="F100" i="9"/>
  <c r="F44" i="9"/>
  <c r="F108" i="9"/>
  <c r="F38" i="9"/>
  <c r="AD50" i="9"/>
  <c r="P6" i="9"/>
  <c r="J4" i="9"/>
  <c r="D10" i="9"/>
  <c r="P10" i="9"/>
  <c r="T4" i="9"/>
  <c r="F56" i="9"/>
  <c r="E75" i="9"/>
  <c r="F55" i="9"/>
  <c r="F106" i="9"/>
  <c r="F111" i="9"/>
  <c r="F103" i="9"/>
  <c r="AE50" i="9"/>
  <c r="D75" i="9"/>
  <c r="T12" i="9"/>
  <c r="J6" i="9"/>
  <c r="F57" i="9"/>
  <c r="E50" i="9"/>
  <c r="K75" i="9"/>
  <c r="Q75" i="9" s="1"/>
  <c r="H75" i="9"/>
  <c r="F80" i="9"/>
  <c r="F102" i="9"/>
  <c r="H86" i="9"/>
  <c r="D85" i="19"/>
  <c r="H85" i="19"/>
  <c r="P85" i="19" s="1"/>
  <c r="F85" i="19"/>
  <c r="R85" i="19" s="1"/>
  <c r="P62" i="9"/>
  <c r="M86" i="9"/>
  <c r="J86" i="9"/>
  <c r="E86" i="9"/>
  <c r="Q61" i="9"/>
  <c r="K86" i="9"/>
  <c r="I86" i="9"/>
  <c r="D86" i="9"/>
  <c r="F86" i="9"/>
  <c r="G86" i="9"/>
  <c r="G31" i="4"/>
  <c r="H31" i="4" s="1"/>
  <c r="C37" i="4" s="1"/>
  <c r="S34" i="9"/>
  <c r="R57" i="9"/>
  <c r="R103" i="9"/>
  <c r="R54" i="9"/>
  <c r="E62" i="9"/>
  <c r="R79" i="9"/>
  <c r="AE62" i="9"/>
  <c r="R44" i="9"/>
  <c r="Q102" i="9"/>
  <c r="H61" i="9"/>
  <c r="AD61" i="9"/>
  <c r="Q42" i="9"/>
  <c r="Q80" i="9"/>
  <c r="Q119" i="9"/>
  <c r="Q38" i="9"/>
  <c r="Q79" i="9"/>
  <c r="Q40" i="9"/>
  <c r="AE9" i="2"/>
  <c r="AF29" i="9"/>
  <c r="R108" i="9"/>
  <c r="R46" i="9"/>
  <c r="R45" i="9"/>
  <c r="R106" i="9"/>
  <c r="R26" i="9"/>
  <c r="R105" i="9"/>
  <c r="R123" i="9"/>
  <c r="R119" i="9"/>
  <c r="Q50" i="9"/>
  <c r="Q113" i="9"/>
  <c r="Q109" i="9"/>
  <c r="J61" i="9"/>
  <c r="P61" i="9" s="1"/>
  <c r="M61" i="9"/>
  <c r="Q111" i="9"/>
  <c r="Q54" i="9"/>
  <c r="Q116" i="9"/>
  <c r="Q44" i="9"/>
  <c r="Q120" i="9"/>
  <c r="AE57" i="9"/>
  <c r="AE56" i="9"/>
  <c r="O101" i="9"/>
  <c r="AG26" i="9"/>
  <c r="R100" i="9"/>
  <c r="R82" i="9"/>
  <c r="R107" i="9"/>
  <c r="R42" i="9"/>
  <c r="R104" i="9"/>
  <c r="AD62" i="9"/>
  <c r="R115" i="9"/>
  <c r="L62" i="9"/>
  <c r="R113" i="9"/>
  <c r="Q41" i="9"/>
  <c r="D61" i="9"/>
  <c r="Q47" i="9"/>
  <c r="Q39" i="9"/>
  <c r="Q104" i="9"/>
  <c r="Q45" i="9"/>
  <c r="Q110" i="9"/>
  <c r="Q56" i="9"/>
  <c r="AE49" i="9"/>
  <c r="AE29" i="9"/>
  <c r="F115" i="9"/>
  <c r="F122" i="9"/>
  <c r="F121" i="9"/>
  <c r="F118" i="9"/>
  <c r="F120" i="9"/>
  <c r="F123" i="9"/>
  <c r="F113" i="9"/>
  <c r="F119" i="9"/>
  <c r="F114" i="9"/>
  <c r="G117" i="9"/>
  <c r="G121" i="9"/>
  <c r="G118" i="9"/>
  <c r="G122" i="9"/>
  <c r="G119" i="9"/>
  <c r="G123" i="9"/>
  <c r="G115" i="9"/>
  <c r="G120" i="9"/>
  <c r="G116" i="9"/>
  <c r="M123" i="9"/>
  <c r="M115" i="9"/>
  <c r="M118" i="9"/>
  <c r="M124" i="9"/>
  <c r="M117" i="9"/>
  <c r="M116" i="9"/>
  <c r="M122" i="9"/>
  <c r="M114" i="9"/>
  <c r="AF52" i="9"/>
  <c r="R109" i="9"/>
  <c r="R55" i="9"/>
  <c r="R53" i="9"/>
  <c r="R76" i="9"/>
  <c r="W35" i="9"/>
  <c r="R80" i="9"/>
  <c r="R110" i="9"/>
  <c r="R121" i="9"/>
  <c r="G61" i="9"/>
  <c r="AB61" i="9"/>
  <c r="Q100" i="9"/>
  <c r="Q122" i="9"/>
  <c r="Q53" i="9"/>
  <c r="Q76" i="9"/>
  <c r="Q55" i="9"/>
  <c r="Q121" i="9"/>
  <c r="O27" i="9"/>
  <c r="M59" i="9"/>
  <c r="O74" i="9"/>
  <c r="Q101" i="9"/>
  <c r="Q107" i="9"/>
  <c r="O57" i="9"/>
  <c r="O82" i="9"/>
  <c r="O113" i="9"/>
  <c r="O75" i="9"/>
  <c r="O118" i="9"/>
  <c r="E59" i="9"/>
  <c r="O38" i="9"/>
  <c r="O41" i="9"/>
  <c r="O30" i="9"/>
  <c r="O105" i="9"/>
  <c r="J59" i="9"/>
  <c r="O77" i="9"/>
  <c r="O116" i="9"/>
  <c r="O43" i="9"/>
  <c r="Z35" i="9"/>
  <c r="O44" i="9"/>
  <c r="AB59" i="9"/>
  <c r="O103" i="9"/>
  <c r="G59" i="9"/>
  <c r="D59" i="9"/>
  <c r="O109" i="9"/>
  <c r="AC59" i="9"/>
  <c r="O45" i="9"/>
  <c r="O42" i="9"/>
  <c r="O119" i="9"/>
  <c r="O53" i="9"/>
  <c r="O110" i="9"/>
  <c r="O104" i="9"/>
  <c r="K59" i="9"/>
  <c r="O108" i="9"/>
  <c r="AG4" i="9"/>
  <c r="AF6" i="9"/>
  <c r="I123" i="9"/>
  <c r="O123" i="9" s="1"/>
  <c r="I121" i="9"/>
  <c r="O121" i="9" s="1"/>
  <c r="I115" i="9"/>
  <c r="O115" i="9" s="1"/>
  <c r="I116" i="9"/>
  <c r="I117" i="9"/>
  <c r="O117" i="9" s="1"/>
  <c r="I114" i="9"/>
  <c r="O114" i="9" s="1"/>
  <c r="I120" i="9"/>
  <c r="O120" i="9" s="1"/>
  <c r="I122" i="9"/>
  <c r="O122" i="9" s="1"/>
  <c r="AT11" i="2"/>
  <c r="O14" i="4"/>
  <c r="AV11" i="2" s="1"/>
  <c r="H121" i="2"/>
  <c r="H116" i="2"/>
  <c r="H119" i="2"/>
  <c r="H118" i="2"/>
  <c r="H113" i="2"/>
  <c r="H120" i="2"/>
  <c r="H124" i="2"/>
  <c r="H122" i="2"/>
  <c r="H115" i="2"/>
  <c r="H117" i="2"/>
  <c r="H123" i="2"/>
  <c r="H114" i="2"/>
  <c r="B835" i="13"/>
  <c r="B836" i="13" s="1"/>
  <c r="C9" i="13"/>
  <c r="B834" i="13"/>
  <c r="P75" i="9"/>
  <c r="P80" i="9"/>
  <c r="P123" i="9"/>
  <c r="P76" i="9"/>
  <c r="AC50" i="2"/>
  <c r="AC55" i="2"/>
  <c r="AC29" i="2"/>
  <c r="AD26" i="2"/>
  <c r="AC54" i="2"/>
  <c r="AC49" i="2"/>
  <c r="AC53" i="2"/>
  <c r="AC51" i="2"/>
  <c r="AC52" i="2"/>
  <c r="P34" i="2"/>
  <c r="J115" i="2"/>
  <c r="J124" i="2"/>
  <c r="J119" i="2"/>
  <c r="J118" i="2"/>
  <c r="J113" i="2"/>
  <c r="L121" i="2"/>
  <c r="L122" i="2"/>
  <c r="L123" i="2"/>
  <c r="L117" i="2"/>
  <c r="L124" i="2"/>
  <c r="L115" i="2"/>
  <c r="D111" i="9"/>
  <c r="E30" i="9"/>
  <c r="D103" i="9"/>
  <c r="D52" i="9"/>
  <c r="F76" i="2"/>
  <c r="F53" i="2"/>
  <c r="K75" i="2"/>
  <c r="F111" i="2"/>
  <c r="F110" i="2"/>
  <c r="L75" i="2"/>
  <c r="E50" i="2"/>
  <c r="F30" i="2"/>
  <c r="F106" i="2"/>
  <c r="F108" i="2"/>
  <c r="F80" i="2"/>
  <c r="I50" i="2"/>
  <c r="J50" i="2"/>
  <c r="J75" i="2"/>
  <c r="F74" i="2"/>
  <c r="F101" i="2"/>
  <c r="F77" i="2"/>
  <c r="H50" i="2"/>
  <c r="F79" i="2"/>
  <c r="G50" i="2"/>
  <c r="F78" i="2"/>
  <c r="F100" i="2"/>
  <c r="F44" i="2"/>
  <c r="F42" i="2"/>
  <c r="G75" i="2"/>
  <c r="F105" i="2"/>
  <c r="F51" i="2"/>
  <c r="F54" i="2"/>
  <c r="J121" i="2"/>
  <c r="AB54" i="2"/>
  <c r="AB56" i="2"/>
  <c r="AB51" i="2"/>
  <c r="O34" i="2"/>
  <c r="AB29" i="2"/>
  <c r="AB53" i="2"/>
  <c r="AB49" i="2"/>
  <c r="H107" i="2"/>
  <c r="H53" i="2"/>
  <c r="H44" i="2"/>
  <c r="I77" i="2"/>
  <c r="I52" i="2"/>
  <c r="H108" i="2"/>
  <c r="L52" i="2"/>
  <c r="J52" i="2"/>
  <c r="G77" i="2"/>
  <c r="K77" i="2"/>
  <c r="H110" i="2"/>
  <c r="H54" i="2"/>
  <c r="F52" i="2"/>
  <c r="J77" i="2"/>
  <c r="H109" i="2"/>
  <c r="L77" i="2"/>
  <c r="H101" i="2"/>
  <c r="H78" i="2"/>
  <c r="E52" i="2"/>
  <c r="D52" i="2"/>
  <c r="AB52" i="2"/>
  <c r="H81" i="2"/>
  <c r="H104" i="2"/>
  <c r="H105" i="2"/>
  <c r="H102" i="2"/>
  <c r="H75" i="2"/>
  <c r="E77" i="2"/>
  <c r="G85" i="19"/>
  <c r="Q85" i="19" s="1"/>
  <c r="E85" i="19"/>
  <c r="S85" i="19" s="1"/>
  <c r="L85" i="19"/>
  <c r="I85" i="19"/>
  <c r="O85" i="19" s="1"/>
  <c r="K85" i="19"/>
  <c r="M85" i="19"/>
  <c r="L113" i="2"/>
  <c r="AB55" i="2"/>
  <c r="H43" i="2"/>
  <c r="H111" i="2"/>
  <c r="H106" i="2"/>
  <c r="Q102" i="19"/>
  <c r="Q40" i="19"/>
  <c r="Q42" i="19"/>
  <c r="E61" i="19"/>
  <c r="S61" i="19" s="1"/>
  <c r="Q115" i="19"/>
  <c r="J109" i="2"/>
  <c r="J104" i="2"/>
  <c r="J102" i="2"/>
  <c r="J106" i="2"/>
  <c r="L54" i="2"/>
  <c r="J42" i="2"/>
  <c r="J101" i="2"/>
  <c r="G32" i="19"/>
  <c r="Q46" i="19"/>
  <c r="L61" i="19"/>
  <c r="AC61" i="19"/>
  <c r="Q111" i="19"/>
  <c r="AE7" i="19"/>
  <c r="AE4" i="19"/>
  <c r="Q114" i="19"/>
  <c r="Q107" i="19"/>
  <c r="Q75" i="19"/>
  <c r="Q119" i="19"/>
  <c r="Q54" i="19"/>
  <c r="F61" i="19"/>
  <c r="R61" i="19" s="1"/>
  <c r="Q76" i="19"/>
  <c r="Q104" i="19"/>
  <c r="Q29" i="19"/>
  <c r="Q123" i="19"/>
  <c r="Q53" i="19"/>
  <c r="Q43" i="19"/>
  <c r="Q57" i="19"/>
  <c r="J61" i="19"/>
  <c r="Q110" i="19"/>
  <c r="Q26" i="19"/>
  <c r="G61" i="19"/>
  <c r="Q61" i="19" s="1"/>
  <c r="Q117" i="19"/>
  <c r="Q45" i="19"/>
  <c r="Q77" i="19"/>
  <c r="Q28" i="19"/>
  <c r="AE61" i="19"/>
  <c r="M61" i="19"/>
  <c r="Q56" i="19"/>
  <c r="Q27" i="19"/>
  <c r="Q101" i="19"/>
  <c r="F32" i="19"/>
  <c r="Q59" i="19"/>
  <c r="Q81" i="19"/>
  <c r="Q106" i="19"/>
  <c r="D61" i="19"/>
  <c r="Q38" i="19"/>
  <c r="Q122" i="19"/>
  <c r="E32" i="19"/>
  <c r="R46" i="19"/>
  <c r="I62" i="19"/>
  <c r="O62" i="19" s="1"/>
  <c r="AB62" i="19"/>
  <c r="R30" i="19"/>
  <c r="R41" i="19"/>
  <c r="S60" i="19"/>
  <c r="S120" i="19"/>
  <c r="AD63" i="19"/>
  <c r="S106" i="19"/>
  <c r="S56" i="19"/>
  <c r="S114" i="19"/>
  <c r="S53" i="19"/>
  <c r="S101" i="19"/>
  <c r="S122" i="19"/>
  <c r="I63" i="19"/>
  <c r="O63" i="19" s="1"/>
  <c r="S59" i="19"/>
  <c r="S107" i="19"/>
  <c r="S44" i="19"/>
  <c r="S116" i="19"/>
  <c r="S27" i="19"/>
  <c r="S119" i="19"/>
  <c r="S26" i="19"/>
  <c r="J63" i="19"/>
  <c r="S82" i="19"/>
  <c r="S47" i="19"/>
  <c r="S57" i="19"/>
  <c r="S123" i="19"/>
  <c r="K63" i="19"/>
  <c r="S121" i="19"/>
  <c r="G63" i="19"/>
  <c r="Q63" i="19" s="1"/>
  <c r="S76" i="19"/>
  <c r="S52" i="19"/>
  <c r="AE63" i="19"/>
  <c r="S49" i="19"/>
  <c r="S74" i="19"/>
  <c r="S113" i="19"/>
  <c r="Q74" i="19"/>
  <c r="Q109" i="19"/>
  <c r="Q82" i="19"/>
  <c r="Q118" i="19"/>
  <c r="H61" i="19"/>
  <c r="P61" i="19" s="1"/>
  <c r="Q52" i="19"/>
  <c r="AG26" i="19"/>
  <c r="AF51" i="19"/>
  <c r="AF61" i="19" s="1"/>
  <c r="AF53" i="19"/>
  <c r="AF59" i="19" s="1"/>
  <c r="AF49" i="19"/>
  <c r="AF63" i="19" s="1"/>
  <c r="AF50" i="19"/>
  <c r="AF62" i="19" s="1"/>
  <c r="Q124" i="19"/>
  <c r="Q105" i="19"/>
  <c r="Q30" i="19"/>
  <c r="AB61" i="19"/>
  <c r="Q44" i="19"/>
  <c r="Q51" i="19"/>
  <c r="Q113" i="19"/>
  <c r="Q116" i="19"/>
  <c r="Q50" i="19"/>
  <c r="Q78" i="19"/>
  <c r="AD61" i="19"/>
  <c r="R115" i="19"/>
  <c r="J62" i="19"/>
  <c r="R53" i="19"/>
  <c r="R102" i="19"/>
  <c r="G62" i="19"/>
  <c r="Q62" i="19" s="1"/>
  <c r="R116" i="19"/>
  <c r="R117" i="19"/>
  <c r="R122" i="19"/>
  <c r="R26" i="19"/>
  <c r="R111" i="19"/>
  <c r="F62" i="19"/>
  <c r="R62" i="19" s="1"/>
  <c r="R28" i="19"/>
  <c r="R81" i="19"/>
  <c r="R57" i="19"/>
  <c r="R78" i="19"/>
  <c r="R104" i="19"/>
  <c r="R29" i="19"/>
  <c r="AC62" i="19"/>
  <c r="R77" i="19"/>
  <c r="R60" i="19"/>
  <c r="R103" i="19"/>
  <c r="R52" i="19"/>
  <c r="R113" i="19"/>
  <c r="R50" i="19"/>
  <c r="R39" i="19"/>
  <c r="D62" i="19"/>
  <c r="L62" i="19"/>
  <c r="R101" i="19"/>
  <c r="R108" i="19"/>
  <c r="E62" i="19"/>
  <c r="S62" i="19" s="1"/>
  <c r="R59" i="19"/>
  <c r="P77" i="19"/>
  <c r="P43" i="19"/>
  <c r="P30" i="19"/>
  <c r="P117" i="19"/>
  <c r="L60" i="19"/>
  <c r="P119" i="19"/>
  <c r="AC60" i="19"/>
  <c r="P80" i="19"/>
  <c r="I74" i="9"/>
  <c r="I77" i="9"/>
  <c r="I80" i="9"/>
  <c r="I75" i="9"/>
  <c r="I105" i="9"/>
  <c r="I9" i="13"/>
  <c r="A41" i="3"/>
  <c r="R3" i="3" s="1"/>
  <c r="AO47" i="3"/>
  <c r="P8" i="19"/>
  <c r="AC55" i="19"/>
  <c r="K84" i="19"/>
  <c r="P10" i="19"/>
  <c r="K110" i="19"/>
  <c r="K105" i="19"/>
  <c r="K51" i="19"/>
  <c r="K61" i="19" s="1"/>
  <c r="F80" i="19"/>
  <c r="E55" i="19"/>
  <c r="S55" i="19" s="1"/>
  <c r="J10" i="19"/>
  <c r="K102" i="19"/>
  <c r="G55" i="19"/>
  <c r="Q55" i="19" s="1"/>
  <c r="D4" i="19"/>
  <c r="K76" i="19"/>
  <c r="H55" i="19"/>
  <c r="P55" i="19" s="1"/>
  <c r="T4" i="19"/>
  <c r="G80" i="19"/>
  <c r="G47" i="19" s="1"/>
  <c r="Q47" i="19" s="1"/>
  <c r="AF60" i="19"/>
  <c r="AE60" i="19"/>
  <c r="P123" i="19"/>
  <c r="Y35" i="19"/>
  <c r="P100" i="19"/>
  <c r="P74" i="19"/>
  <c r="P38" i="19"/>
  <c r="P41" i="19"/>
  <c r="P78" i="19"/>
  <c r="P44" i="19"/>
  <c r="P47" i="19"/>
  <c r="P106" i="19"/>
  <c r="K118" i="19"/>
  <c r="AG35" i="19" s="1"/>
  <c r="K117" i="19"/>
  <c r="AF35" i="19" s="1"/>
  <c r="I49" i="9"/>
  <c r="K78" i="9"/>
  <c r="I54" i="9"/>
  <c r="I103" i="9"/>
  <c r="I108" i="9"/>
  <c r="G78" i="9"/>
  <c r="G47" i="9" s="1"/>
  <c r="I109" i="9"/>
  <c r="I44" i="9"/>
  <c r="I55" i="9"/>
  <c r="I60" i="9" s="1"/>
  <c r="I106" i="9"/>
  <c r="G53" i="9"/>
  <c r="X8" i="19"/>
  <c r="P57" i="19"/>
  <c r="P120" i="19"/>
  <c r="P111" i="19"/>
  <c r="J60" i="19"/>
  <c r="M60" i="19"/>
  <c r="P105" i="19"/>
  <c r="P60" i="19"/>
  <c r="I111" i="9"/>
  <c r="I107" i="9"/>
  <c r="J78" i="9"/>
  <c r="K79" i="19"/>
  <c r="A93" i="3"/>
  <c r="AO72" i="3"/>
  <c r="O102" i="19"/>
  <c r="O40" i="20"/>
  <c r="L111" i="21"/>
  <c r="L110" i="21" s="1"/>
  <c r="L109" i="21" s="1"/>
  <c r="L108" i="21" s="1"/>
  <c r="L107" i="21" s="1"/>
  <c r="L106" i="21" s="1"/>
  <c r="L105" i="21" s="1"/>
  <c r="L104" i="21" s="1"/>
  <c r="L103" i="21" s="1"/>
  <c r="L102" i="21" s="1"/>
  <c r="L101" i="21" s="1"/>
  <c r="L100" i="21" s="1"/>
  <c r="L99" i="21" s="1"/>
  <c r="L98" i="21" s="1"/>
  <c r="L97" i="21" s="1"/>
  <c r="L96" i="21" s="1"/>
  <c r="L95" i="21" s="1"/>
  <c r="L94" i="21" s="1"/>
  <c r="L93" i="21" s="1"/>
  <c r="L92" i="21" s="1"/>
  <c r="L91" i="21" s="1"/>
  <c r="L90" i="21" s="1"/>
  <c r="L89" i="21" s="1"/>
  <c r="L88" i="21" s="1"/>
  <c r="L87" i="21" s="1"/>
  <c r="L86" i="21" s="1"/>
  <c r="L85" i="21" s="1"/>
  <c r="L84" i="21" s="1"/>
  <c r="L83" i="21" s="1"/>
  <c r="L82" i="21" s="1"/>
  <c r="L81" i="21" s="1"/>
  <c r="L80" i="21" s="1"/>
  <c r="L79" i="21" s="1"/>
  <c r="L78" i="21" s="1"/>
  <c r="L77" i="21" s="1"/>
  <c r="L76" i="21" s="1"/>
  <c r="L75" i="21" s="1"/>
  <c r="L74" i="21" s="1"/>
  <c r="L73" i="21" s="1"/>
  <c r="L72" i="21" s="1"/>
  <c r="L71" i="21" s="1"/>
  <c r="L70" i="21" s="1"/>
  <c r="L69" i="21" s="1"/>
  <c r="L68" i="21" s="1"/>
  <c r="L67" i="21" s="1"/>
  <c r="L66" i="21" s="1"/>
  <c r="L65" i="21" s="1"/>
  <c r="L64" i="21" s="1"/>
  <c r="L63" i="21" s="1"/>
  <c r="L62" i="21" s="1"/>
  <c r="L61" i="21" s="1"/>
  <c r="L60" i="21" s="1"/>
  <c r="L59" i="21" s="1"/>
  <c r="L58" i="21" s="1"/>
  <c r="L57" i="21" s="1"/>
  <c r="L56" i="21" s="1"/>
  <c r="L55" i="21" s="1"/>
  <c r="L54" i="21" s="1"/>
  <c r="L53" i="21" s="1"/>
  <c r="L52" i="21" s="1"/>
  <c r="L51" i="21" s="1"/>
  <c r="L50" i="21" s="1"/>
  <c r="L49" i="21" s="1"/>
  <c r="L48" i="21" s="1"/>
  <c r="L47" i="21" s="1"/>
  <c r="L46" i="21" s="1"/>
  <c r="L45" i="21" s="1"/>
  <c r="L44" i="21" s="1"/>
  <c r="L43" i="21" s="1"/>
  <c r="L42" i="21" s="1"/>
  <c r="L41" i="21" s="1"/>
  <c r="L40" i="21" s="1"/>
  <c r="L39" i="21" s="1"/>
  <c r="L38" i="21" s="1"/>
  <c r="L37" i="21" s="1"/>
  <c r="L36" i="21" s="1"/>
  <c r="L35" i="21" s="1"/>
  <c r="L34" i="21" s="1"/>
  <c r="L33" i="21" s="1"/>
  <c r="L32" i="21" s="1"/>
  <c r="L31" i="21" s="1"/>
  <c r="L30" i="21" s="1"/>
  <c r="L29" i="21" s="1"/>
  <c r="L28" i="21" s="1"/>
  <c r="L27" i="21" s="1"/>
  <c r="L26" i="21" s="1"/>
  <c r="L25" i="21" s="1"/>
  <c r="L24" i="21" s="1"/>
  <c r="L23" i="21" s="1"/>
  <c r="L22" i="21" s="1"/>
  <c r="L21" i="21" s="1"/>
  <c r="L20" i="21" s="1"/>
  <c r="L19" i="21" s="1"/>
  <c r="L18" i="21" s="1"/>
  <c r="L17" i="21" s="1"/>
  <c r="L16" i="21" s="1"/>
  <c r="L15" i="21" s="1"/>
  <c r="L14" i="21" s="1"/>
  <c r="L13" i="21" s="1"/>
  <c r="L12" i="21" s="1"/>
  <c r="L11" i="21" s="1"/>
  <c r="L10" i="21" s="1"/>
  <c r="L9" i="21" s="1"/>
  <c r="L8" i="21" s="1"/>
  <c r="L7" i="21" s="1"/>
  <c r="L6" i="21" s="1"/>
  <c r="L5" i="21" s="1"/>
  <c r="L2" i="21" s="1"/>
  <c r="G110" i="7"/>
  <c r="N139" i="7"/>
  <c r="AD85" i="7"/>
  <c r="E110" i="7"/>
  <c r="N132" i="7"/>
  <c r="M110" i="7"/>
  <c r="K110" i="7"/>
  <c r="F110" i="7"/>
  <c r="N77" i="7"/>
  <c r="N134" i="7"/>
  <c r="K85" i="7"/>
  <c r="N102" i="7"/>
  <c r="E85" i="7"/>
  <c r="N131" i="7"/>
  <c r="N138" i="7"/>
  <c r="N128" i="7"/>
  <c r="G85" i="7"/>
  <c r="J85" i="7"/>
  <c r="N136" i="7"/>
  <c r="N109" i="7"/>
  <c r="O85" i="7"/>
  <c r="AB85" i="7"/>
  <c r="F85" i="7"/>
  <c r="N107" i="7"/>
  <c r="N135" i="7"/>
  <c r="N78" i="7"/>
  <c r="N81" i="7"/>
  <c r="N133" i="7"/>
  <c r="J110" i="7"/>
  <c r="N106" i="7"/>
  <c r="N130" i="7"/>
  <c r="AC85" i="7"/>
  <c r="N103" i="7"/>
  <c r="N137" i="7"/>
  <c r="N129" i="7"/>
  <c r="N82" i="7"/>
  <c r="M107" i="7"/>
  <c r="L102" i="7"/>
  <c r="L84" i="7"/>
  <c r="L110" i="7"/>
  <c r="L107" i="7"/>
  <c r="N83" i="7"/>
  <c r="L132" i="7"/>
  <c r="L130" i="7"/>
  <c r="F83" i="7"/>
  <c r="AB83" i="7"/>
  <c r="O83" i="7"/>
  <c r="L135" i="7"/>
  <c r="L85" i="7"/>
  <c r="L138" i="7"/>
  <c r="L137" i="7"/>
  <c r="J108" i="7"/>
  <c r="L81" i="7"/>
  <c r="L134" i="7"/>
  <c r="L82" i="7"/>
  <c r="M83" i="7"/>
  <c r="M108" i="7"/>
  <c r="L106" i="7"/>
  <c r="K108" i="7"/>
  <c r="L72" i="7"/>
  <c r="L139" i="7"/>
  <c r="L109" i="7"/>
  <c r="E83" i="7"/>
  <c r="L136" i="7"/>
  <c r="N108" i="7"/>
  <c r="L70" i="7"/>
  <c r="L129" i="7"/>
  <c r="J83" i="7"/>
  <c r="E108" i="7"/>
  <c r="G83" i="7"/>
  <c r="I108" i="7"/>
  <c r="L71" i="7"/>
  <c r="L131" i="7"/>
  <c r="K83" i="7"/>
  <c r="L128" i="7"/>
  <c r="K136" i="7"/>
  <c r="J143" i="7"/>
  <c r="J148" i="7"/>
  <c r="I102" i="7"/>
  <c r="I70" i="7"/>
  <c r="I110" i="7"/>
  <c r="N80" i="7"/>
  <c r="I107" i="7"/>
  <c r="N105" i="7"/>
  <c r="I77" i="7"/>
  <c r="I83" i="7"/>
  <c r="I128" i="7"/>
  <c r="E105" i="7"/>
  <c r="I85" i="7"/>
  <c r="L80" i="7"/>
  <c r="I131" i="7"/>
  <c r="H68" i="7"/>
  <c r="H60" i="7"/>
  <c r="H66" i="7"/>
  <c r="H69" i="7"/>
  <c r="F104" i="7"/>
  <c r="E78" i="7"/>
  <c r="L78" i="7"/>
  <c r="G132" i="7"/>
  <c r="G135" i="7"/>
  <c r="M78" i="7"/>
  <c r="F103" i="7"/>
  <c r="G137" i="7"/>
  <c r="E103" i="7"/>
  <c r="G130" i="7"/>
  <c r="J103" i="7"/>
  <c r="G109" i="7"/>
  <c r="F129" i="7"/>
  <c r="F136" i="7"/>
  <c r="K77" i="7"/>
  <c r="F108" i="7"/>
  <c r="K102" i="7"/>
  <c r="M102" i="7"/>
  <c r="F109" i="7"/>
  <c r="F135" i="7"/>
  <c r="F70" i="7"/>
  <c r="K75" i="7"/>
  <c r="F72" i="7"/>
  <c r="G77" i="7"/>
  <c r="F148" i="7"/>
  <c r="F133" i="7"/>
  <c r="L77" i="7"/>
  <c r="F141" i="7"/>
  <c r="F149" i="7"/>
  <c r="F106" i="7"/>
  <c r="F134" i="7"/>
  <c r="E77" i="7"/>
  <c r="F131" i="7"/>
  <c r="J77" i="7"/>
  <c r="F138" i="7"/>
  <c r="M77" i="7"/>
  <c r="F137" i="7"/>
  <c r="F152" i="7"/>
  <c r="J152" i="7"/>
  <c r="L145" i="7"/>
  <c r="J145" i="7"/>
  <c r="L142" i="7"/>
  <c r="L143" i="7"/>
  <c r="L144" i="7"/>
  <c r="J147" i="7"/>
  <c r="J144" i="7"/>
  <c r="J141" i="7"/>
  <c r="M142" i="7"/>
  <c r="L148" i="7"/>
  <c r="J142" i="7"/>
  <c r="L141" i="7"/>
  <c r="J151" i="7"/>
  <c r="L146" i="7"/>
  <c r="L152" i="7"/>
  <c r="J149" i="7"/>
  <c r="L151" i="7"/>
  <c r="M144" i="7"/>
  <c r="I152" i="7"/>
  <c r="AE60" i="7"/>
  <c r="K152" i="7"/>
  <c r="M152" i="7"/>
  <c r="L103" i="7"/>
  <c r="G108" i="7"/>
  <c r="G107" i="7"/>
  <c r="G79" i="7"/>
  <c r="AC81" i="7"/>
  <c r="M80" i="7"/>
  <c r="I137" i="7"/>
  <c r="I132" i="7"/>
  <c r="I134" i="7"/>
  <c r="K132" i="7"/>
  <c r="I150" i="7"/>
  <c r="AD82" i="7"/>
  <c r="K147" i="7"/>
  <c r="M143" i="7"/>
  <c r="G139" i="7"/>
  <c r="J78" i="7"/>
  <c r="H78" i="7"/>
  <c r="G82" i="7"/>
  <c r="AC77" i="7"/>
  <c r="K80" i="7"/>
  <c r="M105" i="7"/>
  <c r="I133" i="7"/>
  <c r="K130" i="7"/>
  <c r="I149" i="7"/>
  <c r="I143" i="7"/>
  <c r="AD77" i="7"/>
  <c r="K146" i="7"/>
  <c r="G138" i="7"/>
  <c r="K78" i="7"/>
  <c r="G106" i="7"/>
  <c r="K149" i="7"/>
  <c r="I135" i="7"/>
  <c r="H105" i="7"/>
  <c r="I129" i="7"/>
  <c r="I130" i="7"/>
  <c r="K134" i="7"/>
  <c r="G136" i="7"/>
  <c r="K105" i="7"/>
  <c r="K137" i="7"/>
  <c r="I144" i="7"/>
  <c r="I145" i="7"/>
  <c r="AD81" i="7"/>
  <c r="K141" i="7"/>
  <c r="M103" i="7"/>
  <c r="K103" i="7"/>
  <c r="G128" i="7"/>
  <c r="AC82" i="7"/>
  <c r="I81" i="7"/>
  <c r="L105" i="7"/>
  <c r="I106" i="7"/>
  <c r="I103" i="7"/>
  <c r="M82" i="7"/>
  <c r="G81" i="7"/>
  <c r="I147" i="7"/>
  <c r="I151" i="7"/>
  <c r="AD79" i="7"/>
  <c r="M149" i="7"/>
  <c r="O78" i="7"/>
  <c r="F78" i="7"/>
  <c r="AB78" i="7"/>
  <c r="G102" i="7"/>
  <c r="G72" i="7"/>
  <c r="AC84" i="7"/>
  <c r="I72" i="7"/>
  <c r="I138" i="7"/>
  <c r="F80" i="7"/>
  <c r="AB80" i="7"/>
  <c r="O80" i="7"/>
  <c r="F105" i="7"/>
  <c r="M141" i="7"/>
  <c r="K70" i="7"/>
  <c r="K143" i="7"/>
  <c r="I136" i="7"/>
  <c r="I146" i="7"/>
  <c r="I142" i="7"/>
  <c r="AD78" i="7"/>
  <c r="AD80" i="7"/>
  <c r="M150" i="7"/>
  <c r="G129" i="7"/>
  <c r="G70" i="7"/>
  <c r="AC79" i="7"/>
  <c r="J105" i="7"/>
  <c r="I82" i="7"/>
  <c r="E80" i="7"/>
  <c r="AC83" i="7"/>
  <c r="K129" i="7"/>
  <c r="M145" i="7"/>
  <c r="G133" i="7"/>
  <c r="I109" i="7"/>
  <c r="I141" i="7"/>
  <c r="AD83" i="7"/>
  <c r="M151" i="7"/>
  <c r="G104" i="7"/>
  <c r="G134" i="7"/>
  <c r="G105" i="7"/>
  <c r="H103" i="7"/>
  <c r="J80" i="7"/>
  <c r="G80" i="7"/>
  <c r="AC80" i="7"/>
  <c r="I71" i="7"/>
  <c r="I148" i="7"/>
  <c r="I78" i="7"/>
  <c r="I139" i="7"/>
  <c r="I84" i="9" l="1"/>
  <c r="O84" i="9" s="1"/>
  <c r="F84" i="9"/>
  <c r="G84" i="9"/>
  <c r="M84" i="9"/>
  <c r="D84" i="9"/>
  <c r="L84" i="9"/>
  <c r="E84" i="9"/>
  <c r="H84" i="9"/>
  <c r="K84" i="9"/>
  <c r="R84" i="9" s="1"/>
  <c r="P60" i="9"/>
  <c r="R60" i="9"/>
  <c r="M122" i="2"/>
  <c r="M118" i="2"/>
  <c r="M123" i="2"/>
  <c r="M124" i="2"/>
  <c r="M121" i="2"/>
  <c r="M120" i="2"/>
  <c r="M117" i="2"/>
  <c r="M119" i="2"/>
  <c r="M114" i="2"/>
  <c r="M113" i="2"/>
  <c r="M116" i="2"/>
  <c r="M115" i="2"/>
  <c r="K122" i="2"/>
  <c r="K121" i="2"/>
  <c r="K119" i="2"/>
  <c r="I85" i="9"/>
  <c r="O85" i="9" s="1"/>
  <c r="J85" i="9"/>
  <c r="L85" i="9"/>
  <c r="E85" i="9"/>
  <c r="G85" i="9"/>
  <c r="M85" i="9"/>
  <c r="F85" i="9"/>
  <c r="K85" i="9"/>
  <c r="Q85" i="9" s="1"/>
  <c r="D85" i="9"/>
  <c r="Q60" i="9"/>
  <c r="G81" i="2"/>
  <c r="G102" i="2"/>
  <c r="G103" i="2"/>
  <c r="G29" i="2"/>
  <c r="H4" i="2"/>
  <c r="H10" i="2"/>
  <c r="AG4" i="2" s="1"/>
  <c r="X8" i="2"/>
  <c r="F10" i="2"/>
  <c r="AE4" i="2" s="1"/>
  <c r="L76" i="2"/>
  <c r="D6" i="2"/>
  <c r="G43" i="2"/>
  <c r="K76" i="2"/>
  <c r="G79" i="2"/>
  <c r="L51" i="2"/>
  <c r="D8" i="2"/>
  <c r="AC8" i="2" s="1"/>
  <c r="V12" i="2"/>
  <c r="M51" i="2"/>
  <c r="T4" i="2"/>
  <c r="G42" i="2"/>
  <c r="G106" i="2"/>
  <c r="G107" i="2"/>
  <c r="G111" i="2"/>
  <c r="T12" i="2"/>
  <c r="P6" i="2"/>
  <c r="G82" i="2"/>
  <c r="J6" i="2"/>
  <c r="P10" i="2"/>
  <c r="G110" i="2"/>
  <c r="G54" i="2"/>
  <c r="H51" i="2"/>
  <c r="J51" i="2"/>
  <c r="G109" i="2"/>
  <c r="X6" i="2"/>
  <c r="M76" i="2"/>
  <c r="G74" i="2"/>
  <c r="R4" i="2"/>
  <c r="G100" i="2"/>
  <c r="G53" i="2"/>
  <c r="J76" i="2"/>
  <c r="G101" i="2"/>
  <c r="G44" i="2"/>
  <c r="E51" i="2"/>
  <c r="D51" i="2"/>
  <c r="D76" i="2"/>
  <c r="D10" i="2"/>
  <c r="AC6" i="2" s="1"/>
  <c r="G105" i="2"/>
  <c r="J8" i="2"/>
  <c r="G80" i="2"/>
  <c r="I76" i="2"/>
  <c r="I51" i="2"/>
  <c r="G52" i="2"/>
  <c r="G56" i="2"/>
  <c r="G30" i="2"/>
  <c r="R12" i="2"/>
  <c r="J4" i="2"/>
  <c r="X10" i="2"/>
  <c r="J10" i="2"/>
  <c r="H76" i="2"/>
  <c r="G55" i="2"/>
  <c r="G108" i="2"/>
  <c r="G104" i="2"/>
  <c r="D4" i="2"/>
  <c r="F4" i="2"/>
  <c r="V4" i="2"/>
  <c r="P8" i="2"/>
  <c r="K51" i="2"/>
  <c r="G78" i="2"/>
  <c r="G57" i="2"/>
  <c r="G49" i="2"/>
  <c r="R62" i="9"/>
  <c r="O12" i="4"/>
  <c r="AV9" i="2" s="1"/>
  <c r="O60" i="9"/>
  <c r="AE60" i="9"/>
  <c r="AF51" i="9"/>
  <c r="AF54" i="9"/>
  <c r="AF60" i="9" s="1"/>
  <c r="AF53" i="9"/>
  <c r="AF59" i="9" s="1"/>
  <c r="AF57" i="9"/>
  <c r="AF55" i="9"/>
  <c r="AF49" i="9"/>
  <c r="R86" i="9"/>
  <c r="I13" i="5"/>
  <c r="I3" i="5" s="1"/>
  <c r="H13" i="5"/>
  <c r="G18" i="4"/>
  <c r="H18" i="4" s="1"/>
  <c r="K37" i="4" s="1"/>
  <c r="L37" i="4" s="1"/>
  <c r="G12" i="4"/>
  <c r="H12" i="4" s="1"/>
  <c r="F37" i="4" s="1"/>
  <c r="G11" i="4"/>
  <c r="H11" i="4" s="1"/>
  <c r="E37" i="4" s="1"/>
  <c r="G16" i="4"/>
  <c r="H16" i="4" s="1"/>
  <c r="J37" i="4" s="1"/>
  <c r="G14" i="4"/>
  <c r="H14" i="4" s="1"/>
  <c r="H37" i="4" s="1"/>
  <c r="G10" i="4"/>
  <c r="H10" i="4" s="1"/>
  <c r="D37" i="4" s="1"/>
  <c r="G13" i="4"/>
  <c r="H13" i="4" s="1"/>
  <c r="G37" i="4" s="1"/>
  <c r="G17" i="4"/>
  <c r="H17" i="4" s="1"/>
  <c r="I17" i="4" s="1"/>
  <c r="M17" i="4" s="1"/>
  <c r="P85" i="9"/>
  <c r="L60" i="9"/>
  <c r="L61" i="9"/>
  <c r="R81" i="9"/>
  <c r="O56" i="9"/>
  <c r="L115" i="9"/>
  <c r="L113" i="9"/>
  <c r="L122" i="9"/>
  <c r="L124" i="9"/>
  <c r="L120" i="9"/>
  <c r="L121" i="9"/>
  <c r="L119" i="9"/>
  <c r="L116" i="9"/>
  <c r="L117" i="9"/>
  <c r="L118" i="9"/>
  <c r="L123" i="9"/>
  <c r="L114" i="9"/>
  <c r="P81" i="9"/>
  <c r="Q81" i="9"/>
  <c r="F59" i="9"/>
  <c r="F62" i="9"/>
  <c r="R50" i="9"/>
  <c r="O50" i="9"/>
  <c r="F61" i="9"/>
  <c r="F60" i="9"/>
  <c r="F47" i="9"/>
  <c r="O86" i="9"/>
  <c r="P84" i="9"/>
  <c r="Q86" i="9"/>
  <c r="P86" i="9"/>
  <c r="R59" i="9"/>
  <c r="M42" i="7"/>
  <c r="M20" i="7"/>
  <c r="N20" i="7" s="1"/>
  <c r="M47" i="7"/>
  <c r="AN35" i="19"/>
  <c r="Q80" i="19"/>
  <c r="O41" i="2"/>
  <c r="O101" i="2"/>
  <c r="O76" i="2"/>
  <c r="O77" i="2"/>
  <c r="J59" i="2"/>
  <c r="O27" i="2"/>
  <c r="O80" i="2"/>
  <c r="G59" i="2"/>
  <c r="O111" i="2"/>
  <c r="O114" i="2"/>
  <c r="F59" i="2"/>
  <c r="O51" i="2"/>
  <c r="O40" i="2"/>
  <c r="O55" i="2"/>
  <c r="O110" i="2"/>
  <c r="O26" i="2"/>
  <c r="O54" i="2"/>
  <c r="O105" i="2"/>
  <c r="AP5" i="9"/>
  <c r="AO5" i="9" s="1"/>
  <c r="AP5" i="2"/>
  <c r="AO5" i="2" s="1"/>
  <c r="O39" i="2"/>
  <c r="O30" i="2"/>
  <c r="O28" i="2"/>
  <c r="O104" i="2"/>
  <c r="O102" i="2"/>
  <c r="L59" i="2"/>
  <c r="K59" i="2"/>
  <c r="O44" i="2"/>
  <c r="O74" i="2"/>
  <c r="O38" i="2"/>
  <c r="O56" i="2"/>
  <c r="O45" i="2"/>
  <c r="O50" i="2"/>
  <c r="O100" i="2"/>
  <c r="O103" i="2"/>
  <c r="O49" i="2"/>
  <c r="O53" i="2"/>
  <c r="O42" i="2"/>
  <c r="D59" i="2"/>
  <c r="I59" i="2"/>
  <c r="O109" i="2"/>
  <c r="O81" i="2"/>
  <c r="O107" i="2"/>
  <c r="O52" i="2"/>
  <c r="O75" i="2"/>
  <c r="O43" i="2"/>
  <c r="O106" i="2"/>
  <c r="AC59" i="2"/>
  <c r="Z35" i="2"/>
  <c r="O108" i="2"/>
  <c r="O46" i="2"/>
  <c r="E59" i="2"/>
  <c r="O57" i="2"/>
  <c r="AB59" i="2"/>
  <c r="H59" i="2"/>
  <c r="O82" i="2"/>
  <c r="O29" i="2"/>
  <c r="M59" i="2"/>
  <c r="O78" i="2"/>
  <c r="O79" i="2"/>
  <c r="P39" i="2"/>
  <c r="P114" i="2"/>
  <c r="P106" i="2"/>
  <c r="P53" i="2"/>
  <c r="AC60" i="2"/>
  <c r="J60" i="2"/>
  <c r="P79" i="2"/>
  <c r="P113" i="2"/>
  <c r="I60" i="2"/>
  <c r="P40" i="2"/>
  <c r="P38" i="2"/>
  <c r="G60" i="2"/>
  <c r="P117" i="2"/>
  <c r="E60" i="2"/>
  <c r="P100" i="2"/>
  <c r="P101" i="2"/>
  <c r="D60" i="2"/>
  <c r="P119" i="2"/>
  <c r="P123" i="2"/>
  <c r="H60" i="2"/>
  <c r="P109" i="2"/>
  <c r="P107" i="2"/>
  <c r="P118" i="2"/>
  <c r="P50" i="2"/>
  <c r="P105" i="2"/>
  <c r="P108" i="2"/>
  <c r="AP6" i="2"/>
  <c r="AO6" i="2" s="1"/>
  <c r="Y35" i="2"/>
  <c r="P77" i="2"/>
  <c r="P51" i="2"/>
  <c r="P47" i="2"/>
  <c r="P43" i="2"/>
  <c r="P110" i="2"/>
  <c r="P122" i="2"/>
  <c r="F60" i="2"/>
  <c r="P102" i="2"/>
  <c r="P103" i="2"/>
  <c r="P27" i="2"/>
  <c r="P124" i="2"/>
  <c r="P76" i="2"/>
  <c r="P81" i="2"/>
  <c r="P26" i="2"/>
  <c r="P56" i="2"/>
  <c r="AB60" i="2"/>
  <c r="P41" i="2"/>
  <c r="L60" i="2"/>
  <c r="P49" i="2"/>
  <c r="P120" i="2"/>
  <c r="P45" i="2"/>
  <c r="P78" i="2"/>
  <c r="P29" i="2"/>
  <c r="P42" i="2"/>
  <c r="P80" i="2"/>
  <c r="K60" i="2"/>
  <c r="P54" i="2"/>
  <c r="P111" i="2"/>
  <c r="P121" i="2"/>
  <c r="P44" i="2"/>
  <c r="P104" i="2"/>
  <c r="P75" i="2"/>
  <c r="P46" i="2"/>
  <c r="P116" i="2"/>
  <c r="P28" i="2"/>
  <c r="P82" i="2"/>
  <c r="P55" i="2"/>
  <c r="M60" i="2"/>
  <c r="P30" i="2"/>
  <c r="P57" i="2"/>
  <c r="AP6" i="9"/>
  <c r="AO6" i="9" s="1"/>
  <c r="P52" i="2"/>
  <c r="P74" i="2"/>
  <c r="P115" i="2"/>
  <c r="S124" i="9"/>
  <c r="S107" i="9"/>
  <c r="S50" i="9"/>
  <c r="S49" i="9"/>
  <c r="S117" i="9"/>
  <c r="S81" i="9"/>
  <c r="S39" i="9"/>
  <c r="AB63" i="9"/>
  <c r="S42" i="9"/>
  <c r="S122" i="9"/>
  <c r="S60" i="9"/>
  <c r="S106" i="9"/>
  <c r="S82" i="9"/>
  <c r="S103" i="9"/>
  <c r="S108" i="9"/>
  <c r="S74" i="9"/>
  <c r="S119" i="9"/>
  <c r="S30" i="9"/>
  <c r="S53" i="9"/>
  <c r="S80" i="9"/>
  <c r="D63" i="9"/>
  <c r="S47" i="9"/>
  <c r="S116" i="9"/>
  <c r="S77" i="9"/>
  <c r="S38" i="9"/>
  <c r="S45" i="9"/>
  <c r="S101" i="9"/>
  <c r="AF63" i="9"/>
  <c r="AC63" i="9"/>
  <c r="S113" i="9"/>
  <c r="S55" i="9"/>
  <c r="S114" i="9"/>
  <c r="V35" i="9"/>
  <c r="S27" i="9"/>
  <c r="S102" i="9"/>
  <c r="S41" i="9"/>
  <c r="S115" i="9"/>
  <c r="S111" i="9"/>
  <c r="E63" i="9"/>
  <c r="S40" i="9"/>
  <c r="S118" i="9"/>
  <c r="S76" i="9"/>
  <c r="S46" i="9"/>
  <c r="I32" i="9"/>
  <c r="S51" i="9"/>
  <c r="S26" i="9"/>
  <c r="S29" i="9"/>
  <c r="AD63" i="9"/>
  <c r="L63" i="9"/>
  <c r="J63" i="9"/>
  <c r="S79" i="9"/>
  <c r="K63" i="9"/>
  <c r="S109" i="9"/>
  <c r="S120" i="9"/>
  <c r="S78" i="9"/>
  <c r="M63" i="9"/>
  <c r="S105" i="9"/>
  <c r="S123" i="9"/>
  <c r="S75" i="9"/>
  <c r="G63" i="9"/>
  <c r="S100" i="9"/>
  <c r="S43" i="9"/>
  <c r="S56" i="9"/>
  <c r="S110" i="9"/>
  <c r="S44" i="9"/>
  <c r="S52" i="9"/>
  <c r="AE63" i="9"/>
  <c r="S104" i="9"/>
  <c r="S57" i="9"/>
  <c r="F63" i="9"/>
  <c r="H63" i="9"/>
  <c r="S28" i="9"/>
  <c r="S54" i="9"/>
  <c r="S121" i="9"/>
  <c r="I63" i="9"/>
  <c r="S84" i="9"/>
  <c r="S86" i="9"/>
  <c r="S85" i="9"/>
  <c r="F47" i="19"/>
  <c r="R47" i="19" s="1"/>
  <c r="R80" i="19"/>
  <c r="R61" i="9"/>
  <c r="J47" i="9"/>
  <c r="R78" i="9"/>
  <c r="I10" i="13"/>
  <c r="F119" i="2"/>
  <c r="O119" i="2" s="1"/>
  <c r="F123" i="2"/>
  <c r="F120" i="2"/>
  <c r="F121" i="2"/>
  <c r="O121" i="2" s="1"/>
  <c r="F114" i="2"/>
  <c r="F116" i="2"/>
  <c r="F122" i="2"/>
  <c r="F117" i="2"/>
  <c r="O117" i="2" s="1"/>
  <c r="F118" i="2"/>
  <c r="F124" i="2"/>
  <c r="F113" i="2"/>
  <c r="F115" i="2"/>
  <c r="O115" i="2" s="1"/>
  <c r="AE9" i="19"/>
  <c r="AC6" i="19"/>
  <c r="F47" i="2"/>
  <c r="P59" i="9"/>
  <c r="Q59" i="9"/>
  <c r="I61" i="9"/>
  <c r="S61" i="9" s="1"/>
  <c r="J17" i="4"/>
  <c r="AE4" i="9"/>
  <c r="AE7" i="9"/>
  <c r="AE10" i="2"/>
  <c r="H47" i="2"/>
  <c r="E118" i="9"/>
  <c r="AG35" i="9" s="1"/>
  <c r="E114" i="9"/>
  <c r="AC35" i="9" s="1"/>
  <c r="E123" i="9"/>
  <c r="AL35" i="9" s="1"/>
  <c r="E117" i="9"/>
  <c r="AF35" i="9" s="1"/>
  <c r="E115" i="9"/>
  <c r="AD35" i="9" s="1"/>
  <c r="E122" i="9"/>
  <c r="AK35" i="9" s="1"/>
  <c r="E113" i="9"/>
  <c r="AB35" i="9" s="1"/>
  <c r="E120" i="9"/>
  <c r="AI35" i="9" s="1"/>
  <c r="E116" i="9"/>
  <c r="AE35" i="9" s="1"/>
  <c r="E124" i="9"/>
  <c r="AM35" i="9" s="1"/>
  <c r="E119" i="9"/>
  <c r="AH35" i="9" s="1"/>
  <c r="E121" i="9"/>
  <c r="AJ35" i="9" s="1"/>
  <c r="H87" i="9"/>
  <c r="L87" i="9"/>
  <c r="D87" i="9"/>
  <c r="M87" i="9"/>
  <c r="G87" i="9"/>
  <c r="I87" i="9"/>
  <c r="K87" i="9"/>
  <c r="J87" i="9"/>
  <c r="E87" i="9"/>
  <c r="F87" i="9"/>
  <c r="D88" i="19"/>
  <c r="F88" i="19"/>
  <c r="R88" i="19" s="1"/>
  <c r="E88" i="19"/>
  <c r="S88" i="19" s="1"/>
  <c r="I88" i="19"/>
  <c r="O88" i="19" s="1"/>
  <c r="H88" i="19"/>
  <c r="P88" i="19" s="1"/>
  <c r="M88" i="19"/>
  <c r="G88" i="19"/>
  <c r="Q88" i="19" s="1"/>
  <c r="L88" i="19"/>
  <c r="J88" i="19"/>
  <c r="K88" i="19"/>
  <c r="AG56" i="19"/>
  <c r="AG49" i="19"/>
  <c r="AG63" i="19" s="1"/>
  <c r="AG50" i="19"/>
  <c r="AG62" i="19" s="1"/>
  <c r="AG55" i="19"/>
  <c r="AG52" i="19"/>
  <c r="AG60" i="19" s="1"/>
  <c r="AG57" i="19"/>
  <c r="AG53" i="19"/>
  <c r="AG59" i="19" s="1"/>
  <c r="AG51" i="19"/>
  <c r="AG61" i="19" s="1"/>
  <c r="AG29" i="19"/>
  <c r="AG54" i="19"/>
  <c r="T34" i="19"/>
  <c r="AH26" i="19"/>
  <c r="H86" i="19"/>
  <c r="P86" i="19" s="1"/>
  <c r="L86" i="19"/>
  <c r="G86" i="19"/>
  <c r="Q86" i="19" s="1"/>
  <c r="J86" i="19"/>
  <c r="E86" i="19"/>
  <c r="S86" i="19" s="1"/>
  <c r="K86" i="19"/>
  <c r="F86" i="19"/>
  <c r="R86" i="19" s="1"/>
  <c r="M86" i="19"/>
  <c r="I86" i="19"/>
  <c r="O86" i="19" s="1"/>
  <c r="D86" i="19"/>
  <c r="I62" i="9"/>
  <c r="I59" i="9"/>
  <c r="S59" i="9" s="1"/>
  <c r="K87" i="19"/>
  <c r="F87" i="19"/>
  <c r="R87" i="19" s="1"/>
  <c r="E87" i="19"/>
  <c r="S87" i="19" s="1"/>
  <c r="L87" i="19"/>
  <c r="G87" i="19"/>
  <c r="Q87" i="19" s="1"/>
  <c r="M87" i="19"/>
  <c r="J87" i="19"/>
  <c r="I87" i="19"/>
  <c r="O87" i="19" s="1"/>
  <c r="H87" i="19"/>
  <c r="P87" i="19" s="1"/>
  <c r="D87" i="19"/>
  <c r="O78" i="9"/>
  <c r="AG51" i="9"/>
  <c r="AG54" i="9"/>
  <c r="AG53" i="9"/>
  <c r="AG29" i="9"/>
  <c r="AH26" i="9"/>
  <c r="AG55" i="9"/>
  <c r="AG56" i="9"/>
  <c r="AG52" i="9"/>
  <c r="AG57" i="9"/>
  <c r="AG49" i="9"/>
  <c r="AG50" i="9"/>
  <c r="T34" i="9"/>
  <c r="C100" i="13"/>
  <c r="E10" i="13"/>
  <c r="J9" i="13"/>
  <c r="C10" i="13"/>
  <c r="D9" i="13"/>
  <c r="D10" i="13" s="1"/>
  <c r="Q78" i="9"/>
  <c r="P78" i="9"/>
  <c r="AD49" i="2"/>
  <c r="AD55" i="2"/>
  <c r="AD29" i="2"/>
  <c r="AD52" i="2"/>
  <c r="AD53" i="2"/>
  <c r="AE26" i="2"/>
  <c r="AD50" i="2"/>
  <c r="AD54" i="2"/>
  <c r="AD56" i="2"/>
  <c r="Q34" i="2"/>
  <c r="AD51" i="2"/>
  <c r="AD57" i="2"/>
  <c r="N150" i="7"/>
  <c r="N142" i="7"/>
  <c r="N146" i="7"/>
  <c r="N141" i="7"/>
  <c r="N151" i="7"/>
  <c r="N144" i="7"/>
  <c r="N147" i="7"/>
  <c r="N152" i="7"/>
  <c r="N143" i="7"/>
  <c r="N149" i="7"/>
  <c r="N148" i="7"/>
  <c r="N145" i="7"/>
  <c r="L150" i="7"/>
  <c r="L149" i="7"/>
  <c r="L147" i="7"/>
  <c r="H137" i="7"/>
  <c r="H129" i="7"/>
  <c r="H108" i="7"/>
  <c r="H109" i="7"/>
  <c r="M104" i="7"/>
  <c r="N79" i="7"/>
  <c r="H110" i="7"/>
  <c r="H72" i="7"/>
  <c r="J104" i="7"/>
  <c r="H130" i="7"/>
  <c r="N104" i="7"/>
  <c r="O79" i="7"/>
  <c r="AB79" i="7"/>
  <c r="F79" i="7"/>
  <c r="J79" i="7"/>
  <c r="I104" i="7"/>
  <c r="L79" i="7"/>
  <c r="H131" i="7"/>
  <c r="H71" i="7"/>
  <c r="H70" i="7"/>
  <c r="H102" i="7"/>
  <c r="E79" i="7"/>
  <c r="H80" i="7"/>
  <c r="H83" i="7"/>
  <c r="H106" i="7"/>
  <c r="L104" i="7"/>
  <c r="H134" i="7"/>
  <c r="H138" i="7"/>
  <c r="E104" i="7"/>
  <c r="H84" i="7"/>
  <c r="H136" i="7"/>
  <c r="H85" i="7"/>
  <c r="H107" i="7"/>
  <c r="H135" i="7"/>
  <c r="H82" i="7"/>
  <c r="H128" i="7"/>
  <c r="H132" i="7"/>
  <c r="H77" i="7"/>
  <c r="M79" i="7"/>
  <c r="H139" i="7"/>
  <c r="I79" i="7"/>
  <c r="H81" i="7"/>
  <c r="H133" i="7"/>
  <c r="K79" i="7"/>
  <c r="K104" i="7"/>
  <c r="P105" i="7"/>
  <c r="G87" i="7"/>
  <c r="P133" i="7"/>
  <c r="P132" i="7"/>
  <c r="P78" i="7"/>
  <c r="P81" i="7"/>
  <c r="P135" i="7"/>
  <c r="P136" i="7"/>
  <c r="P85" i="7"/>
  <c r="Q142" i="7"/>
  <c r="Q68" i="7"/>
  <c r="Q129" i="7"/>
  <c r="Q135" i="7"/>
  <c r="Q105" i="7"/>
  <c r="Q109" i="7"/>
  <c r="Q77" i="7"/>
  <c r="Q108" i="7"/>
  <c r="G149" i="7"/>
  <c r="G143" i="7"/>
  <c r="AF60" i="7"/>
  <c r="AE78" i="7"/>
  <c r="AE84" i="7"/>
  <c r="P73" i="7"/>
  <c r="Q128" i="7"/>
  <c r="K87" i="7"/>
  <c r="P79" i="7"/>
  <c r="P130" i="7"/>
  <c r="P128" i="7"/>
  <c r="P80" i="7"/>
  <c r="P74" i="7"/>
  <c r="AC87" i="7"/>
  <c r="Q134" i="7"/>
  <c r="E88" i="7"/>
  <c r="Q146" i="7"/>
  <c r="Q79" i="7"/>
  <c r="Q60" i="7"/>
  <c r="Q148" i="7"/>
  <c r="L88" i="7"/>
  <c r="Q74" i="7"/>
  <c r="G142" i="7"/>
  <c r="AE77" i="7"/>
  <c r="P68" i="7"/>
  <c r="M87" i="7"/>
  <c r="P70" i="7"/>
  <c r="AD87" i="7"/>
  <c r="Q81" i="7"/>
  <c r="Q147" i="7"/>
  <c r="Q78" i="7"/>
  <c r="Q75" i="7"/>
  <c r="G88" i="7"/>
  <c r="Q84" i="7"/>
  <c r="Q73" i="7"/>
  <c r="Q82" i="7"/>
  <c r="Q144" i="7"/>
  <c r="N88" i="7"/>
  <c r="Q102" i="7"/>
  <c r="G144" i="7"/>
  <c r="AE82" i="7"/>
  <c r="P77" i="7"/>
  <c r="M88" i="7"/>
  <c r="P83" i="7"/>
  <c r="P67" i="7"/>
  <c r="L87" i="7"/>
  <c r="P84" i="7"/>
  <c r="E87" i="7"/>
  <c r="N87" i="7"/>
  <c r="AD88" i="7"/>
  <c r="Q66" i="7"/>
  <c r="Q133" i="7"/>
  <c r="Q71" i="7"/>
  <c r="Q130" i="7"/>
  <c r="Q106" i="7"/>
  <c r="Q139" i="7"/>
  <c r="Q143" i="7"/>
  <c r="G150" i="7"/>
  <c r="G75" i="7"/>
  <c r="P66" i="7"/>
  <c r="P109" i="7"/>
  <c r="Q104" i="7"/>
  <c r="G148" i="7"/>
  <c r="AE81" i="7"/>
  <c r="P108" i="7"/>
  <c r="P138" i="7"/>
  <c r="P72" i="7"/>
  <c r="J87" i="7"/>
  <c r="P103" i="7"/>
  <c r="F87" i="7"/>
  <c r="O87" i="7"/>
  <c r="AB87" i="7"/>
  <c r="I87" i="7"/>
  <c r="P106" i="7"/>
  <c r="K88" i="7"/>
  <c r="H88" i="7"/>
  <c r="Q151" i="7"/>
  <c r="Q138" i="7"/>
  <c r="Q131" i="7"/>
  <c r="Q149" i="7"/>
  <c r="G145" i="7"/>
  <c r="I75" i="7"/>
  <c r="AE83" i="7"/>
  <c r="AE79" i="7"/>
  <c r="P104" i="7"/>
  <c r="P134" i="7"/>
  <c r="J88" i="7"/>
  <c r="Q83" i="7"/>
  <c r="G141" i="7"/>
  <c r="P69" i="7"/>
  <c r="H87" i="7"/>
  <c r="P60" i="7"/>
  <c r="P102" i="7"/>
  <c r="P137" i="7"/>
  <c r="P71" i="7"/>
  <c r="P110" i="7"/>
  <c r="P107" i="7"/>
  <c r="Q107" i="7"/>
  <c r="Q145" i="7"/>
  <c r="I88" i="7"/>
  <c r="Q136" i="7"/>
  <c r="Q150" i="7"/>
  <c r="AC88" i="7"/>
  <c r="Q70" i="7"/>
  <c r="Q72" i="7"/>
  <c r="Q85" i="7"/>
  <c r="G147" i="7"/>
  <c r="G146" i="7"/>
  <c r="Q137" i="7"/>
  <c r="Q80" i="7"/>
  <c r="P129" i="7"/>
  <c r="P139" i="7"/>
  <c r="P82" i="7"/>
  <c r="P131" i="7"/>
  <c r="Q67" i="7"/>
  <c r="Q141" i="7"/>
  <c r="AB88" i="7"/>
  <c r="O88" i="7"/>
  <c r="F88" i="7"/>
  <c r="Q152" i="7"/>
  <c r="Q69" i="7"/>
  <c r="Q132" i="7"/>
  <c r="Q110" i="7"/>
  <c r="G151" i="7"/>
  <c r="G152" i="7"/>
  <c r="AE80" i="7"/>
  <c r="AE85" i="7"/>
  <c r="P142" i="7"/>
  <c r="Q103" i="7"/>
  <c r="P145" i="7"/>
  <c r="P147" i="7"/>
  <c r="P143" i="7"/>
  <c r="P149" i="7"/>
  <c r="Q84" i="9" l="1"/>
  <c r="P59" i="2"/>
  <c r="R85" i="9"/>
  <c r="G117" i="2"/>
  <c r="G115" i="2"/>
  <c r="G122" i="2"/>
  <c r="G113" i="2"/>
  <c r="G116" i="2"/>
  <c r="G118" i="2"/>
  <c r="G121" i="2"/>
  <c r="G119" i="2"/>
  <c r="G120" i="2"/>
  <c r="G123" i="2"/>
  <c r="G124" i="2"/>
  <c r="G114" i="2"/>
  <c r="G47" i="2"/>
  <c r="S87" i="9"/>
  <c r="S62" i="9"/>
  <c r="O62" i="9"/>
  <c r="O59" i="9"/>
  <c r="AG63" i="9"/>
  <c r="S63" i="9"/>
  <c r="O61" i="9"/>
  <c r="AF61" i="9"/>
  <c r="AF62" i="9"/>
  <c r="P60" i="2"/>
  <c r="O59" i="2"/>
  <c r="AD60" i="2"/>
  <c r="AD59" i="2"/>
  <c r="H14" i="5"/>
  <c r="H15" i="5" s="1"/>
  <c r="H5" i="5"/>
  <c r="H3" i="5"/>
  <c r="H4" i="5"/>
  <c r="J10" i="13"/>
  <c r="AM35" i="2"/>
  <c r="AL35" i="2"/>
  <c r="D88" i="9"/>
  <c r="K88" i="9"/>
  <c r="L88" i="9"/>
  <c r="M88" i="9"/>
  <c r="E88" i="9"/>
  <c r="H88" i="9"/>
  <c r="G88" i="9"/>
  <c r="J88" i="9"/>
  <c r="F88" i="9"/>
  <c r="I88" i="9"/>
  <c r="O123" i="2"/>
  <c r="E20" i="13"/>
  <c r="J20" i="13" s="1"/>
  <c r="F10" i="13"/>
  <c r="AG35" i="2"/>
  <c r="AH35" i="2"/>
  <c r="Q63" i="9"/>
  <c r="P63" i="9"/>
  <c r="O118" i="2"/>
  <c r="L84" i="2"/>
  <c r="H84" i="2"/>
  <c r="I84" i="2"/>
  <c r="G84" i="2"/>
  <c r="M84" i="2"/>
  <c r="F84" i="2"/>
  <c r="E84" i="2"/>
  <c r="D84" i="2"/>
  <c r="K84" i="2"/>
  <c r="J84" i="2"/>
  <c r="T82" i="19"/>
  <c r="T56" i="19"/>
  <c r="T110" i="19"/>
  <c r="F64" i="19"/>
  <c r="R64" i="19" s="1"/>
  <c r="E64" i="19"/>
  <c r="S64" i="19" s="1"/>
  <c r="T123" i="19"/>
  <c r="T75" i="19"/>
  <c r="U35" i="19"/>
  <c r="T102" i="19"/>
  <c r="T52" i="19"/>
  <c r="T55" i="19"/>
  <c r="T60" i="19"/>
  <c r="T120" i="19"/>
  <c r="T111" i="19"/>
  <c r="AE64" i="19"/>
  <c r="T80" i="19"/>
  <c r="AC64" i="19"/>
  <c r="T105" i="19"/>
  <c r="T104" i="19"/>
  <c r="T39" i="19"/>
  <c r="T101" i="19"/>
  <c r="T107" i="19"/>
  <c r="T49" i="19"/>
  <c r="T81" i="19"/>
  <c r="I64" i="19"/>
  <c r="O64" i="19" s="1"/>
  <c r="T78" i="19"/>
  <c r="T76" i="19"/>
  <c r="T122" i="19"/>
  <c r="T30" i="19"/>
  <c r="T108" i="19"/>
  <c r="T103" i="19"/>
  <c r="T26" i="19"/>
  <c r="AF64" i="19"/>
  <c r="AD64" i="19"/>
  <c r="AB64" i="19"/>
  <c r="T100" i="19"/>
  <c r="T53" i="19"/>
  <c r="T27" i="19"/>
  <c r="T74" i="19"/>
  <c r="J64" i="19"/>
  <c r="T43" i="19"/>
  <c r="D64" i="19"/>
  <c r="H64" i="19"/>
  <c r="P64" i="19" s="1"/>
  <c r="T109" i="19"/>
  <c r="T47" i="19"/>
  <c r="T54" i="19"/>
  <c r="T113" i="19"/>
  <c r="T29" i="19"/>
  <c r="T41" i="19"/>
  <c r="K64" i="19"/>
  <c r="AG64" i="19"/>
  <c r="T28" i="19"/>
  <c r="T115" i="19"/>
  <c r="T40" i="19"/>
  <c r="T106" i="19"/>
  <c r="T38" i="19"/>
  <c r="T116" i="19"/>
  <c r="T114" i="19"/>
  <c r="T57" i="19"/>
  <c r="T124" i="19"/>
  <c r="G64" i="19"/>
  <c r="Q64" i="19" s="1"/>
  <c r="T45" i="19"/>
  <c r="T51" i="19"/>
  <c r="T44" i="19"/>
  <c r="T50" i="19"/>
  <c r="T119" i="19"/>
  <c r="T77" i="19"/>
  <c r="T46" i="19"/>
  <c r="T117" i="19"/>
  <c r="L64" i="19"/>
  <c r="T121" i="19"/>
  <c r="T118" i="19"/>
  <c r="M64" i="19"/>
  <c r="T42" i="19"/>
  <c r="T62" i="19"/>
  <c r="T88" i="19"/>
  <c r="T59" i="19"/>
  <c r="T84" i="19"/>
  <c r="T79" i="19"/>
  <c r="T85" i="19"/>
  <c r="T61" i="19"/>
  <c r="T87" i="19"/>
  <c r="T63" i="19"/>
  <c r="T86" i="19"/>
  <c r="AB35" i="2"/>
  <c r="AG60" i="9"/>
  <c r="AG61" i="9"/>
  <c r="Q114" i="2"/>
  <c r="Q38" i="2"/>
  <c r="Q42" i="2"/>
  <c r="X35" i="2"/>
  <c r="Q44" i="2"/>
  <c r="Q75" i="2"/>
  <c r="Q74" i="2"/>
  <c r="Q108" i="2"/>
  <c r="D61" i="2"/>
  <c r="Q53" i="2"/>
  <c r="Q56" i="2"/>
  <c r="Q117" i="2"/>
  <c r="Q54" i="2"/>
  <c r="Q107" i="2"/>
  <c r="Q52" i="2"/>
  <c r="Q26" i="2"/>
  <c r="Q105" i="2"/>
  <c r="Q30" i="2"/>
  <c r="E61" i="2"/>
  <c r="Q119" i="2"/>
  <c r="Q103" i="2"/>
  <c r="Q120" i="2"/>
  <c r="Q77" i="2"/>
  <c r="Q50" i="2"/>
  <c r="AP7" i="2"/>
  <c r="AO7" i="2" s="1"/>
  <c r="Q28" i="2"/>
  <c r="Q27" i="2"/>
  <c r="Q122" i="2"/>
  <c r="Q81" i="2"/>
  <c r="Q106" i="2"/>
  <c r="H61" i="2"/>
  <c r="Q46" i="2"/>
  <c r="Q121" i="2"/>
  <c r="AP7" i="9"/>
  <c r="AO7" i="9" s="1"/>
  <c r="I61" i="2"/>
  <c r="AB61" i="2"/>
  <c r="Q79" i="2"/>
  <c r="Q100" i="2"/>
  <c r="Q40" i="2"/>
  <c r="Q29" i="2"/>
  <c r="Q45" i="2"/>
  <c r="Q124" i="2"/>
  <c r="Q109" i="2"/>
  <c r="Q118" i="2"/>
  <c r="K61" i="2"/>
  <c r="Q104" i="2"/>
  <c r="Q43" i="2"/>
  <c r="AD61" i="2"/>
  <c r="Q115" i="2"/>
  <c r="Q55" i="2"/>
  <c r="Q123" i="2"/>
  <c r="L61" i="2"/>
  <c r="AC61" i="2"/>
  <c r="Q116" i="2"/>
  <c r="Q49" i="2"/>
  <c r="Q111" i="2"/>
  <c r="Q76" i="2"/>
  <c r="Q113" i="2"/>
  <c r="Q51" i="2"/>
  <c r="Q78" i="2"/>
  <c r="F61" i="2"/>
  <c r="Q41" i="2"/>
  <c r="Q57" i="2"/>
  <c r="M61" i="2"/>
  <c r="Q102" i="2"/>
  <c r="G61" i="2"/>
  <c r="Q39" i="2"/>
  <c r="Q80" i="2"/>
  <c r="J61" i="2"/>
  <c r="Q47" i="2"/>
  <c r="Q82" i="2"/>
  <c r="Q101" i="2"/>
  <c r="Q110" i="2"/>
  <c r="Q59" i="2"/>
  <c r="Q60" i="2"/>
  <c r="C101" i="13"/>
  <c r="J100" i="13"/>
  <c r="E101" i="13"/>
  <c r="D100" i="13"/>
  <c r="D101" i="13" s="1"/>
  <c r="AH55" i="9"/>
  <c r="AH53" i="9"/>
  <c r="AH51" i="9"/>
  <c r="AH50" i="9"/>
  <c r="U34" i="9"/>
  <c r="H32" i="9" s="1"/>
  <c r="AH56" i="9"/>
  <c r="AH57" i="9"/>
  <c r="AH52" i="9"/>
  <c r="AH29" i="9"/>
  <c r="AI26" i="9"/>
  <c r="AH54" i="9"/>
  <c r="AH49" i="9"/>
  <c r="AF35" i="2"/>
  <c r="K9" i="13"/>
  <c r="AI35" i="2"/>
  <c r="AN35" i="9"/>
  <c r="AK35" i="2"/>
  <c r="K10" i="13"/>
  <c r="I20" i="13" s="1"/>
  <c r="I11" i="13"/>
  <c r="R63" i="9"/>
  <c r="O63" i="9"/>
  <c r="C20" i="13"/>
  <c r="E11" i="13"/>
  <c r="C11" i="13"/>
  <c r="AF11" i="2"/>
  <c r="AC10" i="2"/>
  <c r="AE35" i="2"/>
  <c r="O116" i="2"/>
  <c r="N17" i="4"/>
  <c r="O17" i="4" s="1"/>
  <c r="AG59" i="9"/>
  <c r="AG62" i="9"/>
  <c r="AC6" i="9"/>
  <c r="AE9" i="9"/>
  <c r="AE10" i="19"/>
  <c r="AC8" i="19"/>
  <c r="AC35" i="2"/>
  <c r="R47" i="9"/>
  <c r="O47" i="9"/>
  <c r="G85" i="2"/>
  <c r="M85" i="2"/>
  <c r="E85" i="2"/>
  <c r="K85" i="2"/>
  <c r="I85" i="2"/>
  <c r="H85" i="2"/>
  <c r="D85" i="2"/>
  <c r="L85" i="2"/>
  <c r="J85" i="2"/>
  <c r="F85" i="2"/>
  <c r="O113" i="2"/>
  <c r="O47" i="2"/>
  <c r="O124" i="2"/>
  <c r="O120" i="2"/>
  <c r="P87" i="9"/>
  <c r="Q87" i="9"/>
  <c r="T61" i="9"/>
  <c r="H64" i="9"/>
  <c r="T27" i="9"/>
  <c r="T44" i="9"/>
  <c r="T39" i="9"/>
  <c r="T52" i="9"/>
  <c r="T74" i="9"/>
  <c r="AC64" i="9"/>
  <c r="T107" i="9"/>
  <c r="T54" i="9"/>
  <c r="T118" i="9"/>
  <c r="F64" i="9"/>
  <c r="T55" i="9"/>
  <c r="AE64" i="9"/>
  <c r="T102" i="9"/>
  <c r="T51" i="9"/>
  <c r="T47" i="9"/>
  <c r="T43" i="9"/>
  <c r="G64" i="9"/>
  <c r="T26" i="9"/>
  <c r="T108" i="9"/>
  <c r="T110" i="9"/>
  <c r="T104" i="9"/>
  <c r="I64" i="9"/>
  <c r="T117" i="9"/>
  <c r="T45" i="9"/>
  <c r="T77" i="9"/>
  <c r="J64" i="9"/>
  <c r="T115" i="9"/>
  <c r="T121" i="9"/>
  <c r="T56" i="9"/>
  <c r="T124" i="9"/>
  <c r="T106" i="9"/>
  <c r="L64" i="9"/>
  <c r="T40" i="9"/>
  <c r="T41" i="9"/>
  <c r="T29" i="9"/>
  <c r="T62" i="9"/>
  <c r="AH64" i="9"/>
  <c r="D64" i="9"/>
  <c r="T80" i="9"/>
  <c r="T109" i="9"/>
  <c r="T82" i="9"/>
  <c r="T30" i="9"/>
  <c r="T100" i="9"/>
  <c r="E64" i="9"/>
  <c r="T123" i="9"/>
  <c r="AF64" i="9"/>
  <c r="U35" i="9"/>
  <c r="T49" i="9"/>
  <c r="T76" i="9"/>
  <c r="T38" i="9"/>
  <c r="T119" i="9"/>
  <c r="T46" i="9"/>
  <c r="K64" i="9"/>
  <c r="T113" i="9"/>
  <c r="T81" i="9"/>
  <c r="T28" i="9"/>
  <c r="T101" i="9"/>
  <c r="AG64" i="9"/>
  <c r="T103" i="9"/>
  <c r="T57" i="9"/>
  <c r="T75" i="9"/>
  <c r="T79" i="9"/>
  <c r="T120" i="9"/>
  <c r="T114" i="9"/>
  <c r="T63" i="9"/>
  <c r="AB64" i="9"/>
  <c r="T116" i="9"/>
  <c r="T122" i="9"/>
  <c r="T50" i="9"/>
  <c r="T78" i="9"/>
  <c r="T59" i="9"/>
  <c r="T53" i="9"/>
  <c r="T42" i="9"/>
  <c r="M64" i="9"/>
  <c r="T105" i="9"/>
  <c r="T111" i="9"/>
  <c r="AD64" i="9"/>
  <c r="T87" i="9"/>
  <c r="T86" i="9"/>
  <c r="T85" i="9"/>
  <c r="T84" i="9"/>
  <c r="T60" i="9"/>
  <c r="AE56" i="2"/>
  <c r="AE29" i="2"/>
  <c r="AE49" i="2"/>
  <c r="R34" i="2"/>
  <c r="AE55" i="2"/>
  <c r="AE50" i="2"/>
  <c r="AF26" i="2"/>
  <c r="AE53" i="2"/>
  <c r="AE52" i="2"/>
  <c r="AE51" i="2"/>
  <c r="AE54" i="2"/>
  <c r="AE57" i="2"/>
  <c r="D11" i="13"/>
  <c r="D12" i="13" s="1"/>
  <c r="D13" i="13" s="1"/>
  <c r="D14" i="13" s="1"/>
  <c r="D15" i="13" s="1"/>
  <c r="D16" i="13" s="1"/>
  <c r="D17" i="13" s="1"/>
  <c r="D18" i="13" s="1"/>
  <c r="D19" i="13" s="1"/>
  <c r="D20" i="13"/>
  <c r="AH55" i="19"/>
  <c r="AH50" i="19"/>
  <c r="AH62" i="19" s="1"/>
  <c r="AH53" i="19"/>
  <c r="AH59" i="19" s="1"/>
  <c r="AH49" i="19"/>
  <c r="AH63" i="19" s="1"/>
  <c r="U34" i="19"/>
  <c r="AH29" i="19"/>
  <c r="AH56" i="19"/>
  <c r="AH57" i="19"/>
  <c r="AH52" i="19"/>
  <c r="AH60" i="19" s="1"/>
  <c r="AH51" i="19"/>
  <c r="AH61" i="19" s="1"/>
  <c r="AI26" i="19"/>
  <c r="AH54" i="19"/>
  <c r="R87" i="9"/>
  <c r="O87" i="9"/>
  <c r="AD35" i="2"/>
  <c r="AJ35" i="2"/>
  <c r="O60" i="2"/>
  <c r="O122" i="2"/>
  <c r="Q87" i="7"/>
  <c r="H145" i="7"/>
  <c r="H148" i="7"/>
  <c r="H143" i="7"/>
  <c r="H151" i="7"/>
  <c r="H150" i="7"/>
  <c r="H152" i="7"/>
  <c r="H141" i="7"/>
  <c r="H142" i="7"/>
  <c r="H144" i="7"/>
  <c r="H75" i="7"/>
  <c r="H146" i="7"/>
  <c r="H149" i="7"/>
  <c r="H147" i="7"/>
  <c r="Q88" i="7"/>
  <c r="P87" i="7"/>
  <c r="AE88" i="7"/>
  <c r="AE87" i="7"/>
  <c r="I112" i="7"/>
  <c r="K112" i="7"/>
  <c r="R66" i="7"/>
  <c r="R133" i="7"/>
  <c r="R78" i="7"/>
  <c r="R134" i="7"/>
  <c r="R128" i="7"/>
  <c r="L89" i="7"/>
  <c r="R130" i="7"/>
  <c r="R108" i="7"/>
  <c r="AG61" i="7"/>
  <c r="E113" i="7"/>
  <c r="AG60" i="7"/>
  <c r="P88" i="7"/>
  <c r="AF79" i="7"/>
  <c r="M112" i="7"/>
  <c r="R105" i="7"/>
  <c r="J112" i="7"/>
  <c r="R70" i="7"/>
  <c r="R81" i="7"/>
  <c r="I89" i="7"/>
  <c r="R68" i="7"/>
  <c r="R132" i="7"/>
  <c r="M89" i="7"/>
  <c r="R79" i="7"/>
  <c r="K89" i="7"/>
  <c r="AF61" i="7"/>
  <c r="M113" i="7"/>
  <c r="AF81" i="7"/>
  <c r="P150" i="7"/>
  <c r="AF85" i="7"/>
  <c r="R146" i="7"/>
  <c r="P148" i="7"/>
  <c r="AK61" i="7"/>
  <c r="AN61" i="7"/>
  <c r="AH61" i="7"/>
  <c r="H112" i="7"/>
  <c r="R84" i="7"/>
  <c r="R74" i="7"/>
  <c r="R71" i="7"/>
  <c r="AD89" i="7"/>
  <c r="R106" i="7"/>
  <c r="H89" i="7"/>
  <c r="H113" i="7"/>
  <c r="K113" i="7"/>
  <c r="AF84" i="7"/>
  <c r="AF80" i="7"/>
  <c r="R107" i="7"/>
  <c r="N89" i="7"/>
  <c r="AM61" i="7"/>
  <c r="AI61" i="7"/>
  <c r="N112" i="7"/>
  <c r="AC61" i="7"/>
  <c r="R72" i="7"/>
  <c r="R145" i="7"/>
  <c r="AB89" i="7"/>
  <c r="F89" i="7"/>
  <c r="O89" i="7"/>
  <c r="R149" i="7"/>
  <c r="R73" i="7"/>
  <c r="AE89" i="7"/>
  <c r="R144" i="7"/>
  <c r="G89" i="7"/>
  <c r="R75" i="7"/>
  <c r="R87" i="7"/>
  <c r="AJ61" i="7"/>
  <c r="N113" i="7"/>
  <c r="G113" i="7"/>
  <c r="AE61" i="7"/>
  <c r="R60" i="7"/>
  <c r="G112" i="7"/>
  <c r="R103" i="7"/>
  <c r="R82" i="7"/>
  <c r="R147" i="7"/>
  <c r="R152" i="7"/>
  <c r="R143" i="7"/>
  <c r="R77" i="7"/>
  <c r="R67" i="7"/>
  <c r="R110" i="7"/>
  <c r="P144" i="7"/>
  <c r="F113" i="7"/>
  <c r="P141" i="7"/>
  <c r="AF77" i="7"/>
  <c r="AF82" i="7"/>
  <c r="R142" i="7"/>
  <c r="I113" i="7"/>
  <c r="F112" i="7"/>
  <c r="R102" i="7"/>
  <c r="R135" i="7"/>
  <c r="R131" i="7"/>
  <c r="J89" i="7"/>
  <c r="R83" i="7"/>
  <c r="R139" i="7"/>
  <c r="R69" i="7"/>
  <c r="R129" i="7"/>
  <c r="AL61" i="7"/>
  <c r="AD61" i="7"/>
  <c r="L113" i="7"/>
  <c r="P75" i="7"/>
  <c r="L112" i="7"/>
  <c r="R109" i="7"/>
  <c r="R138" i="7"/>
  <c r="AF78" i="7"/>
  <c r="P146" i="7"/>
  <c r="E112" i="7"/>
  <c r="R136" i="7"/>
  <c r="R80" i="7"/>
  <c r="R148" i="7"/>
  <c r="R150" i="7"/>
  <c r="AC89" i="7"/>
  <c r="R137" i="7"/>
  <c r="R151" i="7"/>
  <c r="R104" i="7"/>
  <c r="R85" i="7"/>
  <c r="R88" i="7"/>
  <c r="J113" i="7"/>
  <c r="P152" i="7"/>
  <c r="AF83" i="7"/>
  <c r="P151" i="7"/>
  <c r="E89" i="7"/>
  <c r="R141" i="7"/>
  <c r="S64" i="9" l="1"/>
  <c r="T64" i="9"/>
  <c r="S88" i="9"/>
  <c r="T88" i="9"/>
  <c r="AH63" i="9"/>
  <c r="Q85" i="2"/>
  <c r="Q84" i="2"/>
  <c r="AE61" i="2"/>
  <c r="Q61" i="2"/>
  <c r="T64" i="19"/>
  <c r="D30" i="13"/>
  <c r="D21" i="13"/>
  <c r="D22" i="13" s="1"/>
  <c r="D23" i="13" s="1"/>
  <c r="D24" i="13" s="1"/>
  <c r="D25" i="13" s="1"/>
  <c r="D26" i="13" s="1"/>
  <c r="D27" i="13" s="1"/>
  <c r="D28" i="13" s="1"/>
  <c r="D29" i="13" s="1"/>
  <c r="AH11" i="2"/>
  <c r="AE12" i="2"/>
  <c r="R64" i="9"/>
  <c r="O64" i="9"/>
  <c r="E12" i="13"/>
  <c r="F12" i="13" s="1"/>
  <c r="C12" i="13"/>
  <c r="K20" i="13"/>
  <c r="I30" i="13" s="1"/>
  <c r="AH59" i="9"/>
  <c r="AH62" i="9"/>
  <c r="P88" i="9"/>
  <c r="Q88" i="9"/>
  <c r="AE59" i="2"/>
  <c r="R27" i="2"/>
  <c r="R40" i="2"/>
  <c r="R30" i="2"/>
  <c r="R115" i="2"/>
  <c r="R111" i="2"/>
  <c r="R75" i="2"/>
  <c r="R78" i="2"/>
  <c r="AC62" i="2"/>
  <c r="R109" i="2"/>
  <c r="R28" i="2"/>
  <c r="R29" i="2"/>
  <c r="R41" i="2"/>
  <c r="R77" i="2"/>
  <c r="R100" i="2"/>
  <c r="R118" i="2"/>
  <c r="R108" i="2"/>
  <c r="R46" i="2"/>
  <c r="I62" i="2"/>
  <c r="K62" i="2"/>
  <c r="R105" i="2"/>
  <c r="R116" i="2"/>
  <c r="AD62" i="2"/>
  <c r="E62" i="2"/>
  <c r="R106" i="2"/>
  <c r="R102" i="2"/>
  <c r="R121" i="2"/>
  <c r="R104" i="2"/>
  <c r="R107" i="2"/>
  <c r="R103" i="2"/>
  <c r="AE62" i="2"/>
  <c r="L62" i="2"/>
  <c r="R39" i="2"/>
  <c r="AP8" i="9"/>
  <c r="AO8" i="9" s="1"/>
  <c r="R110" i="2"/>
  <c r="R80" i="2"/>
  <c r="R54" i="2"/>
  <c r="R61" i="2"/>
  <c r="R124" i="2"/>
  <c r="R44" i="2"/>
  <c r="R114" i="2"/>
  <c r="R79" i="2"/>
  <c r="F62" i="2"/>
  <c r="W35" i="2"/>
  <c r="R53" i="2"/>
  <c r="R122" i="2"/>
  <c r="R117" i="2"/>
  <c r="R101" i="2"/>
  <c r="AB62" i="2"/>
  <c r="R38" i="2"/>
  <c r="R49" i="2"/>
  <c r="J62" i="2"/>
  <c r="R113" i="2"/>
  <c r="R42" i="2"/>
  <c r="H62" i="2"/>
  <c r="AP8" i="2"/>
  <c r="AO8" i="2" s="1"/>
  <c r="R52" i="2"/>
  <c r="R55" i="2"/>
  <c r="R56" i="2"/>
  <c r="R76" i="2"/>
  <c r="R51" i="2"/>
  <c r="R120" i="2"/>
  <c r="G62" i="2"/>
  <c r="R50" i="2"/>
  <c r="R45" i="2"/>
  <c r="R81" i="2"/>
  <c r="R84" i="2"/>
  <c r="R57" i="2"/>
  <c r="R26" i="2"/>
  <c r="R82" i="2"/>
  <c r="R123" i="2"/>
  <c r="D62" i="2"/>
  <c r="R119" i="2"/>
  <c r="R43" i="2"/>
  <c r="R74" i="2"/>
  <c r="R47" i="2"/>
  <c r="M62" i="2"/>
  <c r="R59" i="2"/>
  <c r="R60" i="2"/>
  <c r="R85" i="2"/>
  <c r="K89" i="9"/>
  <c r="F89" i="9"/>
  <c r="M89" i="9"/>
  <c r="H89" i="9"/>
  <c r="U89" i="9" s="1"/>
  <c r="J89" i="9"/>
  <c r="L89" i="9"/>
  <c r="I89" i="9"/>
  <c r="D89" i="9"/>
  <c r="G89" i="9"/>
  <c r="E89" i="9"/>
  <c r="F11" i="13"/>
  <c r="G11" i="13"/>
  <c r="AJ26" i="9"/>
  <c r="AI54" i="9"/>
  <c r="AI57" i="9"/>
  <c r="AI49" i="9"/>
  <c r="AI56" i="9"/>
  <c r="AI52" i="9"/>
  <c r="AI64" i="9" s="1"/>
  <c r="AI50" i="9"/>
  <c r="AI53" i="9"/>
  <c r="AI63" i="9" s="1"/>
  <c r="AI55" i="9"/>
  <c r="AI29" i="9"/>
  <c r="V34" i="9"/>
  <c r="G32" i="9" s="1"/>
  <c r="AI51" i="9"/>
  <c r="P84" i="2"/>
  <c r="U59" i="19"/>
  <c r="U81" i="19"/>
  <c r="U41" i="19"/>
  <c r="U104" i="19"/>
  <c r="U51" i="19"/>
  <c r="U54" i="19"/>
  <c r="F65" i="19"/>
  <c r="R65" i="19" s="1"/>
  <c r="U118" i="19"/>
  <c r="U50" i="19"/>
  <c r="U78" i="19"/>
  <c r="U29" i="19"/>
  <c r="U82" i="19"/>
  <c r="U28" i="19"/>
  <c r="U100" i="19"/>
  <c r="U39" i="19"/>
  <c r="U46" i="19"/>
  <c r="U106" i="19"/>
  <c r="U30" i="19"/>
  <c r="U56" i="19"/>
  <c r="U115" i="19"/>
  <c r="U124" i="19"/>
  <c r="U74" i="19"/>
  <c r="M65" i="19"/>
  <c r="U117" i="19"/>
  <c r="U27" i="19"/>
  <c r="U40" i="19"/>
  <c r="U49" i="19"/>
  <c r="U121" i="19"/>
  <c r="U102" i="19"/>
  <c r="AE65" i="19"/>
  <c r="E65" i="19"/>
  <c r="S65" i="19" s="1"/>
  <c r="U116" i="19"/>
  <c r="AB65" i="19"/>
  <c r="U47" i="19"/>
  <c r="U79" i="19"/>
  <c r="AG65" i="19"/>
  <c r="U120" i="19"/>
  <c r="U26" i="19"/>
  <c r="U75" i="19"/>
  <c r="U76" i="19"/>
  <c r="U45" i="19"/>
  <c r="U105" i="19"/>
  <c r="U122" i="19"/>
  <c r="AH65" i="19"/>
  <c r="U123" i="19"/>
  <c r="U44" i="19"/>
  <c r="AC65" i="19"/>
  <c r="J65" i="19"/>
  <c r="U110" i="19"/>
  <c r="U119" i="19"/>
  <c r="U53" i="19"/>
  <c r="U108" i="19"/>
  <c r="U57" i="19"/>
  <c r="AF65" i="19"/>
  <c r="U38" i="19"/>
  <c r="U103" i="19"/>
  <c r="U113" i="19"/>
  <c r="L65" i="19"/>
  <c r="I65" i="19"/>
  <c r="O65" i="19" s="1"/>
  <c r="U109" i="19"/>
  <c r="K65" i="19"/>
  <c r="U55" i="19"/>
  <c r="U101" i="19"/>
  <c r="G65" i="19"/>
  <c r="U43" i="19"/>
  <c r="D65" i="19"/>
  <c r="U77" i="19"/>
  <c r="U64" i="19"/>
  <c r="U80" i="19"/>
  <c r="AD65" i="19"/>
  <c r="T35" i="19"/>
  <c r="H65" i="19"/>
  <c r="P65" i="19" s="1"/>
  <c r="U42" i="19"/>
  <c r="U114" i="19"/>
  <c r="U107" i="19"/>
  <c r="U111" i="19"/>
  <c r="U52" i="19"/>
  <c r="U61" i="19"/>
  <c r="U85" i="19"/>
  <c r="U84" i="19"/>
  <c r="U63" i="19"/>
  <c r="U86" i="19"/>
  <c r="U87" i="19"/>
  <c r="U60" i="19"/>
  <c r="U62" i="19"/>
  <c r="U88" i="19"/>
  <c r="AE60" i="2"/>
  <c r="P85" i="2"/>
  <c r="C30" i="13"/>
  <c r="C21" i="13"/>
  <c r="C22" i="13" s="1"/>
  <c r="C23" i="13" s="1"/>
  <c r="C24" i="13" s="1"/>
  <c r="C25" i="13" s="1"/>
  <c r="C26" i="13" s="1"/>
  <c r="C27" i="13" s="1"/>
  <c r="C28" i="13" s="1"/>
  <c r="C29" i="13" s="1"/>
  <c r="AH60" i="9"/>
  <c r="AH61" i="9"/>
  <c r="O84" i="2"/>
  <c r="R88" i="9"/>
  <c r="O88" i="9"/>
  <c r="M86" i="2"/>
  <c r="I86" i="2"/>
  <c r="D86" i="2"/>
  <c r="H86" i="2"/>
  <c r="G86" i="2"/>
  <c r="J86" i="2"/>
  <c r="L86" i="2"/>
  <c r="E86" i="2"/>
  <c r="F86" i="2"/>
  <c r="K86" i="2"/>
  <c r="O85" i="2"/>
  <c r="AC10" i="19"/>
  <c r="AF11" i="19"/>
  <c r="H32" i="2"/>
  <c r="D102" i="13"/>
  <c r="D103" i="13" s="1"/>
  <c r="D104" i="13" s="1"/>
  <c r="D105" i="13" s="1"/>
  <c r="D106" i="13" s="1"/>
  <c r="D107" i="13" s="1"/>
  <c r="D108" i="13" s="1"/>
  <c r="D109" i="13" s="1"/>
  <c r="D110" i="13" s="1"/>
  <c r="D111" i="13"/>
  <c r="O61" i="2"/>
  <c r="P61" i="2"/>
  <c r="AN35" i="2"/>
  <c r="AI54" i="19"/>
  <c r="AI49" i="19"/>
  <c r="AI63" i="19" s="1"/>
  <c r="AJ26" i="19"/>
  <c r="V34" i="19"/>
  <c r="AI51" i="19"/>
  <c r="AI50" i="19"/>
  <c r="AI62" i="19" s="1"/>
  <c r="AI53" i="19"/>
  <c r="AI59" i="19" s="1"/>
  <c r="AI56" i="19"/>
  <c r="AI55" i="19"/>
  <c r="AI52" i="19"/>
  <c r="AI60" i="19" s="1"/>
  <c r="AI57" i="19"/>
  <c r="AI29" i="19"/>
  <c r="P64" i="9"/>
  <c r="Q64" i="9"/>
  <c r="AC8" i="9"/>
  <c r="AE10" i="9"/>
  <c r="I32" i="2"/>
  <c r="F101" i="13"/>
  <c r="E111" i="13"/>
  <c r="M100" i="13"/>
  <c r="I100" i="13"/>
  <c r="J111" i="13"/>
  <c r="J101" i="13"/>
  <c r="H89" i="19"/>
  <c r="P89" i="19" s="1"/>
  <c r="J89" i="19"/>
  <c r="M89" i="19"/>
  <c r="L89" i="19"/>
  <c r="K89" i="19"/>
  <c r="I89" i="19"/>
  <c r="O89" i="19" s="1"/>
  <c r="F89" i="19"/>
  <c r="R89" i="19" s="1"/>
  <c r="E89" i="19"/>
  <c r="S89" i="19" s="1"/>
  <c r="G89" i="19"/>
  <c r="D89" i="19"/>
  <c r="J11" i="13"/>
  <c r="K11" i="13" s="1"/>
  <c r="AG26" i="2"/>
  <c r="AF56" i="2"/>
  <c r="AF54" i="2"/>
  <c r="AF50" i="2"/>
  <c r="S34" i="2"/>
  <c r="AF53" i="2"/>
  <c r="AF29" i="2"/>
  <c r="AF55" i="2"/>
  <c r="AF49" i="2"/>
  <c r="AF51" i="2"/>
  <c r="AF52" i="2"/>
  <c r="AF57" i="2"/>
  <c r="U59" i="9"/>
  <c r="U63" i="9"/>
  <c r="U60" i="9"/>
  <c r="U77" i="9"/>
  <c r="U38" i="9"/>
  <c r="U116" i="9"/>
  <c r="U103" i="9"/>
  <c r="U107" i="9"/>
  <c r="U81" i="9"/>
  <c r="U76" i="9"/>
  <c r="U40" i="9"/>
  <c r="U78" i="9"/>
  <c r="U44" i="9"/>
  <c r="U39" i="9"/>
  <c r="U104" i="9"/>
  <c r="U119" i="9"/>
  <c r="G65" i="9"/>
  <c r="U80" i="9"/>
  <c r="U117" i="9"/>
  <c r="U49" i="9"/>
  <c r="AB65" i="9"/>
  <c r="U57" i="9"/>
  <c r="U114" i="9"/>
  <c r="K65" i="9"/>
  <c r="U110" i="9"/>
  <c r="U82" i="9"/>
  <c r="U27" i="9"/>
  <c r="AF65" i="9"/>
  <c r="U108" i="9"/>
  <c r="U111" i="9"/>
  <c r="AH65" i="9"/>
  <c r="U28" i="9"/>
  <c r="U50" i="9"/>
  <c r="AG65" i="9"/>
  <c r="U115" i="9"/>
  <c r="U100" i="9"/>
  <c r="U113" i="9"/>
  <c r="U55" i="9"/>
  <c r="U123" i="9"/>
  <c r="U120" i="9"/>
  <c r="U105" i="9"/>
  <c r="I65" i="9"/>
  <c r="F65" i="9"/>
  <c r="U42" i="9"/>
  <c r="U30" i="9"/>
  <c r="U53" i="9"/>
  <c r="U54" i="9"/>
  <c r="U52" i="9"/>
  <c r="U122" i="9"/>
  <c r="U124" i="9"/>
  <c r="U56" i="9"/>
  <c r="AE65" i="9"/>
  <c r="U106" i="9"/>
  <c r="U121" i="9"/>
  <c r="U47" i="9"/>
  <c r="J65" i="9"/>
  <c r="U43" i="9"/>
  <c r="H65" i="9"/>
  <c r="U26" i="9"/>
  <c r="AI65" i="9"/>
  <c r="U118" i="9"/>
  <c r="U74" i="9"/>
  <c r="U51" i="9"/>
  <c r="D65" i="9"/>
  <c r="U46" i="9"/>
  <c r="E65" i="9"/>
  <c r="AC65" i="9"/>
  <c r="U102" i="9"/>
  <c r="U79" i="9"/>
  <c r="M65" i="9"/>
  <c r="L65" i="9"/>
  <c r="U41" i="9"/>
  <c r="U101" i="9"/>
  <c r="U75" i="9"/>
  <c r="AD65" i="9"/>
  <c r="T35" i="9"/>
  <c r="U61" i="9"/>
  <c r="U109" i="9"/>
  <c r="U29" i="9"/>
  <c r="U45" i="9"/>
  <c r="U84" i="9"/>
  <c r="U64" i="9"/>
  <c r="U86" i="9"/>
  <c r="U88" i="9"/>
  <c r="U85" i="9"/>
  <c r="U62" i="9"/>
  <c r="U87" i="9"/>
  <c r="E102" i="13"/>
  <c r="C111" i="13"/>
  <c r="C102" i="13"/>
  <c r="AH64" i="19"/>
  <c r="F20" i="13"/>
  <c r="E21" i="13"/>
  <c r="E30" i="13"/>
  <c r="R113" i="7"/>
  <c r="R112" i="7"/>
  <c r="AF89" i="7"/>
  <c r="R89" i="7"/>
  <c r="AF87" i="7"/>
  <c r="AD90" i="7"/>
  <c r="S136" i="7"/>
  <c r="S134" i="7"/>
  <c r="AF90" i="7"/>
  <c r="S152" i="7"/>
  <c r="S70" i="7"/>
  <c r="S79" i="7"/>
  <c r="S109" i="7"/>
  <c r="S87" i="7"/>
  <c r="I114" i="7"/>
  <c r="AG78" i="7"/>
  <c r="AG85" i="7"/>
  <c r="S137" i="7"/>
  <c r="S74" i="7"/>
  <c r="S130" i="7"/>
  <c r="M90" i="7"/>
  <c r="S72" i="7"/>
  <c r="S145" i="7"/>
  <c r="S148" i="7"/>
  <c r="S110" i="7"/>
  <c r="S102" i="7"/>
  <c r="S113" i="7"/>
  <c r="H114" i="7"/>
  <c r="S68" i="7"/>
  <c r="J90" i="7"/>
  <c r="S149" i="7"/>
  <c r="S67" i="7"/>
  <c r="S142" i="7"/>
  <c r="S129" i="7"/>
  <c r="I90" i="7"/>
  <c r="S151" i="7"/>
  <c r="P112" i="7"/>
  <c r="K114" i="7"/>
  <c r="AG81" i="7"/>
  <c r="L90" i="7"/>
  <c r="S132" i="7"/>
  <c r="S107" i="7"/>
  <c r="AC90" i="7"/>
  <c r="E90" i="7"/>
  <c r="S75" i="7"/>
  <c r="Q112" i="7"/>
  <c r="M114" i="7"/>
  <c r="S143" i="7"/>
  <c r="S69" i="7"/>
  <c r="S133" i="7"/>
  <c r="S138" i="7"/>
  <c r="G90" i="7"/>
  <c r="S66" i="7"/>
  <c r="S80" i="7"/>
  <c r="N90" i="7"/>
  <c r="AF88" i="7"/>
  <c r="F114" i="7"/>
  <c r="AG83" i="7"/>
  <c r="S139" i="7"/>
  <c r="S105" i="7"/>
  <c r="S144" i="7"/>
  <c r="S108" i="7"/>
  <c r="S77" i="7"/>
  <c r="S83" i="7"/>
  <c r="H90" i="7"/>
  <c r="S112" i="7"/>
  <c r="S88" i="7"/>
  <c r="Q113" i="7"/>
  <c r="N114" i="7"/>
  <c r="G114" i="7"/>
  <c r="P89" i="7"/>
  <c r="AH60" i="7"/>
  <c r="AG77" i="7"/>
  <c r="S103" i="7"/>
  <c r="S128" i="7"/>
  <c r="AE90" i="7"/>
  <c r="S135" i="7"/>
  <c r="S82" i="7"/>
  <c r="S81" i="7"/>
  <c r="K90" i="7"/>
  <c r="S84" i="7"/>
  <c r="S78" i="7"/>
  <c r="S85" i="7"/>
  <c r="S147" i="7"/>
  <c r="J114" i="7"/>
  <c r="L114" i="7"/>
  <c r="Q89" i="7"/>
  <c r="AG84" i="7"/>
  <c r="AG79" i="7"/>
  <c r="S106" i="7"/>
  <c r="S146" i="7"/>
  <c r="O90" i="7"/>
  <c r="F90" i="7"/>
  <c r="AB90" i="7"/>
  <c r="S131" i="7"/>
  <c r="S89" i="7"/>
  <c r="S150" i="7"/>
  <c r="S141" i="7"/>
  <c r="S104" i="7"/>
  <c r="S73" i="7"/>
  <c r="S60" i="7"/>
  <c r="S71" i="7"/>
  <c r="E114" i="7"/>
  <c r="P113" i="7"/>
  <c r="AG82" i="7"/>
  <c r="AG80" i="7"/>
  <c r="T65" i="9" l="1"/>
  <c r="S89" i="9"/>
  <c r="U65" i="9"/>
  <c r="T89" i="9"/>
  <c r="S65" i="9"/>
  <c r="R86" i="2"/>
  <c r="R62" i="2"/>
  <c r="U89" i="19"/>
  <c r="M43" i="7"/>
  <c r="M9" i="7"/>
  <c r="N9" i="7" s="1"/>
  <c r="M48" i="7"/>
  <c r="B11" i="13"/>
  <c r="I12" i="13"/>
  <c r="I102" i="13"/>
  <c r="K100" i="13"/>
  <c r="I191" i="13" s="1"/>
  <c r="I101" i="13"/>
  <c r="K101" i="13" s="1"/>
  <c r="I111" i="13" s="1"/>
  <c r="K111" i="13" s="1"/>
  <c r="I121" i="13" s="1"/>
  <c r="AF11" i="9"/>
  <c r="AC10" i="9"/>
  <c r="U65" i="19"/>
  <c r="AI60" i="9"/>
  <c r="AI61" i="9"/>
  <c r="AJ55" i="9"/>
  <c r="AJ49" i="9"/>
  <c r="AJ56" i="9"/>
  <c r="AJ57" i="9"/>
  <c r="AJ50" i="9"/>
  <c r="AJ53" i="9"/>
  <c r="AJ63" i="9" s="1"/>
  <c r="AJ52" i="9"/>
  <c r="W34" i="9"/>
  <c r="AJ54" i="9"/>
  <c r="AJ51" i="9"/>
  <c r="AJ65" i="9" s="1"/>
  <c r="AK26" i="9"/>
  <c r="AJ29" i="9"/>
  <c r="R89" i="9"/>
  <c r="O89" i="9"/>
  <c r="J87" i="2"/>
  <c r="K87" i="2"/>
  <c r="F87" i="2"/>
  <c r="H87" i="2"/>
  <c r="E87" i="2"/>
  <c r="G87" i="2"/>
  <c r="D87" i="2"/>
  <c r="M87" i="2"/>
  <c r="I87" i="2"/>
  <c r="L87" i="2"/>
  <c r="P62" i="2"/>
  <c r="G21" i="13"/>
  <c r="F21" i="13"/>
  <c r="E22" i="13"/>
  <c r="F90" i="9"/>
  <c r="L90" i="9"/>
  <c r="I90" i="9"/>
  <c r="E90" i="9"/>
  <c r="G90" i="9"/>
  <c r="K90" i="9"/>
  <c r="M90" i="9"/>
  <c r="D90" i="9"/>
  <c r="H90" i="9"/>
  <c r="J90" i="9"/>
  <c r="AF61" i="2"/>
  <c r="C31" i="13"/>
  <c r="C32" i="13" s="1"/>
  <c r="C33" i="13" s="1"/>
  <c r="C34" i="13" s="1"/>
  <c r="C35" i="13" s="1"/>
  <c r="C36" i="13" s="1"/>
  <c r="C37" i="13" s="1"/>
  <c r="C38" i="13" s="1"/>
  <c r="C39" i="13" s="1"/>
  <c r="C40" i="13"/>
  <c r="H11" i="13"/>
  <c r="G12" i="13"/>
  <c r="AF60" i="2"/>
  <c r="AG49" i="2"/>
  <c r="AG53" i="2"/>
  <c r="AH26" i="2"/>
  <c r="AG50" i="2"/>
  <c r="AG52" i="2"/>
  <c r="AG51" i="2"/>
  <c r="AG29" i="2"/>
  <c r="AG54" i="2"/>
  <c r="T34" i="2"/>
  <c r="AG56" i="2"/>
  <c r="AG57" i="2"/>
  <c r="AG55" i="2"/>
  <c r="O86" i="2"/>
  <c r="Q62" i="2"/>
  <c r="AI11" i="2"/>
  <c r="AG12" i="2"/>
  <c r="F111" i="13"/>
  <c r="E121" i="13"/>
  <c r="E112" i="13"/>
  <c r="AI61" i="19"/>
  <c r="AI64" i="19"/>
  <c r="D121" i="13"/>
  <c r="D112" i="13"/>
  <c r="D113" i="13" s="1"/>
  <c r="D114" i="13" s="1"/>
  <c r="D115" i="13" s="1"/>
  <c r="D116" i="13" s="1"/>
  <c r="D117" i="13" s="1"/>
  <c r="D118" i="13" s="1"/>
  <c r="D119" i="13" s="1"/>
  <c r="D120" i="13" s="1"/>
  <c r="P86" i="2"/>
  <c r="O62" i="2"/>
  <c r="V113" i="19"/>
  <c r="L66" i="19"/>
  <c r="V57" i="19"/>
  <c r="V105" i="19"/>
  <c r="V26" i="19"/>
  <c r="V43" i="19"/>
  <c r="V103" i="19"/>
  <c r="V82" i="19"/>
  <c r="V55" i="19"/>
  <c r="V107" i="19"/>
  <c r="V118" i="19"/>
  <c r="V54" i="19"/>
  <c r="V51" i="19"/>
  <c r="V101" i="19"/>
  <c r="V52" i="19"/>
  <c r="AC66" i="19"/>
  <c r="V74" i="19"/>
  <c r="H66" i="19"/>
  <c r="V108" i="19"/>
  <c r="V28" i="19"/>
  <c r="V110" i="19"/>
  <c r="V46" i="19"/>
  <c r="V39" i="19"/>
  <c r="V78" i="19"/>
  <c r="V45" i="19"/>
  <c r="E66" i="19"/>
  <c r="S66" i="19" s="1"/>
  <c r="AB66" i="19"/>
  <c r="V50" i="19"/>
  <c r="V77" i="19"/>
  <c r="V106" i="19"/>
  <c r="V40" i="19"/>
  <c r="V27" i="19"/>
  <c r="V79" i="19"/>
  <c r="V38" i="19"/>
  <c r="V117" i="19"/>
  <c r="D66" i="19"/>
  <c r="AI66" i="19"/>
  <c r="V29" i="19"/>
  <c r="V47" i="19"/>
  <c r="V80" i="19"/>
  <c r="K66" i="19"/>
  <c r="V124" i="19"/>
  <c r="J66" i="19"/>
  <c r="V56" i="19"/>
  <c r="V104" i="19"/>
  <c r="M66" i="19"/>
  <c r="V122" i="19"/>
  <c r="V75" i="19"/>
  <c r="V63" i="19"/>
  <c r="V121" i="19"/>
  <c r="AH66" i="19"/>
  <c r="G66" i="19"/>
  <c r="V109" i="19"/>
  <c r="F66" i="19"/>
  <c r="R66" i="19" s="1"/>
  <c r="S35" i="19"/>
  <c r="AD66" i="19"/>
  <c r="V111" i="19"/>
  <c r="V120" i="19"/>
  <c r="V30" i="19"/>
  <c r="V116" i="19"/>
  <c r="V115" i="19"/>
  <c r="AF66" i="19"/>
  <c r="V42" i="19"/>
  <c r="V41" i="19"/>
  <c r="V81" i="19"/>
  <c r="V49" i="19"/>
  <c r="V100" i="19"/>
  <c r="V119" i="19"/>
  <c r="V44" i="19"/>
  <c r="V53" i="19"/>
  <c r="V123" i="19"/>
  <c r="V102" i="19"/>
  <c r="I66" i="19"/>
  <c r="O66" i="19" s="1"/>
  <c r="AG66" i="19"/>
  <c r="AE66" i="19"/>
  <c r="V76" i="19"/>
  <c r="V114" i="19"/>
  <c r="V87" i="19"/>
  <c r="V65" i="19"/>
  <c r="V60" i="19"/>
  <c r="V84" i="19"/>
  <c r="V62" i="19"/>
  <c r="V64" i="19"/>
  <c r="V61" i="19"/>
  <c r="V85" i="19"/>
  <c r="V89" i="19"/>
  <c r="V59" i="19"/>
  <c r="V88" i="19"/>
  <c r="V86" i="19"/>
  <c r="Q89" i="9"/>
  <c r="P89" i="9"/>
  <c r="D31" i="13"/>
  <c r="D32" i="13" s="1"/>
  <c r="D33" i="13" s="1"/>
  <c r="D34" i="13" s="1"/>
  <c r="D35" i="13" s="1"/>
  <c r="D36" i="13" s="1"/>
  <c r="D37" i="13" s="1"/>
  <c r="D38" i="13" s="1"/>
  <c r="D39" i="13" s="1"/>
  <c r="D40" i="13"/>
  <c r="C121" i="13"/>
  <c r="C112" i="13"/>
  <c r="C113" i="13" s="1"/>
  <c r="C114" i="13" s="1"/>
  <c r="C115" i="13" s="1"/>
  <c r="C116" i="13" s="1"/>
  <c r="C117" i="13" s="1"/>
  <c r="C118" i="13" s="1"/>
  <c r="C119" i="13" s="1"/>
  <c r="C120" i="13" s="1"/>
  <c r="P65" i="9"/>
  <c r="Q65" i="9"/>
  <c r="Q89" i="19"/>
  <c r="T89" i="19"/>
  <c r="AJ50" i="19"/>
  <c r="AJ62" i="19" s="1"/>
  <c r="AJ53" i="19"/>
  <c r="AJ59" i="19" s="1"/>
  <c r="AJ51" i="19"/>
  <c r="AJ49" i="19"/>
  <c r="AJ63" i="19" s="1"/>
  <c r="AK26" i="19"/>
  <c r="AJ55" i="19"/>
  <c r="AJ56" i="19"/>
  <c r="W34" i="19"/>
  <c r="J32" i="19" s="1"/>
  <c r="AJ29" i="19"/>
  <c r="AJ52" i="19"/>
  <c r="AJ54" i="19"/>
  <c r="AJ57" i="19"/>
  <c r="Q65" i="19"/>
  <c r="T65" i="19"/>
  <c r="AI65" i="19"/>
  <c r="L90" i="19"/>
  <c r="M90" i="19"/>
  <c r="H90" i="19"/>
  <c r="F90" i="19"/>
  <c r="R90" i="19" s="1"/>
  <c r="E90" i="19"/>
  <c r="S90" i="19" s="1"/>
  <c r="D90" i="19"/>
  <c r="I90" i="19"/>
  <c r="O90" i="19" s="1"/>
  <c r="K90" i="19"/>
  <c r="J90" i="19"/>
  <c r="G90" i="19"/>
  <c r="AF62" i="2"/>
  <c r="C13" i="13"/>
  <c r="E13" i="13"/>
  <c r="F13" i="13" s="1"/>
  <c r="F30" i="13"/>
  <c r="E31" i="13"/>
  <c r="E40" i="13"/>
  <c r="J30" i="13"/>
  <c r="E103" i="13"/>
  <c r="F103" i="13" s="1"/>
  <c r="C103" i="13"/>
  <c r="O65" i="9"/>
  <c r="R65" i="9"/>
  <c r="G102" i="13"/>
  <c r="F102" i="13"/>
  <c r="S101" i="2"/>
  <c r="S55" i="2"/>
  <c r="D63" i="2"/>
  <c r="S123" i="2"/>
  <c r="S122" i="2"/>
  <c r="S111" i="2"/>
  <c r="S80" i="2"/>
  <c r="S103" i="2"/>
  <c r="S119" i="2"/>
  <c r="S52" i="2"/>
  <c r="S30" i="2"/>
  <c r="S42" i="2"/>
  <c r="AG63" i="2"/>
  <c r="S116" i="2"/>
  <c r="AC63" i="2"/>
  <c r="AP9" i="9"/>
  <c r="AO9" i="9" s="1"/>
  <c r="AF63" i="2"/>
  <c r="H63" i="2"/>
  <c r="S78" i="2"/>
  <c r="S81" i="2"/>
  <c r="S56" i="2"/>
  <c r="S28" i="2"/>
  <c r="S102" i="2"/>
  <c r="S76" i="2"/>
  <c r="S40" i="2"/>
  <c r="I63" i="2"/>
  <c r="AE63" i="2"/>
  <c r="S104" i="2"/>
  <c r="AD63" i="2"/>
  <c r="S77" i="2"/>
  <c r="S26" i="2"/>
  <c r="S117" i="2"/>
  <c r="S74" i="2"/>
  <c r="K63" i="2"/>
  <c r="S106" i="2"/>
  <c r="S114" i="2"/>
  <c r="S61" i="2"/>
  <c r="E63" i="2"/>
  <c r="S29" i="2"/>
  <c r="S105" i="2"/>
  <c r="AB63" i="2"/>
  <c r="AP9" i="2"/>
  <c r="AO9" i="2" s="1"/>
  <c r="V35" i="2"/>
  <c r="S120" i="2"/>
  <c r="G63" i="2"/>
  <c r="S41" i="2"/>
  <c r="L63" i="2"/>
  <c r="S44" i="2"/>
  <c r="S38" i="2"/>
  <c r="S100" i="2"/>
  <c r="S108" i="2"/>
  <c r="S39" i="2"/>
  <c r="S110" i="2"/>
  <c r="S79" i="2"/>
  <c r="S53" i="2"/>
  <c r="S115" i="2"/>
  <c r="S46" i="2"/>
  <c r="S45" i="2"/>
  <c r="S107" i="2"/>
  <c r="S118" i="2"/>
  <c r="S27" i="2"/>
  <c r="F63" i="2"/>
  <c r="S121" i="2"/>
  <c r="S60" i="2"/>
  <c r="S113" i="2"/>
  <c r="J63" i="2"/>
  <c r="S54" i="2"/>
  <c r="S124" i="2"/>
  <c r="S43" i="2"/>
  <c r="S75" i="2"/>
  <c r="S57" i="2"/>
  <c r="S47" i="2"/>
  <c r="M63" i="2"/>
  <c r="S59" i="2"/>
  <c r="S84" i="2"/>
  <c r="S51" i="2"/>
  <c r="S49" i="2"/>
  <c r="S82" i="2"/>
  <c r="S50" i="2"/>
  <c r="S109" i="2"/>
  <c r="S62" i="2"/>
  <c r="S85" i="2"/>
  <c r="S86" i="2"/>
  <c r="S87" i="2"/>
  <c r="AE12" i="19"/>
  <c r="AH11" i="19"/>
  <c r="Q86" i="2"/>
  <c r="V59" i="9"/>
  <c r="V60" i="9"/>
  <c r="V64" i="9"/>
  <c r="V61" i="9"/>
  <c r="V116" i="9"/>
  <c r="V79" i="9"/>
  <c r="V103" i="9"/>
  <c r="V80" i="9"/>
  <c r="V102" i="9"/>
  <c r="V38" i="9"/>
  <c r="V46" i="9"/>
  <c r="V100" i="9"/>
  <c r="V47" i="9"/>
  <c r="V117" i="9"/>
  <c r="V50" i="9"/>
  <c r="AJ66" i="9"/>
  <c r="V29" i="9"/>
  <c r="V42" i="9"/>
  <c r="D66" i="9"/>
  <c r="AD66" i="9"/>
  <c r="V51" i="9"/>
  <c r="V30" i="9"/>
  <c r="V101" i="9"/>
  <c r="V90" i="9"/>
  <c r="F66" i="9"/>
  <c r="V104" i="9"/>
  <c r="AI66" i="9"/>
  <c r="G66" i="9"/>
  <c r="AB66" i="9"/>
  <c r="V45" i="9"/>
  <c r="V124" i="9"/>
  <c r="V74" i="9"/>
  <c r="H66" i="9"/>
  <c r="J66" i="9"/>
  <c r="V78" i="9"/>
  <c r="V111" i="9"/>
  <c r="V39" i="9"/>
  <c r="V109" i="9"/>
  <c r="V41" i="9"/>
  <c r="S35" i="9"/>
  <c r="V118" i="9"/>
  <c r="V49" i="9"/>
  <c r="V113" i="9"/>
  <c r="V56" i="9"/>
  <c r="I66" i="9"/>
  <c r="V52" i="9"/>
  <c r="V121" i="9"/>
  <c r="V106" i="9"/>
  <c r="AG66" i="9"/>
  <c r="V40" i="9"/>
  <c r="V110" i="9"/>
  <c r="V44" i="9"/>
  <c r="V119" i="9"/>
  <c r="V65" i="9"/>
  <c r="V55" i="9"/>
  <c r="V54" i="9"/>
  <c r="V53" i="9"/>
  <c r="V123" i="9"/>
  <c r="V76" i="9"/>
  <c r="V114" i="9"/>
  <c r="V120" i="9"/>
  <c r="V26" i="9"/>
  <c r="V27" i="9"/>
  <c r="V82" i="9"/>
  <c r="V63" i="9"/>
  <c r="V77" i="9"/>
  <c r="K66" i="9"/>
  <c r="V28" i="9"/>
  <c r="AH66" i="9"/>
  <c r="AE66" i="9"/>
  <c r="V108" i="9"/>
  <c r="V43" i="9"/>
  <c r="AF66" i="9"/>
  <c r="V107" i="9"/>
  <c r="V62" i="9"/>
  <c r="V122" i="9"/>
  <c r="V57" i="9"/>
  <c r="AC66" i="9"/>
  <c r="V81" i="9"/>
  <c r="M66" i="9"/>
  <c r="E66" i="9"/>
  <c r="L66" i="9"/>
  <c r="V115" i="9"/>
  <c r="V105" i="9"/>
  <c r="V75" i="9"/>
  <c r="V87" i="9"/>
  <c r="V89" i="9"/>
  <c r="V84" i="9"/>
  <c r="V86" i="9"/>
  <c r="V85" i="9"/>
  <c r="V88" i="9"/>
  <c r="F32" i="9"/>
  <c r="AF59" i="2"/>
  <c r="AI59" i="9"/>
  <c r="AI62" i="9"/>
  <c r="S114" i="7"/>
  <c r="S90" i="7"/>
  <c r="F115" i="7"/>
  <c r="R90" i="7"/>
  <c r="T129" i="7"/>
  <c r="T131" i="7"/>
  <c r="T104" i="7"/>
  <c r="T145" i="7"/>
  <c r="T69" i="7"/>
  <c r="T107" i="7"/>
  <c r="K91" i="7"/>
  <c r="T85" i="7"/>
  <c r="T113" i="7"/>
  <c r="AG87" i="7"/>
  <c r="H115" i="7"/>
  <c r="AG88" i="7"/>
  <c r="AH82" i="7"/>
  <c r="T83" i="7"/>
  <c r="T147" i="7"/>
  <c r="AG91" i="7"/>
  <c r="T68" i="7"/>
  <c r="T102" i="7"/>
  <c r="T133" i="7"/>
  <c r="M91" i="7"/>
  <c r="T81" i="7"/>
  <c r="T82" i="7"/>
  <c r="T77" i="7"/>
  <c r="T114" i="7"/>
  <c r="E115" i="7"/>
  <c r="AH77" i="7"/>
  <c r="Q114" i="7"/>
  <c r="AG90" i="7"/>
  <c r="E91" i="7"/>
  <c r="T80" i="7"/>
  <c r="I91" i="7"/>
  <c r="J91" i="7"/>
  <c r="L91" i="7"/>
  <c r="AC91" i="7"/>
  <c r="T72" i="7"/>
  <c r="T143" i="7"/>
  <c r="T75" i="7"/>
  <c r="T110" i="7"/>
  <c r="N115" i="7"/>
  <c r="AH81" i="7"/>
  <c r="AH84" i="7"/>
  <c r="P90" i="7"/>
  <c r="T106" i="7"/>
  <c r="AF91" i="7"/>
  <c r="T66" i="7"/>
  <c r="T74" i="7"/>
  <c r="G91" i="7"/>
  <c r="T152" i="7"/>
  <c r="N91" i="7"/>
  <c r="T78" i="7"/>
  <c r="K115" i="7"/>
  <c r="J115" i="7"/>
  <c r="AG89" i="7"/>
  <c r="AI60" i="7"/>
  <c r="AH85" i="7"/>
  <c r="T151" i="7"/>
  <c r="T70" i="7"/>
  <c r="T109" i="7"/>
  <c r="T132" i="7"/>
  <c r="T134" i="7"/>
  <c r="T128" i="7"/>
  <c r="T73" i="7"/>
  <c r="T71" i="7"/>
  <c r="T87" i="7"/>
  <c r="T137" i="7"/>
  <c r="L115" i="7"/>
  <c r="M115" i="7"/>
  <c r="AH78" i="7"/>
  <c r="AH83" i="7"/>
  <c r="T150" i="7"/>
  <c r="AH91" i="7"/>
  <c r="T84" i="7"/>
  <c r="AE91" i="7"/>
  <c r="T142" i="7"/>
  <c r="T148" i="7"/>
  <c r="T136" i="7"/>
  <c r="T149" i="7"/>
  <c r="T112" i="7"/>
  <c r="T115" i="7"/>
  <c r="G115" i="7"/>
  <c r="Q90" i="7"/>
  <c r="AH80" i="7"/>
  <c r="T139" i="7"/>
  <c r="T144" i="7"/>
  <c r="T105" i="7"/>
  <c r="T89" i="7"/>
  <c r="H91" i="7"/>
  <c r="T67" i="7"/>
  <c r="T135" i="7"/>
  <c r="T88" i="7"/>
  <c r="R114" i="7"/>
  <c r="I115" i="7"/>
  <c r="AH79" i="7"/>
  <c r="P114" i="7"/>
  <c r="T108" i="7"/>
  <c r="AD91" i="7"/>
  <c r="T130" i="7"/>
  <c r="T60" i="7"/>
  <c r="O91" i="7"/>
  <c r="AB91" i="7"/>
  <c r="F91" i="7"/>
  <c r="T138" i="7"/>
  <c r="T146" i="7"/>
  <c r="T141" i="7"/>
  <c r="T103" i="7"/>
  <c r="T79" i="7"/>
  <c r="T90" i="7"/>
  <c r="T90" i="9" l="1"/>
  <c r="T66" i="9"/>
  <c r="U66" i="9"/>
  <c r="S66" i="9"/>
  <c r="U90" i="9"/>
  <c r="S90" i="9"/>
  <c r="AJ64" i="9"/>
  <c r="V66" i="9"/>
  <c r="S63" i="2"/>
  <c r="V66" i="19"/>
  <c r="M51" i="7"/>
  <c r="N51" i="7" s="1"/>
  <c r="L91" i="9"/>
  <c r="H91" i="9"/>
  <c r="F91" i="9"/>
  <c r="E91" i="9"/>
  <c r="J91" i="9"/>
  <c r="M91" i="9"/>
  <c r="K91" i="9"/>
  <c r="D91" i="9"/>
  <c r="G91" i="9"/>
  <c r="I91" i="9"/>
  <c r="P63" i="2"/>
  <c r="E88" i="2"/>
  <c r="G88" i="2"/>
  <c r="K88" i="2"/>
  <c r="M88" i="2"/>
  <c r="H88" i="2"/>
  <c r="F88" i="2"/>
  <c r="D88" i="2"/>
  <c r="L88" i="2"/>
  <c r="I88" i="2"/>
  <c r="J88" i="2"/>
  <c r="T88" i="2" s="1"/>
  <c r="G31" i="13"/>
  <c r="F31" i="13"/>
  <c r="E32" i="13"/>
  <c r="AG61" i="2"/>
  <c r="Q90" i="9"/>
  <c r="P90" i="9"/>
  <c r="G22" i="13"/>
  <c r="H21" i="13"/>
  <c r="J21" i="13"/>
  <c r="R87" i="2"/>
  <c r="I192" i="13"/>
  <c r="I193" i="13"/>
  <c r="Q63" i="2"/>
  <c r="H102" i="13"/>
  <c r="G103" i="13"/>
  <c r="P66" i="19"/>
  <c r="U66" i="19"/>
  <c r="J102" i="13"/>
  <c r="K102" i="13" s="1"/>
  <c r="AG62" i="2"/>
  <c r="C41" i="13"/>
  <c r="C42" i="13" s="1"/>
  <c r="C43" i="13" s="1"/>
  <c r="C44" i="13" s="1"/>
  <c r="C45" i="13" s="1"/>
  <c r="C46" i="13" s="1"/>
  <c r="C47" i="13" s="1"/>
  <c r="C48" i="13" s="1"/>
  <c r="C49" i="13" s="1"/>
  <c r="C50" i="13"/>
  <c r="O87" i="2"/>
  <c r="AJ59" i="9"/>
  <c r="AJ62" i="9"/>
  <c r="AJ60" i="9"/>
  <c r="AJ61" i="9"/>
  <c r="AG12" i="19"/>
  <c r="AI11" i="19"/>
  <c r="AK54" i="19"/>
  <c r="AK56" i="19"/>
  <c r="X34" i="19"/>
  <c r="AK49" i="19"/>
  <c r="AK63" i="19" s="1"/>
  <c r="AK29" i="19"/>
  <c r="AK53" i="19"/>
  <c r="AK55" i="19"/>
  <c r="AK57" i="19"/>
  <c r="AK52" i="19"/>
  <c r="AL26" i="19"/>
  <c r="AK51" i="19"/>
  <c r="AK50" i="19"/>
  <c r="AK62" i="19" s="1"/>
  <c r="G112" i="13"/>
  <c r="E113" i="13"/>
  <c r="F112" i="13"/>
  <c r="AG59" i="2"/>
  <c r="W59" i="9"/>
  <c r="W63" i="9"/>
  <c r="W64" i="9"/>
  <c r="W65" i="9"/>
  <c r="W102" i="9"/>
  <c r="W113" i="9"/>
  <c r="W105" i="9"/>
  <c r="W121" i="9"/>
  <c r="W120" i="9"/>
  <c r="W39" i="9"/>
  <c r="W122" i="9"/>
  <c r="W29" i="9"/>
  <c r="W116" i="9"/>
  <c r="W103" i="9"/>
  <c r="W55" i="9"/>
  <c r="F67" i="9"/>
  <c r="AE67" i="9"/>
  <c r="W124" i="9"/>
  <c r="R35" i="9"/>
  <c r="W26" i="9"/>
  <c r="W51" i="9"/>
  <c r="W30" i="9"/>
  <c r="H67" i="9"/>
  <c r="W81" i="9"/>
  <c r="W78" i="9"/>
  <c r="AF67" i="9"/>
  <c r="L67" i="9"/>
  <c r="W118" i="9"/>
  <c r="AI67" i="9"/>
  <c r="I67" i="9"/>
  <c r="AJ67" i="9"/>
  <c r="J67" i="9"/>
  <c r="W40" i="9"/>
  <c r="AC67" i="9"/>
  <c r="W47" i="9"/>
  <c r="M67" i="9"/>
  <c r="E67" i="9"/>
  <c r="W101" i="9"/>
  <c r="W54" i="9"/>
  <c r="W82" i="9"/>
  <c r="AB67" i="9"/>
  <c r="W57" i="9"/>
  <c r="D67" i="9"/>
  <c r="W60" i="9"/>
  <c r="W119" i="9"/>
  <c r="W80" i="9"/>
  <c r="AG67" i="9"/>
  <c r="W114" i="9"/>
  <c r="W56" i="9"/>
  <c r="AD67" i="9"/>
  <c r="W27" i="9"/>
  <c r="W53" i="9"/>
  <c r="W123" i="9"/>
  <c r="W49" i="9"/>
  <c r="W41" i="9"/>
  <c r="G67" i="9"/>
  <c r="W104" i="9"/>
  <c r="W46" i="9"/>
  <c r="W106" i="9"/>
  <c r="W110" i="9"/>
  <c r="W108" i="9"/>
  <c r="W43" i="9"/>
  <c r="W115" i="9"/>
  <c r="W62" i="9"/>
  <c r="W66" i="9"/>
  <c r="W79" i="9"/>
  <c r="W77" i="9"/>
  <c r="W117" i="9"/>
  <c r="W109" i="9"/>
  <c r="W42" i="9"/>
  <c r="W45" i="9"/>
  <c r="W75" i="9"/>
  <c r="W111" i="9"/>
  <c r="W44" i="9"/>
  <c r="AH67" i="9"/>
  <c r="W50" i="9"/>
  <c r="W61" i="9"/>
  <c r="K67" i="9"/>
  <c r="W100" i="9"/>
  <c r="W107" i="9"/>
  <c r="W76" i="9"/>
  <c r="W52" i="9"/>
  <c r="W38" i="9"/>
  <c r="W74" i="9"/>
  <c r="W28" i="9"/>
  <c r="W87" i="9"/>
  <c r="W85" i="9"/>
  <c r="W86" i="9"/>
  <c r="W90" i="9"/>
  <c r="W88" i="9"/>
  <c r="W89" i="9"/>
  <c r="W84" i="9"/>
  <c r="P66" i="9"/>
  <c r="Q66" i="9"/>
  <c r="V90" i="19"/>
  <c r="E122" i="13"/>
  <c r="F121" i="13"/>
  <c r="E131" i="13"/>
  <c r="J121" i="13"/>
  <c r="AH52" i="2"/>
  <c r="AH29" i="2"/>
  <c r="AH55" i="2"/>
  <c r="U34" i="2"/>
  <c r="AH49" i="2"/>
  <c r="AH56" i="2"/>
  <c r="AH54" i="2"/>
  <c r="AH50" i="2"/>
  <c r="AH51" i="2"/>
  <c r="AI26" i="2"/>
  <c r="AH57" i="2"/>
  <c r="AH53" i="2"/>
  <c r="O63" i="2"/>
  <c r="E104" i="13"/>
  <c r="F104" i="13" s="1"/>
  <c r="C104" i="13"/>
  <c r="E14" i="13"/>
  <c r="F14" i="13" s="1"/>
  <c r="C14" i="13"/>
  <c r="AJ61" i="19"/>
  <c r="AJ64" i="19"/>
  <c r="C131" i="13"/>
  <c r="C122" i="13"/>
  <c r="C123" i="13" s="1"/>
  <c r="C124" i="13" s="1"/>
  <c r="C125" i="13" s="1"/>
  <c r="C126" i="13" s="1"/>
  <c r="C127" i="13" s="1"/>
  <c r="C128" i="13" s="1"/>
  <c r="C129" i="13" s="1"/>
  <c r="C130" i="13" s="1"/>
  <c r="O90" i="9"/>
  <c r="R90" i="9"/>
  <c r="R63" i="2"/>
  <c r="P90" i="19"/>
  <c r="U90" i="19"/>
  <c r="AJ60" i="19"/>
  <c r="AJ65" i="19"/>
  <c r="D50" i="13"/>
  <c r="D41" i="13"/>
  <c r="D42" i="13" s="1"/>
  <c r="D43" i="13" s="1"/>
  <c r="D44" i="13" s="1"/>
  <c r="D45" i="13" s="1"/>
  <c r="D46" i="13" s="1"/>
  <c r="D47" i="13" s="1"/>
  <c r="D48" i="13" s="1"/>
  <c r="D49" i="13" s="1"/>
  <c r="AJ66" i="19"/>
  <c r="T87" i="2"/>
  <c r="T103" i="2"/>
  <c r="G64" i="2"/>
  <c r="F64" i="2"/>
  <c r="T52" i="2"/>
  <c r="T113" i="2"/>
  <c r="AE64" i="2"/>
  <c r="T121" i="2"/>
  <c r="U35" i="2"/>
  <c r="T27" i="2"/>
  <c r="T118" i="2"/>
  <c r="T44" i="2"/>
  <c r="T108" i="2"/>
  <c r="T110" i="2"/>
  <c r="J64" i="2"/>
  <c r="T64" i="2" s="1"/>
  <c r="T26" i="2"/>
  <c r="T75" i="2"/>
  <c r="T105" i="2"/>
  <c r="T54" i="2"/>
  <c r="T29" i="2"/>
  <c r="H64" i="2"/>
  <c r="T106" i="2"/>
  <c r="T111" i="2"/>
  <c r="T102" i="2"/>
  <c r="T38" i="2"/>
  <c r="T49" i="2"/>
  <c r="AP10" i="9"/>
  <c r="AO10" i="9" s="1"/>
  <c r="T78" i="2"/>
  <c r="AD64" i="2"/>
  <c r="T41" i="2"/>
  <c r="T119" i="2"/>
  <c r="AH64" i="2"/>
  <c r="T28" i="2"/>
  <c r="T80" i="2"/>
  <c r="E64" i="2"/>
  <c r="T56" i="2"/>
  <c r="T45" i="2"/>
  <c r="T76" i="2"/>
  <c r="T50" i="2"/>
  <c r="T81" i="2"/>
  <c r="AF64" i="2"/>
  <c r="K64" i="2"/>
  <c r="T30" i="2"/>
  <c r="AG64" i="2"/>
  <c r="T55" i="2"/>
  <c r="T74" i="2"/>
  <c r="T115" i="2"/>
  <c r="T51" i="2"/>
  <c r="D64" i="2"/>
  <c r="AC64" i="2"/>
  <c r="T104" i="2"/>
  <c r="T40" i="2"/>
  <c r="T53" i="2"/>
  <c r="T124" i="2"/>
  <c r="AB64" i="2"/>
  <c r="I64" i="2"/>
  <c r="M64" i="2"/>
  <c r="T100" i="2"/>
  <c r="T39" i="2"/>
  <c r="T109" i="2"/>
  <c r="T59" i="2"/>
  <c r="T120" i="2"/>
  <c r="T77" i="2"/>
  <c r="L64" i="2"/>
  <c r="T123" i="2"/>
  <c r="T122" i="2"/>
  <c r="T79" i="2"/>
  <c r="T60" i="2"/>
  <c r="T84" i="2"/>
  <c r="T107" i="2"/>
  <c r="AP10" i="2"/>
  <c r="AO10" i="2" s="1"/>
  <c r="T62" i="2"/>
  <c r="T114" i="2"/>
  <c r="T116" i="2"/>
  <c r="T42" i="2"/>
  <c r="T61" i="2"/>
  <c r="T57" i="2"/>
  <c r="T82" i="2"/>
  <c r="T47" i="2"/>
  <c r="T46" i="2"/>
  <c r="T101" i="2"/>
  <c r="T43" i="2"/>
  <c r="T117" i="2"/>
  <c r="T63" i="2"/>
  <c r="T86" i="2"/>
  <c r="T85" i="2"/>
  <c r="AG60" i="2"/>
  <c r="J31" i="13"/>
  <c r="Q90" i="19"/>
  <c r="T90" i="19"/>
  <c r="Q66" i="19"/>
  <c r="T66" i="19"/>
  <c r="K91" i="19"/>
  <c r="G91" i="19"/>
  <c r="H91" i="19"/>
  <c r="E91" i="19"/>
  <c r="S91" i="19" s="1"/>
  <c r="I91" i="19"/>
  <c r="D91" i="19"/>
  <c r="F91" i="19"/>
  <c r="R91" i="19" s="1"/>
  <c r="J91" i="19"/>
  <c r="L91" i="19"/>
  <c r="M91" i="19"/>
  <c r="AJ10" i="2"/>
  <c r="AI12" i="2"/>
  <c r="E23" i="13"/>
  <c r="F22" i="13"/>
  <c r="Q87" i="2"/>
  <c r="AH11" i="9"/>
  <c r="AE12" i="9"/>
  <c r="O66" i="9"/>
  <c r="R66" i="9"/>
  <c r="E50" i="13"/>
  <c r="E41" i="13"/>
  <c r="F40" i="13"/>
  <c r="J40" i="13"/>
  <c r="W113" i="19"/>
  <c r="W56" i="19"/>
  <c r="W47" i="19"/>
  <c r="W81" i="19"/>
  <c r="K67" i="19"/>
  <c r="W104" i="19"/>
  <c r="W111" i="19"/>
  <c r="W50" i="19"/>
  <c r="W122" i="19"/>
  <c r="W107" i="19"/>
  <c r="W75" i="19"/>
  <c r="W49" i="19"/>
  <c r="W42" i="19"/>
  <c r="W82" i="19"/>
  <c r="W117" i="19"/>
  <c r="W103" i="19"/>
  <c r="W30" i="19"/>
  <c r="W100" i="19"/>
  <c r="E67" i="19"/>
  <c r="S67" i="19" s="1"/>
  <c r="AK67" i="19"/>
  <c r="W76" i="19"/>
  <c r="R35" i="19"/>
  <c r="W124" i="19"/>
  <c r="W74" i="19"/>
  <c r="G67" i="19"/>
  <c r="W80" i="19"/>
  <c r="W115" i="19"/>
  <c r="W120" i="19"/>
  <c r="AJ67" i="19"/>
  <c r="W61" i="19"/>
  <c r="W118" i="19"/>
  <c r="AF67" i="19"/>
  <c r="W26" i="19"/>
  <c r="W116" i="19"/>
  <c r="W106" i="19"/>
  <c r="W105" i="19"/>
  <c r="W44" i="19"/>
  <c r="W46" i="19"/>
  <c r="W41" i="19"/>
  <c r="W57" i="19"/>
  <c r="W51" i="19"/>
  <c r="W45" i="19"/>
  <c r="H67" i="19"/>
  <c r="W121" i="19"/>
  <c r="M67" i="19"/>
  <c r="W119" i="19"/>
  <c r="AG67" i="19"/>
  <c r="W114" i="19"/>
  <c r="W38" i="19"/>
  <c r="I67" i="19"/>
  <c r="W43" i="19"/>
  <c r="W28" i="19"/>
  <c r="W27" i="19"/>
  <c r="F67" i="19"/>
  <c r="R67" i="19" s="1"/>
  <c r="W39" i="19"/>
  <c r="W77" i="19"/>
  <c r="W59" i="19"/>
  <c r="W54" i="19"/>
  <c r="W123" i="19"/>
  <c r="W66" i="19"/>
  <c r="AI67" i="19"/>
  <c r="W40" i="19"/>
  <c r="AH67" i="19"/>
  <c r="W65" i="19"/>
  <c r="W101" i="19"/>
  <c r="D67" i="19"/>
  <c r="W53" i="19"/>
  <c r="J67" i="19"/>
  <c r="W67" i="19" s="1"/>
  <c r="W29" i="19"/>
  <c r="L67" i="19"/>
  <c r="W108" i="19"/>
  <c r="W55" i="19"/>
  <c r="AB67" i="19"/>
  <c r="W52" i="19"/>
  <c r="W78" i="19"/>
  <c r="W110" i="19"/>
  <c r="AC67" i="19"/>
  <c r="W102" i="19"/>
  <c r="AE67" i="19"/>
  <c r="AD67" i="19"/>
  <c r="W87" i="19"/>
  <c r="W89" i="19"/>
  <c r="W109" i="19"/>
  <c r="W79" i="19"/>
  <c r="W84" i="19"/>
  <c r="W62" i="19"/>
  <c r="W64" i="19"/>
  <c r="W85" i="19"/>
  <c r="W91" i="19"/>
  <c r="W88" i="19"/>
  <c r="W60" i="19"/>
  <c r="W63" i="19"/>
  <c r="W86" i="19"/>
  <c r="W90" i="19"/>
  <c r="K30" i="13"/>
  <c r="I40" i="13" s="1"/>
  <c r="K40" i="13" s="1"/>
  <c r="I50" i="13" s="1"/>
  <c r="D122" i="13"/>
  <c r="D123" i="13" s="1"/>
  <c r="D124" i="13" s="1"/>
  <c r="D125" i="13" s="1"/>
  <c r="D126" i="13" s="1"/>
  <c r="D127" i="13" s="1"/>
  <c r="D128" i="13" s="1"/>
  <c r="D129" i="13" s="1"/>
  <c r="D130" i="13" s="1"/>
  <c r="D131" i="13"/>
  <c r="H12" i="13"/>
  <c r="G13" i="13"/>
  <c r="J12" i="13"/>
  <c r="K12" i="13" s="1"/>
  <c r="P87" i="2"/>
  <c r="AK55" i="9"/>
  <c r="AK50" i="9"/>
  <c r="AK29" i="9"/>
  <c r="AK49" i="9"/>
  <c r="AK56" i="9"/>
  <c r="AK53" i="9"/>
  <c r="AK63" i="9" s="1"/>
  <c r="AK54" i="9"/>
  <c r="X34" i="9"/>
  <c r="E32" i="9" s="1"/>
  <c r="AK52" i="9"/>
  <c r="AK57" i="9"/>
  <c r="AK51" i="9"/>
  <c r="AK65" i="9" s="1"/>
  <c r="AL26" i="9"/>
  <c r="K121" i="13"/>
  <c r="I131" i="13" s="1"/>
  <c r="T91" i="7"/>
  <c r="I116" i="7"/>
  <c r="AI84" i="7"/>
  <c r="P91" i="7"/>
  <c r="G92" i="7"/>
  <c r="U146" i="7"/>
  <c r="U82" i="7"/>
  <c r="U77" i="7"/>
  <c r="U108" i="7"/>
  <c r="L92" i="7"/>
  <c r="E92" i="7"/>
  <c r="J92" i="7"/>
  <c r="U105" i="7"/>
  <c r="U112" i="7"/>
  <c r="U89" i="7"/>
  <c r="U145" i="7"/>
  <c r="G116" i="7"/>
  <c r="AH89" i="7"/>
  <c r="AH90" i="7"/>
  <c r="AI82" i="7"/>
  <c r="U80" i="7"/>
  <c r="U72" i="7"/>
  <c r="O92" i="7"/>
  <c r="AB92" i="7"/>
  <c r="F92" i="7"/>
  <c r="AD92" i="7"/>
  <c r="N92" i="7"/>
  <c r="U135" i="7"/>
  <c r="U85" i="7"/>
  <c r="U116" i="7"/>
  <c r="E116" i="7"/>
  <c r="AI78" i="7"/>
  <c r="U141" i="7"/>
  <c r="U136" i="7"/>
  <c r="I92" i="7"/>
  <c r="U106" i="7"/>
  <c r="U84" i="7"/>
  <c r="AH92" i="7"/>
  <c r="U132" i="7"/>
  <c r="U128" i="7"/>
  <c r="U110" i="7"/>
  <c r="Q115" i="7"/>
  <c r="Q91" i="7"/>
  <c r="M116" i="7"/>
  <c r="R91" i="7"/>
  <c r="AH87" i="7"/>
  <c r="AI80" i="7"/>
  <c r="AI79" i="7"/>
  <c r="AF92" i="7"/>
  <c r="U138" i="7"/>
  <c r="U134" i="7"/>
  <c r="AE92" i="7"/>
  <c r="U73" i="7"/>
  <c r="U83" i="7"/>
  <c r="U68" i="7"/>
  <c r="U67" i="7"/>
  <c r="M92" i="7"/>
  <c r="U75" i="7"/>
  <c r="U113" i="7"/>
  <c r="R115" i="7"/>
  <c r="F116" i="7"/>
  <c r="J116" i="7"/>
  <c r="P115" i="7"/>
  <c r="AJ60" i="7"/>
  <c r="U149" i="7"/>
  <c r="K92" i="7"/>
  <c r="U139" i="7"/>
  <c r="U69" i="7"/>
  <c r="U104" i="7"/>
  <c r="U102" i="7"/>
  <c r="U81" i="7"/>
  <c r="U137" i="7"/>
  <c r="U151" i="7"/>
  <c r="U90" i="7"/>
  <c r="U74" i="7"/>
  <c r="U91" i="7"/>
  <c r="H116" i="7"/>
  <c r="K116" i="7"/>
  <c r="AI83" i="7"/>
  <c r="AI85" i="7"/>
  <c r="S91" i="7"/>
  <c r="U115" i="7"/>
  <c r="U60" i="7"/>
  <c r="U147" i="7"/>
  <c r="U78" i="7"/>
  <c r="U152" i="7"/>
  <c r="U87" i="7"/>
  <c r="U150" i="7"/>
  <c r="U142" i="7"/>
  <c r="U129" i="7"/>
  <c r="L116" i="7"/>
  <c r="AI81" i="7"/>
  <c r="U131" i="7"/>
  <c r="U103" i="7"/>
  <c r="U130" i="7"/>
  <c r="AI92" i="7"/>
  <c r="U109" i="7"/>
  <c r="U143" i="7"/>
  <c r="U107" i="7"/>
  <c r="U144" i="7"/>
  <c r="U71" i="7"/>
  <c r="U114" i="7"/>
  <c r="N116" i="7"/>
  <c r="S115" i="7"/>
  <c r="AI77" i="7"/>
  <c r="H92" i="7"/>
  <c r="U133" i="7"/>
  <c r="U66" i="7"/>
  <c r="AG92" i="7"/>
  <c r="U79" i="7"/>
  <c r="AC92" i="7"/>
  <c r="U148" i="7"/>
  <c r="U88" i="7"/>
  <c r="U70" i="7"/>
  <c r="AH88" i="7"/>
  <c r="U92" i="7"/>
  <c r="W67" i="9" l="1"/>
  <c r="W91" i="9"/>
  <c r="U91" i="9"/>
  <c r="T67" i="9"/>
  <c r="S67" i="9"/>
  <c r="AK67" i="9"/>
  <c r="AK66" i="9"/>
  <c r="AK64" i="9"/>
  <c r="V91" i="9"/>
  <c r="S91" i="9"/>
  <c r="T91" i="9"/>
  <c r="U67" i="9"/>
  <c r="V67" i="9"/>
  <c r="M23" i="7"/>
  <c r="N23" i="7" s="1"/>
  <c r="I103" i="13"/>
  <c r="B102" i="13"/>
  <c r="B12" i="13"/>
  <c r="I13" i="13"/>
  <c r="P67" i="19"/>
  <c r="U67" i="19"/>
  <c r="AJ8" i="2"/>
  <c r="AK10" i="2"/>
  <c r="P91" i="19"/>
  <c r="U91" i="19"/>
  <c r="Q64" i="2"/>
  <c r="C141" i="13"/>
  <c r="C132" i="13"/>
  <c r="C133" i="13" s="1"/>
  <c r="C134" i="13" s="1"/>
  <c r="C135" i="13" s="1"/>
  <c r="C136" i="13" s="1"/>
  <c r="C137" i="13" s="1"/>
  <c r="C138" i="13" s="1"/>
  <c r="C139" i="13" s="1"/>
  <c r="C140" i="13" s="1"/>
  <c r="AH60" i="2"/>
  <c r="G122" i="13"/>
  <c r="F122" i="13"/>
  <c r="E123" i="13"/>
  <c r="K92" i="9"/>
  <c r="H92" i="9"/>
  <c r="J92" i="9"/>
  <c r="E92" i="9"/>
  <c r="L92" i="9"/>
  <c r="F92" i="9"/>
  <c r="G92" i="9"/>
  <c r="D92" i="9"/>
  <c r="I92" i="9"/>
  <c r="M92" i="9"/>
  <c r="Q91" i="9"/>
  <c r="P91" i="9"/>
  <c r="AL54" i="9"/>
  <c r="AL51" i="9"/>
  <c r="AL65" i="9" s="1"/>
  <c r="AL56" i="9"/>
  <c r="AL29" i="9"/>
  <c r="AL52" i="9"/>
  <c r="AL57" i="9"/>
  <c r="AL50" i="9"/>
  <c r="AM26" i="9"/>
  <c r="AL53" i="9"/>
  <c r="AL63" i="9" s="1"/>
  <c r="AL49" i="9"/>
  <c r="AL67" i="9" s="1"/>
  <c r="AL55" i="9"/>
  <c r="Y34" i="9"/>
  <c r="D141" i="13"/>
  <c r="D132" i="13"/>
  <c r="D133" i="13" s="1"/>
  <c r="D134" i="13" s="1"/>
  <c r="D135" i="13" s="1"/>
  <c r="D136" i="13" s="1"/>
  <c r="D137" i="13" s="1"/>
  <c r="D138" i="13" s="1"/>
  <c r="D139" i="13" s="1"/>
  <c r="D140" i="13" s="1"/>
  <c r="O67" i="19"/>
  <c r="V67" i="19"/>
  <c r="Q91" i="19"/>
  <c r="T91" i="19"/>
  <c r="AH63" i="2"/>
  <c r="U47" i="2"/>
  <c r="AP11" i="9"/>
  <c r="AO11" i="9" s="1"/>
  <c r="U39" i="2"/>
  <c r="F65" i="2"/>
  <c r="U53" i="2"/>
  <c r="U56" i="2"/>
  <c r="AF65" i="2"/>
  <c r="H65" i="2"/>
  <c r="U107" i="2"/>
  <c r="U42" i="2"/>
  <c r="U101" i="2"/>
  <c r="U115" i="2"/>
  <c r="U26" i="2"/>
  <c r="U124" i="2"/>
  <c r="U50" i="2"/>
  <c r="U106" i="2"/>
  <c r="U30" i="2"/>
  <c r="AD65" i="2"/>
  <c r="U118" i="2"/>
  <c r="U102" i="2"/>
  <c r="U51" i="2"/>
  <c r="U113" i="2"/>
  <c r="AC65" i="2"/>
  <c r="U41" i="2"/>
  <c r="AP11" i="2"/>
  <c r="AO11" i="2" s="1"/>
  <c r="U100" i="2"/>
  <c r="U110" i="2"/>
  <c r="G65" i="2"/>
  <c r="U46" i="2"/>
  <c r="AB65" i="2"/>
  <c r="D65" i="2"/>
  <c r="U111" i="2"/>
  <c r="U29" i="2"/>
  <c r="U40" i="2"/>
  <c r="U75" i="2"/>
  <c r="U52" i="2"/>
  <c r="U54" i="2"/>
  <c r="L65" i="2"/>
  <c r="U103" i="2"/>
  <c r="U76" i="2"/>
  <c r="U123" i="2"/>
  <c r="U116" i="2"/>
  <c r="U74" i="2"/>
  <c r="U109" i="2"/>
  <c r="U120" i="2"/>
  <c r="AG65" i="2"/>
  <c r="U104" i="2"/>
  <c r="U38" i="2"/>
  <c r="U108" i="2"/>
  <c r="E65" i="2"/>
  <c r="U81" i="2"/>
  <c r="U121" i="2"/>
  <c r="AE65" i="2"/>
  <c r="U44" i="2"/>
  <c r="J65" i="2"/>
  <c r="U27" i="2"/>
  <c r="AH65" i="2"/>
  <c r="U77" i="2"/>
  <c r="U82" i="2"/>
  <c r="U49" i="2"/>
  <c r="U122" i="2"/>
  <c r="M65" i="2"/>
  <c r="U117" i="2"/>
  <c r="U114" i="2"/>
  <c r="U119" i="2"/>
  <c r="U55" i="2"/>
  <c r="U79" i="2"/>
  <c r="U61" i="2"/>
  <c r="U78" i="2"/>
  <c r="K65" i="2"/>
  <c r="U60" i="2"/>
  <c r="U64" i="2"/>
  <c r="U80" i="2"/>
  <c r="U105" i="2"/>
  <c r="U57" i="2"/>
  <c r="U43" i="2"/>
  <c r="T35" i="2"/>
  <c r="U45" i="2"/>
  <c r="U63" i="2"/>
  <c r="U59" i="2"/>
  <c r="U28" i="2"/>
  <c r="I65" i="2"/>
  <c r="U62" i="2"/>
  <c r="U84" i="2"/>
  <c r="U87" i="2"/>
  <c r="U86" i="2"/>
  <c r="U88" i="2"/>
  <c r="U85" i="2"/>
  <c r="K32" i="2"/>
  <c r="AK61" i="19"/>
  <c r="AK64" i="19"/>
  <c r="X84" i="19"/>
  <c r="X108" i="19"/>
  <c r="F68" i="19"/>
  <c r="R68" i="19" s="1"/>
  <c r="G68" i="19"/>
  <c r="X120" i="19"/>
  <c r="X63" i="19"/>
  <c r="X67" i="19"/>
  <c r="X104" i="19"/>
  <c r="X111" i="19"/>
  <c r="X43" i="19"/>
  <c r="X118" i="19"/>
  <c r="I68" i="19"/>
  <c r="X100" i="19"/>
  <c r="X52" i="19"/>
  <c r="X57" i="19"/>
  <c r="X107" i="19"/>
  <c r="X30" i="19"/>
  <c r="X106" i="19"/>
  <c r="X46" i="19"/>
  <c r="X65" i="19"/>
  <c r="X117" i="19"/>
  <c r="AF68" i="19"/>
  <c r="AG68" i="19"/>
  <c r="X27" i="19"/>
  <c r="X74" i="19"/>
  <c r="X49" i="19"/>
  <c r="H68" i="19"/>
  <c r="X119" i="19"/>
  <c r="X28" i="19"/>
  <c r="X114" i="19"/>
  <c r="K68" i="19"/>
  <c r="X68" i="19" s="1"/>
  <c r="X75" i="19"/>
  <c r="X80" i="19"/>
  <c r="X105" i="19"/>
  <c r="X40" i="19"/>
  <c r="AC68" i="19"/>
  <c r="X44" i="19"/>
  <c r="X85" i="19"/>
  <c r="X64" i="19"/>
  <c r="AD68" i="19"/>
  <c r="AJ68" i="19"/>
  <c r="X78" i="19"/>
  <c r="X113" i="19"/>
  <c r="X109" i="19"/>
  <c r="X122" i="19"/>
  <c r="X51" i="19"/>
  <c r="X50" i="19"/>
  <c r="AH68" i="19"/>
  <c r="X102" i="19"/>
  <c r="X54" i="19"/>
  <c r="X77" i="19"/>
  <c r="X123" i="19"/>
  <c r="X56" i="19"/>
  <c r="AK68" i="19"/>
  <c r="X53" i="19"/>
  <c r="X42" i="19"/>
  <c r="D68" i="19"/>
  <c r="X38" i="19"/>
  <c r="X82" i="19"/>
  <c r="X121" i="19"/>
  <c r="X116" i="19"/>
  <c r="L68" i="19"/>
  <c r="X81" i="19"/>
  <c r="X110" i="19"/>
  <c r="AE68" i="19"/>
  <c r="X101" i="19"/>
  <c r="Q35" i="19"/>
  <c r="AB68" i="19"/>
  <c r="X76" i="19"/>
  <c r="X26" i="19"/>
  <c r="E68" i="19"/>
  <c r="S68" i="19" s="1"/>
  <c r="J68" i="19"/>
  <c r="W68" i="19" s="1"/>
  <c r="X47" i="19"/>
  <c r="X66" i="19"/>
  <c r="X45" i="19"/>
  <c r="X55" i="19"/>
  <c r="X41" i="19"/>
  <c r="X39" i="19"/>
  <c r="X29" i="19"/>
  <c r="M68" i="19"/>
  <c r="X103" i="19"/>
  <c r="X124" i="19"/>
  <c r="X59" i="19"/>
  <c r="X60" i="19"/>
  <c r="X61" i="19"/>
  <c r="AI68" i="19"/>
  <c r="X91" i="19"/>
  <c r="X79" i="19"/>
  <c r="X88" i="19"/>
  <c r="X115" i="19"/>
  <c r="X87" i="19"/>
  <c r="X89" i="19"/>
  <c r="X86" i="19"/>
  <c r="X90" i="19"/>
  <c r="X62" i="19"/>
  <c r="K32" i="19"/>
  <c r="H31" i="13"/>
  <c r="G32" i="13"/>
  <c r="D89" i="2"/>
  <c r="H89" i="2"/>
  <c r="E89" i="2"/>
  <c r="I89" i="2"/>
  <c r="M89" i="2"/>
  <c r="F89" i="2"/>
  <c r="K89" i="2"/>
  <c r="L89" i="2"/>
  <c r="G89" i="2"/>
  <c r="J89" i="2"/>
  <c r="P67" i="9"/>
  <c r="Q67" i="9"/>
  <c r="AL29" i="19"/>
  <c r="AM26" i="19"/>
  <c r="AL50" i="19"/>
  <c r="AL62" i="19" s="1"/>
  <c r="AL56" i="19"/>
  <c r="AL54" i="19"/>
  <c r="AL67" i="19" s="1"/>
  <c r="AL53" i="19"/>
  <c r="AL55" i="19"/>
  <c r="AL68" i="19" s="1"/>
  <c r="AL52" i="19"/>
  <c r="AL57" i="19"/>
  <c r="Y34" i="19"/>
  <c r="AL51" i="19"/>
  <c r="AL49" i="19"/>
  <c r="AL63" i="19" s="1"/>
  <c r="H103" i="13"/>
  <c r="G104" i="13"/>
  <c r="J103" i="13"/>
  <c r="Q88" i="2"/>
  <c r="R91" i="9"/>
  <c r="O91" i="9"/>
  <c r="E92" i="19"/>
  <c r="S92" i="19" s="1"/>
  <c r="H92" i="19"/>
  <c r="L92" i="19"/>
  <c r="J92" i="19"/>
  <c r="W92" i="19" s="1"/>
  <c r="D92" i="19"/>
  <c r="F92" i="19"/>
  <c r="R92" i="19" s="1"/>
  <c r="M92" i="19"/>
  <c r="I92" i="19"/>
  <c r="G92" i="19"/>
  <c r="K92" i="19"/>
  <c r="X92" i="19" s="1"/>
  <c r="Q67" i="19"/>
  <c r="T67" i="19"/>
  <c r="AI11" i="9"/>
  <c r="AG12" i="9"/>
  <c r="C15" i="13"/>
  <c r="E15" i="13"/>
  <c r="F15" i="13" s="1"/>
  <c r="AJ26" i="2"/>
  <c r="AI55" i="2"/>
  <c r="AI49" i="2"/>
  <c r="AI51" i="2"/>
  <c r="AI29" i="2"/>
  <c r="AI52" i="2"/>
  <c r="AI50" i="2"/>
  <c r="AI54" i="2"/>
  <c r="AI56" i="2"/>
  <c r="AI57" i="2"/>
  <c r="V34" i="2"/>
  <c r="AI53" i="2"/>
  <c r="AK60" i="19"/>
  <c r="AK65" i="19"/>
  <c r="G23" i="13"/>
  <c r="H22" i="13"/>
  <c r="J22" i="13"/>
  <c r="S88" i="2"/>
  <c r="P88" i="2"/>
  <c r="AH61" i="2"/>
  <c r="AH62" i="2"/>
  <c r="O67" i="9"/>
  <c r="R67" i="9"/>
  <c r="AI12" i="19"/>
  <c r="AJ10" i="19"/>
  <c r="C60" i="13"/>
  <c r="C51" i="13"/>
  <c r="C52" i="13" s="1"/>
  <c r="C53" i="13" s="1"/>
  <c r="C54" i="13" s="1"/>
  <c r="C55" i="13" s="1"/>
  <c r="C56" i="13" s="1"/>
  <c r="C57" i="13" s="1"/>
  <c r="C58" i="13" s="1"/>
  <c r="C59" i="13" s="1"/>
  <c r="AK60" i="9"/>
  <c r="AK61" i="9"/>
  <c r="X62" i="9"/>
  <c r="X61" i="9"/>
  <c r="X65" i="9"/>
  <c r="X78" i="9"/>
  <c r="AH68" i="9"/>
  <c r="X74" i="9"/>
  <c r="X119" i="9"/>
  <c r="X106" i="9"/>
  <c r="AF68" i="9"/>
  <c r="X102" i="9"/>
  <c r="X28" i="9"/>
  <c r="X117" i="9"/>
  <c r="D68" i="9"/>
  <c r="AD68" i="9"/>
  <c r="X44" i="9"/>
  <c r="X105" i="9"/>
  <c r="X75" i="9"/>
  <c r="X55" i="9"/>
  <c r="X123" i="9"/>
  <c r="X110" i="9"/>
  <c r="X82" i="9"/>
  <c r="X47" i="9"/>
  <c r="X81" i="9"/>
  <c r="X108" i="9"/>
  <c r="X52" i="9"/>
  <c r="X80" i="9"/>
  <c r="AC68" i="9"/>
  <c r="X26" i="9"/>
  <c r="X122" i="9"/>
  <c r="K68" i="9"/>
  <c r="X27" i="9"/>
  <c r="AE68" i="9"/>
  <c r="X116" i="9"/>
  <c r="X107" i="9"/>
  <c r="X100" i="9"/>
  <c r="Q35" i="9"/>
  <c r="X29" i="9"/>
  <c r="F68" i="9"/>
  <c r="X56" i="9"/>
  <c r="X121" i="9"/>
  <c r="E68" i="9"/>
  <c r="I68" i="9"/>
  <c r="AK68" i="9"/>
  <c r="X115" i="9"/>
  <c r="X50" i="9"/>
  <c r="X124" i="9"/>
  <c r="X76" i="9"/>
  <c r="X40" i="9"/>
  <c r="X120" i="9"/>
  <c r="X103" i="9"/>
  <c r="X39" i="9"/>
  <c r="X111" i="9"/>
  <c r="X41" i="9"/>
  <c r="M68" i="9"/>
  <c r="X51" i="9"/>
  <c r="X118" i="9"/>
  <c r="X57" i="9"/>
  <c r="X79" i="9"/>
  <c r="X30" i="9"/>
  <c r="J68" i="9"/>
  <c r="X53" i="9"/>
  <c r="X66" i="9"/>
  <c r="X114" i="9"/>
  <c r="X109" i="9"/>
  <c r="X77" i="9"/>
  <c r="AG68" i="9"/>
  <c r="AI68" i="9"/>
  <c r="X38" i="9"/>
  <c r="X46" i="9"/>
  <c r="G68" i="9"/>
  <c r="AJ68" i="9"/>
  <c r="X101" i="9"/>
  <c r="AB68" i="9"/>
  <c r="X43" i="9"/>
  <c r="X104" i="9"/>
  <c r="AL68" i="9"/>
  <c r="L68" i="9"/>
  <c r="X49" i="9"/>
  <c r="X45" i="9"/>
  <c r="X54" i="9"/>
  <c r="H68" i="9"/>
  <c r="X113" i="9"/>
  <c r="X42" i="9"/>
  <c r="X88" i="9"/>
  <c r="X91" i="9"/>
  <c r="X67" i="9"/>
  <c r="X84" i="9"/>
  <c r="X63" i="9"/>
  <c r="X64" i="9"/>
  <c r="X59" i="9"/>
  <c r="X60" i="9"/>
  <c r="X85" i="9"/>
  <c r="X90" i="9"/>
  <c r="X86" i="9"/>
  <c r="X92" i="9"/>
  <c r="X87" i="9"/>
  <c r="X89" i="9"/>
  <c r="R64" i="2"/>
  <c r="D60" i="13"/>
  <c r="D51" i="13"/>
  <c r="D52" i="13" s="1"/>
  <c r="D53" i="13" s="1"/>
  <c r="D54" i="13" s="1"/>
  <c r="D55" i="13" s="1"/>
  <c r="D56" i="13" s="1"/>
  <c r="D57" i="13" s="1"/>
  <c r="D58" i="13" s="1"/>
  <c r="D59" i="13" s="1"/>
  <c r="C105" i="13"/>
  <c r="E105" i="13"/>
  <c r="F105" i="13" s="1"/>
  <c r="AH59" i="2"/>
  <c r="J122" i="13"/>
  <c r="AK59" i="9"/>
  <c r="AK62" i="9"/>
  <c r="E42" i="13"/>
  <c r="G41" i="13"/>
  <c r="J41" i="13" s="1"/>
  <c r="F41" i="13"/>
  <c r="E24" i="13"/>
  <c r="F23" i="13"/>
  <c r="O91" i="19"/>
  <c r="V91" i="19"/>
  <c r="P64" i="2"/>
  <c r="E141" i="13"/>
  <c r="E132" i="13"/>
  <c r="F131" i="13"/>
  <c r="J131" i="13"/>
  <c r="E114" i="13"/>
  <c r="F113" i="13"/>
  <c r="AK59" i="19"/>
  <c r="AK66" i="19"/>
  <c r="O88" i="2"/>
  <c r="G14" i="13"/>
  <c r="H13" i="13"/>
  <c r="J13" i="13"/>
  <c r="F50" i="13"/>
  <c r="E51" i="13"/>
  <c r="E60" i="13"/>
  <c r="J50" i="13"/>
  <c r="S64" i="2"/>
  <c r="O64" i="2"/>
  <c r="G113" i="13"/>
  <c r="H112" i="13"/>
  <c r="J112" i="13"/>
  <c r="F32" i="13"/>
  <c r="E33" i="13"/>
  <c r="R88" i="2"/>
  <c r="AG93" i="7"/>
  <c r="V152" i="7"/>
  <c r="V141" i="7"/>
  <c r="AC93" i="7"/>
  <c r="V82" i="7"/>
  <c r="V137" i="7"/>
  <c r="V109" i="7"/>
  <c r="V142" i="7"/>
  <c r="V88" i="7"/>
  <c r="V90" i="7"/>
  <c r="G117" i="7"/>
  <c r="AJ78" i="7"/>
  <c r="S92" i="7"/>
  <c r="AI91" i="7"/>
  <c r="I93" i="7"/>
  <c r="V78" i="7"/>
  <c r="AD93" i="7"/>
  <c r="E93" i="7"/>
  <c r="M93" i="7"/>
  <c r="V148" i="7"/>
  <c r="V149" i="7"/>
  <c r="V110" i="7"/>
  <c r="V147" i="7"/>
  <c r="V92" i="7"/>
  <c r="V73" i="7"/>
  <c r="V112" i="7"/>
  <c r="L117" i="7"/>
  <c r="AJ82" i="7"/>
  <c r="V75" i="7"/>
  <c r="V134" i="7"/>
  <c r="V69" i="7"/>
  <c r="V139" i="7"/>
  <c r="V131" i="7"/>
  <c r="AH93" i="7"/>
  <c r="AF93" i="7"/>
  <c r="V77" i="7"/>
  <c r="V83" i="7"/>
  <c r="V108" i="7"/>
  <c r="V91" i="7"/>
  <c r="V115" i="7"/>
  <c r="V116" i="7"/>
  <c r="M117" i="7"/>
  <c r="AK60" i="7"/>
  <c r="AJ84" i="7"/>
  <c r="Q92" i="7"/>
  <c r="V135" i="7"/>
  <c r="V104" i="7"/>
  <c r="V132" i="7"/>
  <c r="V72" i="7"/>
  <c r="V107" i="7"/>
  <c r="V133" i="7"/>
  <c r="V87" i="7"/>
  <c r="V113" i="7"/>
  <c r="E117" i="7"/>
  <c r="H117" i="7"/>
  <c r="AJ83" i="7"/>
  <c r="AJ85" i="7"/>
  <c r="T116" i="7"/>
  <c r="T92" i="7"/>
  <c r="R92" i="7"/>
  <c r="V67" i="7"/>
  <c r="V70" i="7"/>
  <c r="AE93" i="7"/>
  <c r="V128" i="7"/>
  <c r="V66" i="7"/>
  <c r="K93" i="7"/>
  <c r="V150" i="7"/>
  <c r="V85" i="7"/>
  <c r="I117" i="7"/>
  <c r="K117" i="7"/>
  <c r="AJ77" i="7"/>
  <c r="Q116" i="7"/>
  <c r="P116" i="7"/>
  <c r="AI87" i="7"/>
  <c r="G93" i="7"/>
  <c r="V129" i="7"/>
  <c r="V146" i="7"/>
  <c r="V138" i="7"/>
  <c r="V68" i="7"/>
  <c r="V151" i="7"/>
  <c r="V136" i="7"/>
  <c r="N93" i="7"/>
  <c r="V89" i="7"/>
  <c r="V71" i="7"/>
  <c r="F117" i="7"/>
  <c r="AJ79" i="7"/>
  <c r="AJ81" i="7"/>
  <c r="S116" i="7"/>
  <c r="V81" i="7"/>
  <c r="V143" i="7"/>
  <c r="V130" i="7"/>
  <c r="H93" i="7"/>
  <c r="V103" i="7"/>
  <c r="V144" i="7"/>
  <c r="AB93" i="7"/>
  <c r="O93" i="7"/>
  <c r="F93" i="7"/>
  <c r="AI93" i="7"/>
  <c r="V145" i="7"/>
  <c r="V106" i="7"/>
  <c r="J93" i="7"/>
  <c r="J117" i="7"/>
  <c r="R116" i="7"/>
  <c r="AI89" i="7"/>
  <c r="P92" i="7"/>
  <c r="AI88" i="7"/>
  <c r="V84" i="7"/>
  <c r="V60" i="7"/>
  <c r="V79" i="7"/>
  <c r="V74" i="7"/>
  <c r="V80" i="7"/>
  <c r="V102" i="7"/>
  <c r="V105" i="7"/>
  <c r="L93" i="7"/>
  <c r="V114" i="7"/>
  <c r="N117" i="7"/>
  <c r="AJ80" i="7"/>
  <c r="AI90" i="7"/>
  <c r="U92" i="9" l="1"/>
  <c r="W92" i="9"/>
  <c r="T68" i="9"/>
  <c r="U68" i="9"/>
  <c r="T92" i="9"/>
  <c r="S68" i="9"/>
  <c r="V92" i="9"/>
  <c r="V68" i="9"/>
  <c r="AL66" i="9"/>
  <c r="AL64" i="9"/>
  <c r="S92" i="9"/>
  <c r="W68" i="9"/>
  <c r="X68" i="9"/>
  <c r="M27" i="7"/>
  <c r="N27" i="7" s="1"/>
  <c r="M10" i="7"/>
  <c r="N10" i="7" s="1"/>
  <c r="M24" i="7"/>
  <c r="N24" i="7" s="1"/>
  <c r="M12" i="7"/>
  <c r="N12" i="7" s="1"/>
  <c r="H113" i="13"/>
  <c r="G114" i="13"/>
  <c r="J113" i="13"/>
  <c r="AI62" i="2"/>
  <c r="U65" i="2"/>
  <c r="M90" i="2"/>
  <c r="G90" i="2"/>
  <c r="K90" i="2"/>
  <c r="D90" i="2"/>
  <c r="H90" i="2"/>
  <c r="F90" i="2"/>
  <c r="E90" i="2"/>
  <c r="J90" i="2"/>
  <c r="L90" i="2"/>
  <c r="I90" i="2"/>
  <c r="AL59" i="9"/>
  <c r="AL62" i="9"/>
  <c r="E115" i="13"/>
  <c r="F114" i="13"/>
  <c r="F24" i="13"/>
  <c r="E25" i="13"/>
  <c r="AJ10" i="9"/>
  <c r="AI12" i="9"/>
  <c r="AL60" i="19"/>
  <c r="AL65" i="19"/>
  <c r="S89" i="2"/>
  <c r="S65" i="2"/>
  <c r="P65" i="2"/>
  <c r="Q65" i="2"/>
  <c r="AM52" i="9"/>
  <c r="Z34" i="9"/>
  <c r="AM54" i="9"/>
  <c r="AM53" i="9"/>
  <c r="AM51" i="9"/>
  <c r="AM50" i="9"/>
  <c r="AM66" i="9" s="1"/>
  <c r="AM49" i="9"/>
  <c r="AM29" i="9"/>
  <c r="AM55" i="9"/>
  <c r="AM56" i="9"/>
  <c r="AM57" i="9"/>
  <c r="P68" i="9"/>
  <c r="Q68" i="9"/>
  <c r="AI63" i="2"/>
  <c r="AI61" i="2"/>
  <c r="P89" i="2"/>
  <c r="O65" i="2"/>
  <c r="R92" i="9"/>
  <c r="O92" i="9"/>
  <c r="C151" i="13"/>
  <c r="C142" i="13"/>
  <c r="C143" i="13" s="1"/>
  <c r="C144" i="13" s="1"/>
  <c r="C145" i="13" s="1"/>
  <c r="C146" i="13" s="1"/>
  <c r="C147" i="13" s="1"/>
  <c r="C148" i="13" s="1"/>
  <c r="C149" i="13" s="1"/>
  <c r="C150" i="13" s="1"/>
  <c r="K131" i="13"/>
  <c r="I141" i="13" s="1"/>
  <c r="F33" i="13"/>
  <c r="E34" i="13"/>
  <c r="F132" i="13"/>
  <c r="E133" i="13"/>
  <c r="G132" i="13"/>
  <c r="J132" i="13" s="1"/>
  <c r="G42" i="13"/>
  <c r="H41" i="13"/>
  <c r="R68" i="9"/>
  <c r="O68" i="9"/>
  <c r="C61" i="13"/>
  <c r="C62" i="13" s="1"/>
  <c r="C63" i="13" s="1"/>
  <c r="C64" i="13" s="1"/>
  <c r="C65" i="13" s="1"/>
  <c r="C66" i="13" s="1"/>
  <c r="C67" i="13" s="1"/>
  <c r="C68" i="13" s="1"/>
  <c r="C69" i="13" s="1"/>
  <c r="C70" i="13"/>
  <c r="V54" i="2"/>
  <c r="V121" i="2"/>
  <c r="AB66" i="2"/>
  <c r="V123" i="2"/>
  <c r="V29" i="2"/>
  <c r="AF66" i="2"/>
  <c r="V53" i="2"/>
  <c r="V51" i="2"/>
  <c r="V102" i="2"/>
  <c r="V77" i="2"/>
  <c r="J66" i="2"/>
  <c r="AI66" i="2"/>
  <c r="V100" i="2"/>
  <c r="V74" i="2"/>
  <c r="AP12" i="2"/>
  <c r="AO12" i="2" s="1"/>
  <c r="V113" i="2"/>
  <c r="V39" i="2"/>
  <c r="L66" i="2"/>
  <c r="AD66" i="2"/>
  <c r="V111" i="2"/>
  <c r="V120" i="2"/>
  <c r="V107" i="2"/>
  <c r="V124" i="2"/>
  <c r="V115" i="2"/>
  <c r="V27" i="2"/>
  <c r="AH66" i="2"/>
  <c r="V40" i="2"/>
  <c r="V55" i="2"/>
  <c r="V116" i="2"/>
  <c r="H66" i="2"/>
  <c r="AC66" i="2"/>
  <c r="V26" i="2"/>
  <c r="V75" i="2"/>
  <c r="V41" i="2"/>
  <c r="V30" i="2"/>
  <c r="V42" i="2"/>
  <c r="V117" i="2"/>
  <c r="V81" i="2"/>
  <c r="K66" i="2"/>
  <c r="V38" i="2"/>
  <c r="AE66" i="2"/>
  <c r="V45" i="2"/>
  <c r="V104" i="2"/>
  <c r="E66" i="2"/>
  <c r="V118" i="2"/>
  <c r="V79" i="2"/>
  <c r="AP12" i="9"/>
  <c r="AO12" i="9" s="1"/>
  <c r="V76" i="2"/>
  <c r="V109" i="2"/>
  <c r="F66" i="2"/>
  <c r="V110" i="2"/>
  <c r="V108" i="2"/>
  <c r="V52" i="2"/>
  <c r="AG66" i="2"/>
  <c r="S35" i="2"/>
  <c r="V49" i="2"/>
  <c r="V80" i="2"/>
  <c r="V106" i="2"/>
  <c r="D66" i="2"/>
  <c r="V101" i="2"/>
  <c r="V44" i="2"/>
  <c r="V105" i="2"/>
  <c r="M66" i="2"/>
  <c r="V65" i="2"/>
  <c r="V82" i="2"/>
  <c r="V50" i="2"/>
  <c r="V122" i="2"/>
  <c r="V56" i="2"/>
  <c r="V28" i="2"/>
  <c r="V64" i="2"/>
  <c r="V119" i="2"/>
  <c r="V60" i="2"/>
  <c r="V61" i="2"/>
  <c r="V78" i="2"/>
  <c r="V47" i="2"/>
  <c r="V43" i="2"/>
  <c r="V46" i="2"/>
  <c r="V63" i="2"/>
  <c r="V114" i="2"/>
  <c r="G66" i="2"/>
  <c r="I66" i="2"/>
  <c r="V57" i="2"/>
  <c r="V103" i="2"/>
  <c r="V59" i="2"/>
  <c r="V85" i="2"/>
  <c r="V89" i="2"/>
  <c r="V62" i="2"/>
  <c r="V86" i="2"/>
  <c r="V84" i="2"/>
  <c r="V87" i="2"/>
  <c r="V88" i="2"/>
  <c r="AI60" i="2"/>
  <c r="G105" i="13"/>
  <c r="H104" i="13"/>
  <c r="J104" i="13"/>
  <c r="AL59" i="19"/>
  <c r="AL66" i="19"/>
  <c r="T89" i="2"/>
  <c r="R89" i="2"/>
  <c r="T65" i="2"/>
  <c r="K13" i="13"/>
  <c r="H14" i="13"/>
  <c r="G15" i="13"/>
  <c r="J14" i="13"/>
  <c r="E151" i="13"/>
  <c r="E142" i="13"/>
  <c r="F141" i="13"/>
  <c r="J141" i="13"/>
  <c r="F42" i="13"/>
  <c r="E43" i="13"/>
  <c r="E106" i="13"/>
  <c r="F106" i="13" s="1"/>
  <c r="C106" i="13"/>
  <c r="F93" i="9"/>
  <c r="J93" i="9"/>
  <c r="G93" i="9"/>
  <c r="D93" i="9"/>
  <c r="K93" i="9"/>
  <c r="E93" i="9"/>
  <c r="L93" i="9"/>
  <c r="M93" i="9"/>
  <c r="I93" i="9"/>
  <c r="H93" i="9"/>
  <c r="AJ8" i="19"/>
  <c r="AK10" i="19"/>
  <c r="P92" i="19"/>
  <c r="U92" i="19"/>
  <c r="Q89" i="2"/>
  <c r="D151" i="13"/>
  <c r="D142" i="13"/>
  <c r="D143" i="13" s="1"/>
  <c r="D144" i="13" s="1"/>
  <c r="D145" i="13" s="1"/>
  <c r="D146" i="13" s="1"/>
  <c r="D147" i="13" s="1"/>
  <c r="D148" i="13" s="1"/>
  <c r="D149" i="13" s="1"/>
  <c r="D150" i="13" s="1"/>
  <c r="Q92" i="9"/>
  <c r="P92" i="9"/>
  <c r="E70" i="13"/>
  <c r="F60" i="13"/>
  <c r="E61" i="13"/>
  <c r="J60" i="13"/>
  <c r="AJ51" i="2"/>
  <c r="AK26" i="2"/>
  <c r="AJ53" i="2"/>
  <c r="AJ29" i="2"/>
  <c r="W34" i="2"/>
  <c r="AJ56" i="2"/>
  <c r="AJ54" i="2"/>
  <c r="AJ49" i="2"/>
  <c r="AJ52" i="2"/>
  <c r="AJ50" i="2"/>
  <c r="AJ57" i="2"/>
  <c r="AJ55" i="2"/>
  <c r="Q92" i="19"/>
  <c r="T92" i="19"/>
  <c r="H32" i="13"/>
  <c r="G33" i="13"/>
  <c r="J32" i="13"/>
  <c r="O68" i="19"/>
  <c r="V68" i="19"/>
  <c r="Q68" i="19"/>
  <c r="T68" i="19"/>
  <c r="AI65" i="2"/>
  <c r="Y40" i="9"/>
  <c r="Y77" i="9"/>
  <c r="Y113" i="9"/>
  <c r="Y108" i="9"/>
  <c r="I69" i="9"/>
  <c r="Y105" i="9"/>
  <c r="Y47" i="9"/>
  <c r="Y26" i="9"/>
  <c r="Y52" i="9"/>
  <c r="Y75" i="9"/>
  <c r="Y76" i="9"/>
  <c r="Y59" i="9"/>
  <c r="Y123" i="9"/>
  <c r="Y38" i="9"/>
  <c r="F69" i="9"/>
  <c r="Y120" i="9"/>
  <c r="AJ69" i="9"/>
  <c r="Y50" i="9"/>
  <c r="Y79" i="9"/>
  <c r="Y124" i="9"/>
  <c r="Y122" i="9"/>
  <c r="Y65" i="9"/>
  <c r="Y116" i="9"/>
  <c r="Y81" i="9"/>
  <c r="M69" i="9"/>
  <c r="J69" i="9"/>
  <c r="Y39" i="9"/>
  <c r="AG69" i="9"/>
  <c r="AF69" i="9"/>
  <c r="Y80" i="9"/>
  <c r="Y100" i="9"/>
  <c r="AC69" i="9"/>
  <c r="Y62" i="9"/>
  <c r="Y111" i="9"/>
  <c r="D69" i="9"/>
  <c r="Y107" i="9"/>
  <c r="K69" i="9"/>
  <c r="Y56" i="9"/>
  <c r="Y117" i="9"/>
  <c r="Y45" i="9"/>
  <c r="Y42" i="9"/>
  <c r="Y74" i="9"/>
  <c r="Y82" i="9"/>
  <c r="Y63" i="9"/>
  <c r="AM69" i="9"/>
  <c r="AB69" i="9"/>
  <c r="Y78" i="9"/>
  <c r="E69" i="9"/>
  <c r="AD69" i="9"/>
  <c r="Y102" i="9"/>
  <c r="Y106" i="9"/>
  <c r="Y41" i="9"/>
  <c r="Y54" i="9"/>
  <c r="Y49" i="9"/>
  <c r="Y43" i="9"/>
  <c r="H69" i="9"/>
  <c r="AL69" i="9"/>
  <c r="Y30" i="9"/>
  <c r="Y29" i="9"/>
  <c r="Y101" i="9"/>
  <c r="G69" i="9"/>
  <c r="Y57" i="9"/>
  <c r="Y110" i="9"/>
  <c r="Y104" i="9"/>
  <c r="Y103" i="9"/>
  <c r="Y46" i="9"/>
  <c r="AI69" i="9"/>
  <c r="Y115" i="9"/>
  <c r="Y44" i="9"/>
  <c r="Y55" i="9"/>
  <c r="AK69" i="9"/>
  <c r="L69" i="9"/>
  <c r="Y51" i="9"/>
  <c r="Y28" i="9"/>
  <c r="Y118" i="9"/>
  <c r="Y61" i="9"/>
  <c r="Y121" i="9"/>
  <c r="Y53" i="9"/>
  <c r="Y109" i="9"/>
  <c r="Y114" i="9"/>
  <c r="AH69" i="9"/>
  <c r="P35" i="9"/>
  <c r="Y119" i="9"/>
  <c r="Y27" i="9"/>
  <c r="AE69" i="9"/>
  <c r="Y86" i="9"/>
  <c r="Y60" i="9"/>
  <c r="Y91" i="9"/>
  <c r="Y64" i="9"/>
  <c r="Y92" i="9"/>
  <c r="Y89" i="9"/>
  <c r="Y67" i="9"/>
  <c r="Y66" i="9"/>
  <c r="Y68" i="9"/>
  <c r="Y90" i="9"/>
  <c r="Y84" i="9"/>
  <c r="Y87" i="9"/>
  <c r="Y88" i="9"/>
  <c r="Y85" i="9"/>
  <c r="F123" i="13"/>
  <c r="E124" i="13"/>
  <c r="D70" i="13"/>
  <c r="D61" i="13"/>
  <c r="D62" i="13" s="1"/>
  <c r="D63" i="13" s="1"/>
  <c r="D64" i="13" s="1"/>
  <c r="D65" i="13" s="1"/>
  <c r="D66" i="13" s="1"/>
  <c r="D67" i="13" s="1"/>
  <c r="D68" i="13" s="1"/>
  <c r="D69" i="13" s="1"/>
  <c r="AI64" i="2"/>
  <c r="O92" i="19"/>
  <c r="V92" i="19"/>
  <c r="K50" i="13"/>
  <c r="I60" i="13" s="1"/>
  <c r="K60" i="13" s="1"/>
  <c r="I70" i="13" s="1"/>
  <c r="AL61" i="19"/>
  <c r="AL64" i="19"/>
  <c r="P68" i="19"/>
  <c r="U68" i="19"/>
  <c r="R65" i="2"/>
  <c r="AL61" i="9"/>
  <c r="AL60" i="9"/>
  <c r="K103" i="13"/>
  <c r="G51" i="13"/>
  <c r="J51" i="13" s="1"/>
  <c r="F51" i="13"/>
  <c r="E52" i="13"/>
  <c r="G24" i="13"/>
  <c r="H23" i="13"/>
  <c r="J23" i="13"/>
  <c r="AI59" i="2"/>
  <c r="E16" i="13"/>
  <c r="F16" i="13" s="1"/>
  <c r="C16" i="13"/>
  <c r="Y59" i="19"/>
  <c r="Y91" i="19"/>
  <c r="Y60" i="19"/>
  <c r="AJ69" i="19"/>
  <c r="Y56" i="19"/>
  <c r="Y54" i="19"/>
  <c r="Y115" i="19"/>
  <c r="Y29" i="19"/>
  <c r="Y80" i="19"/>
  <c r="Y105" i="19"/>
  <c r="Y42" i="19"/>
  <c r="Y53" i="19"/>
  <c r="AD69" i="19"/>
  <c r="Y122" i="19"/>
  <c r="AB69" i="19"/>
  <c r="Y49" i="19"/>
  <c r="Y46" i="19"/>
  <c r="Y77" i="19"/>
  <c r="Y52" i="19"/>
  <c r="AC69" i="19"/>
  <c r="Y119" i="19"/>
  <c r="Y109" i="19"/>
  <c r="I69" i="19"/>
  <c r="Y27" i="19"/>
  <c r="Y114" i="19"/>
  <c r="Y76" i="19"/>
  <c r="P35" i="19"/>
  <c r="Y40" i="19"/>
  <c r="AH69" i="19"/>
  <c r="Y45" i="19"/>
  <c r="D69" i="19"/>
  <c r="AL69" i="19"/>
  <c r="Y81" i="19"/>
  <c r="Y30" i="19"/>
  <c r="Y28" i="19"/>
  <c r="Y61" i="19"/>
  <c r="Y104" i="19"/>
  <c r="J69" i="19"/>
  <c r="W69" i="19" s="1"/>
  <c r="K69" i="19"/>
  <c r="X69" i="19" s="1"/>
  <c r="Y111" i="19"/>
  <c r="Y74" i="19"/>
  <c r="Y118" i="19"/>
  <c r="E69" i="19"/>
  <c r="S69" i="19" s="1"/>
  <c r="L69" i="19"/>
  <c r="Y51" i="19"/>
  <c r="H69" i="19"/>
  <c r="Y47" i="19"/>
  <c r="Y79" i="19"/>
  <c r="Y123" i="19"/>
  <c r="Y44" i="19"/>
  <c r="Y75" i="19"/>
  <c r="Y116" i="19"/>
  <c r="M69" i="19"/>
  <c r="AK69" i="19"/>
  <c r="Y124" i="19"/>
  <c r="Y108" i="19"/>
  <c r="G69" i="19"/>
  <c r="Y106" i="19"/>
  <c r="AI69" i="19"/>
  <c r="Y100" i="19"/>
  <c r="Y120" i="19"/>
  <c r="Y121" i="19"/>
  <c r="Y110" i="19"/>
  <c r="Y117" i="19"/>
  <c r="Y107" i="19"/>
  <c r="Y41" i="19"/>
  <c r="Y113" i="19"/>
  <c r="AG69" i="19"/>
  <c r="Y103" i="19"/>
  <c r="Y102" i="19"/>
  <c r="Y82" i="19"/>
  <c r="Y43" i="19"/>
  <c r="Y64" i="19"/>
  <c r="F69" i="19"/>
  <c r="R69" i="19" s="1"/>
  <c r="AE69" i="19"/>
  <c r="Y78" i="19"/>
  <c r="Y50" i="19"/>
  <c r="Y38" i="19"/>
  <c r="Y39" i="19"/>
  <c r="AF69" i="19"/>
  <c r="Y55" i="19"/>
  <c r="Y84" i="19"/>
  <c r="Y57" i="19"/>
  <c r="Y85" i="19"/>
  <c r="Y101" i="19"/>
  <c r="Y92" i="19"/>
  <c r="Y67" i="19"/>
  <c r="Y26" i="19"/>
  <c r="Y66" i="19"/>
  <c r="Y63" i="19"/>
  <c r="Y89" i="19"/>
  <c r="Y68" i="19"/>
  <c r="Y62" i="19"/>
  <c r="Y87" i="19"/>
  <c r="Y65" i="19"/>
  <c r="Y90" i="19"/>
  <c r="Y88" i="19"/>
  <c r="Y86" i="19"/>
  <c r="Z34" i="19"/>
  <c r="AM29" i="19"/>
  <c r="AM50" i="19"/>
  <c r="AM62" i="19" s="1"/>
  <c r="AM53" i="19"/>
  <c r="AM56" i="19"/>
  <c r="AM54" i="19"/>
  <c r="AM67" i="19" s="1"/>
  <c r="AM51" i="19"/>
  <c r="AM57" i="19"/>
  <c r="AM52" i="19"/>
  <c r="AM49" i="19"/>
  <c r="AM63" i="19" s="1"/>
  <c r="AM55" i="19"/>
  <c r="AM68" i="19" s="1"/>
  <c r="O89" i="2"/>
  <c r="K93" i="19"/>
  <c r="X93" i="19" s="1"/>
  <c r="I93" i="19"/>
  <c r="J93" i="19"/>
  <c r="W93" i="19" s="1"/>
  <c r="D93" i="19"/>
  <c r="E93" i="19"/>
  <c r="S93" i="19" s="1"/>
  <c r="L93" i="19"/>
  <c r="H93" i="19"/>
  <c r="F93" i="19"/>
  <c r="R93" i="19" s="1"/>
  <c r="M93" i="19"/>
  <c r="G93" i="19"/>
  <c r="U89" i="2"/>
  <c r="G123" i="13"/>
  <c r="H122" i="13"/>
  <c r="AJ7" i="2"/>
  <c r="AK8" i="2"/>
  <c r="I118" i="7"/>
  <c r="W82" i="7"/>
  <c r="W130" i="7"/>
  <c r="W141" i="7"/>
  <c r="W143" i="7"/>
  <c r="W60" i="7"/>
  <c r="W66" i="7"/>
  <c r="W104" i="7"/>
  <c r="N94" i="7"/>
  <c r="W75" i="7"/>
  <c r="U117" i="7"/>
  <c r="AL60" i="7"/>
  <c r="AK78" i="7"/>
  <c r="G118" i="7"/>
  <c r="W149" i="7"/>
  <c r="W67" i="7"/>
  <c r="W103" i="7"/>
  <c r="AF94" i="7"/>
  <c r="W77" i="7"/>
  <c r="J94" i="7"/>
  <c r="W116" i="7"/>
  <c r="S117" i="7"/>
  <c r="AK81" i="7"/>
  <c r="AK85" i="7"/>
  <c r="AJ92" i="7"/>
  <c r="S93" i="7"/>
  <c r="AJ90" i="7"/>
  <c r="F118" i="7"/>
  <c r="T117" i="7"/>
  <c r="AC94" i="7"/>
  <c r="W105" i="7"/>
  <c r="M94" i="7"/>
  <c r="AI94" i="7"/>
  <c r="W69" i="7"/>
  <c r="W73" i="7"/>
  <c r="W137" i="7"/>
  <c r="W108" i="7"/>
  <c r="W93" i="7"/>
  <c r="W85" i="7"/>
  <c r="W114" i="7"/>
  <c r="AJ88" i="7"/>
  <c r="U93" i="7"/>
  <c r="AK83" i="7"/>
  <c r="V93" i="7"/>
  <c r="K118" i="7"/>
  <c r="T93" i="7"/>
  <c r="AJ91" i="7"/>
  <c r="W151" i="7"/>
  <c r="K94" i="7"/>
  <c r="AE94" i="7"/>
  <c r="W68" i="7"/>
  <c r="W132" i="7"/>
  <c r="G94" i="7"/>
  <c r="W134" i="7"/>
  <c r="W110" i="7"/>
  <c r="W92" i="7"/>
  <c r="W71" i="7"/>
  <c r="W131" i="7"/>
  <c r="W112" i="7"/>
  <c r="AJ87" i="7"/>
  <c r="N118" i="7"/>
  <c r="M118" i="7"/>
  <c r="Q93" i="7"/>
  <c r="AJ89" i="7"/>
  <c r="AJ94" i="7"/>
  <c r="W139" i="7"/>
  <c r="W83" i="7"/>
  <c r="W70" i="7"/>
  <c r="O94" i="7"/>
  <c r="F94" i="7"/>
  <c r="AB94" i="7"/>
  <c r="W138" i="7"/>
  <c r="E94" i="7"/>
  <c r="W78" i="7"/>
  <c r="W147" i="7"/>
  <c r="W74" i="7"/>
  <c r="W87" i="7"/>
  <c r="W115" i="7"/>
  <c r="AK84" i="7"/>
  <c r="AJ93" i="7"/>
  <c r="V117" i="7"/>
  <c r="H118" i="7"/>
  <c r="J118" i="7"/>
  <c r="R93" i="7"/>
  <c r="Q117" i="7"/>
  <c r="AG94" i="7"/>
  <c r="W128" i="7"/>
  <c r="W148" i="7"/>
  <c r="W144" i="7"/>
  <c r="W145" i="7"/>
  <c r="W146" i="7"/>
  <c r="W136" i="7"/>
  <c r="W129" i="7"/>
  <c r="W88" i="7"/>
  <c r="W91" i="7"/>
  <c r="W113" i="7"/>
  <c r="AK82" i="7"/>
  <c r="L118" i="7"/>
  <c r="P93" i="7"/>
  <c r="W81" i="7"/>
  <c r="W102" i="7"/>
  <c r="W135" i="7"/>
  <c r="I94" i="7"/>
  <c r="W109" i="7"/>
  <c r="W107" i="7"/>
  <c r="W80" i="7"/>
  <c r="W72" i="7"/>
  <c r="W150" i="7"/>
  <c r="W89" i="7"/>
  <c r="W142" i="7"/>
  <c r="W117" i="7"/>
  <c r="R117" i="7"/>
  <c r="AK77" i="7"/>
  <c r="E118" i="7"/>
  <c r="W79" i="7"/>
  <c r="W152" i="7"/>
  <c r="AD94" i="7"/>
  <c r="L94" i="7"/>
  <c r="AH94" i="7"/>
  <c r="W133" i="7"/>
  <c r="W84" i="7"/>
  <c r="W106" i="7"/>
  <c r="H94" i="7"/>
  <c r="W90" i="7"/>
  <c r="AK79" i="7"/>
  <c r="AK80" i="7"/>
  <c r="P117" i="7"/>
  <c r="V93" i="9" l="1"/>
  <c r="V66" i="2"/>
  <c r="W69" i="9"/>
  <c r="S93" i="9"/>
  <c r="T69" i="9"/>
  <c r="W93" i="9"/>
  <c r="AM67" i="9"/>
  <c r="V69" i="9"/>
  <c r="AM63" i="9"/>
  <c r="S69" i="9"/>
  <c r="T93" i="9"/>
  <c r="AM64" i="9"/>
  <c r="V90" i="2"/>
  <c r="Y69" i="9"/>
  <c r="Y69" i="19"/>
  <c r="Y93" i="9"/>
  <c r="AI6" i="2"/>
  <c r="AI4" i="2" s="1"/>
  <c r="AK6" i="2"/>
  <c r="Y93" i="19"/>
  <c r="G94" i="19"/>
  <c r="L94" i="19"/>
  <c r="I94" i="19"/>
  <c r="M94" i="19"/>
  <c r="H94" i="19"/>
  <c r="K94" i="19"/>
  <c r="D94" i="19"/>
  <c r="J94" i="19"/>
  <c r="W94" i="19" s="1"/>
  <c r="E94" i="19"/>
  <c r="S94" i="19" s="1"/>
  <c r="F94" i="19"/>
  <c r="R94" i="19" s="1"/>
  <c r="Q69" i="19"/>
  <c r="T69" i="19"/>
  <c r="F52" i="13"/>
  <c r="E53" i="13"/>
  <c r="D71" i="13"/>
  <c r="D72" i="13" s="1"/>
  <c r="D73" i="13" s="1"/>
  <c r="D74" i="13" s="1"/>
  <c r="D75" i="13" s="1"/>
  <c r="D76" i="13" s="1"/>
  <c r="D77" i="13" s="1"/>
  <c r="D78" i="13" s="1"/>
  <c r="D79" i="13" s="1"/>
  <c r="D80" i="13"/>
  <c r="AJ62" i="2"/>
  <c r="AJ61" i="2"/>
  <c r="D152" i="13"/>
  <c r="D153" i="13" s="1"/>
  <c r="D154" i="13" s="1"/>
  <c r="D155" i="13" s="1"/>
  <c r="D156" i="13" s="1"/>
  <c r="D157" i="13" s="1"/>
  <c r="D158" i="13" s="1"/>
  <c r="D159" i="13" s="1"/>
  <c r="D160" i="13" s="1"/>
  <c r="D161" i="13"/>
  <c r="C107" i="13"/>
  <c r="E107" i="13"/>
  <c r="F107" i="13" s="1"/>
  <c r="Q66" i="2"/>
  <c r="U66" i="2"/>
  <c r="C80" i="13"/>
  <c r="C71" i="13"/>
  <c r="C72" i="13" s="1"/>
  <c r="C73" i="13" s="1"/>
  <c r="C74" i="13" s="1"/>
  <c r="C75" i="13" s="1"/>
  <c r="C76" i="13" s="1"/>
  <c r="C77" i="13" s="1"/>
  <c r="C78" i="13" s="1"/>
  <c r="C79" i="13" s="1"/>
  <c r="Z64" i="9"/>
  <c r="Z40" i="9"/>
  <c r="Z42" i="9"/>
  <c r="Z120" i="9"/>
  <c r="Z43" i="9"/>
  <c r="AD70" i="9"/>
  <c r="Z115" i="9"/>
  <c r="E70" i="9"/>
  <c r="Z103" i="9"/>
  <c r="AF70" i="9"/>
  <c r="Z122" i="9"/>
  <c r="AG70" i="9"/>
  <c r="Z67" i="9"/>
  <c r="Z69" i="9"/>
  <c r="Z27" i="9"/>
  <c r="Z105" i="9"/>
  <c r="Z54" i="9"/>
  <c r="Z121" i="9"/>
  <c r="Z102" i="9"/>
  <c r="Z44" i="9"/>
  <c r="Z100" i="9"/>
  <c r="Z60" i="9"/>
  <c r="Z75" i="9"/>
  <c r="Z57" i="9"/>
  <c r="Z62" i="9"/>
  <c r="D70" i="9"/>
  <c r="AL70" i="9"/>
  <c r="Z55" i="9"/>
  <c r="Z110" i="9"/>
  <c r="Z101" i="9"/>
  <c r="AC70" i="9"/>
  <c r="Z108" i="9"/>
  <c r="Z117" i="9"/>
  <c r="Z28" i="9"/>
  <c r="Z41" i="9"/>
  <c r="Z47" i="9"/>
  <c r="L70" i="9"/>
  <c r="Z26" i="9"/>
  <c r="J70" i="9"/>
  <c r="Z107" i="9"/>
  <c r="Z124" i="9"/>
  <c r="H70" i="9"/>
  <c r="Z53" i="9"/>
  <c r="AB70" i="9"/>
  <c r="Z39" i="9"/>
  <c r="Z56" i="9"/>
  <c r="Z46" i="9"/>
  <c r="Z68" i="9"/>
  <c r="I70" i="9"/>
  <c r="K70" i="9"/>
  <c r="Z52" i="9"/>
  <c r="Z119" i="9"/>
  <c r="Z81" i="9"/>
  <c r="Z50" i="9"/>
  <c r="Z106" i="9"/>
  <c r="Z59" i="9"/>
  <c r="G70" i="9"/>
  <c r="Z63" i="9"/>
  <c r="Z116" i="9"/>
  <c r="Z109" i="9"/>
  <c r="Z80" i="9"/>
  <c r="Z77" i="9"/>
  <c r="Z79" i="9"/>
  <c r="Z123" i="9"/>
  <c r="Z78" i="9"/>
  <c r="Z74" i="9"/>
  <c r="Z65" i="9"/>
  <c r="O35" i="9"/>
  <c r="Z104" i="9"/>
  <c r="Z49" i="9"/>
  <c r="Z45" i="9"/>
  <c r="AE70" i="9"/>
  <c r="AH70" i="9"/>
  <c r="M70" i="9"/>
  <c r="AM70" i="9"/>
  <c r="Z111" i="9"/>
  <c r="Z51" i="9"/>
  <c r="Z118" i="9"/>
  <c r="AK70" i="9"/>
  <c r="Z113" i="9"/>
  <c r="AJ70" i="9"/>
  <c r="F70" i="9"/>
  <c r="Z76" i="9"/>
  <c r="Z29" i="9"/>
  <c r="Z30" i="9"/>
  <c r="AI70" i="9"/>
  <c r="Z114" i="9"/>
  <c r="Z38" i="9"/>
  <c r="Z87" i="9"/>
  <c r="Z66" i="9"/>
  <c r="Z61" i="9"/>
  <c r="Z84" i="9"/>
  <c r="Z82" i="9"/>
  <c r="Z90" i="9"/>
  <c r="Z91" i="9"/>
  <c r="Z86" i="9"/>
  <c r="Z93" i="9"/>
  <c r="Z89" i="9"/>
  <c r="Z92" i="9"/>
  <c r="Z85" i="9"/>
  <c r="Z88" i="9"/>
  <c r="Q93" i="19"/>
  <c r="T93" i="19"/>
  <c r="Z59" i="19"/>
  <c r="Z62" i="19"/>
  <c r="Z101" i="19"/>
  <c r="AG70" i="19"/>
  <c r="Z56" i="19"/>
  <c r="Z108" i="19"/>
  <c r="AE70" i="19"/>
  <c r="Z111" i="19"/>
  <c r="Z77" i="19"/>
  <c r="Z120" i="19"/>
  <c r="AF70" i="19"/>
  <c r="Z47" i="19"/>
  <c r="Z78" i="19"/>
  <c r="K70" i="19"/>
  <c r="Z49" i="19"/>
  <c r="Z104" i="19"/>
  <c r="Z52" i="19"/>
  <c r="Z103" i="19"/>
  <c r="Z43" i="19"/>
  <c r="M70" i="19"/>
  <c r="Z82" i="19"/>
  <c r="Z50" i="19"/>
  <c r="AK70" i="19"/>
  <c r="AJ70" i="19"/>
  <c r="O35" i="19"/>
  <c r="Z100" i="19"/>
  <c r="Z45" i="19"/>
  <c r="Z74" i="19"/>
  <c r="Z53" i="19"/>
  <c r="Z42" i="19"/>
  <c r="F70" i="19"/>
  <c r="R70" i="19" s="1"/>
  <c r="Z106" i="19"/>
  <c r="Z121" i="19"/>
  <c r="Z124" i="19"/>
  <c r="H70" i="19"/>
  <c r="AH70" i="19"/>
  <c r="Z55" i="19"/>
  <c r="Z113" i="19"/>
  <c r="Z27" i="19"/>
  <c r="I70" i="19"/>
  <c r="Z39" i="19"/>
  <c r="Z85" i="19"/>
  <c r="Z64" i="19"/>
  <c r="Z105" i="19"/>
  <c r="Z75" i="19"/>
  <c r="Z40" i="19"/>
  <c r="Z114" i="19"/>
  <c r="AM70" i="19"/>
  <c r="Z115" i="19"/>
  <c r="E70" i="19"/>
  <c r="S70" i="19" s="1"/>
  <c r="AL70" i="19"/>
  <c r="Z57" i="19"/>
  <c r="Z123" i="19"/>
  <c r="AD70" i="19"/>
  <c r="Z116" i="19"/>
  <c r="Z26" i="19"/>
  <c r="Z29" i="19"/>
  <c r="Z118" i="19"/>
  <c r="Z109" i="19"/>
  <c r="Z117" i="19"/>
  <c r="J70" i="19"/>
  <c r="W70" i="19" s="1"/>
  <c r="Z80" i="19"/>
  <c r="Z89" i="19"/>
  <c r="AB70" i="19"/>
  <c r="Z122" i="19"/>
  <c r="Z79" i="19"/>
  <c r="Z76" i="19"/>
  <c r="AC70" i="19"/>
  <c r="D70" i="19"/>
  <c r="L70" i="19"/>
  <c r="Z28" i="19"/>
  <c r="Z30" i="19"/>
  <c r="G70" i="19"/>
  <c r="Z81" i="19"/>
  <c r="Z110" i="19"/>
  <c r="AI70" i="19"/>
  <c r="Z119" i="19"/>
  <c r="Z46" i="19"/>
  <c r="Z44" i="19"/>
  <c r="Z51" i="19"/>
  <c r="Z41" i="19"/>
  <c r="Z61" i="19"/>
  <c r="Z68" i="19"/>
  <c r="Z65" i="19"/>
  <c r="Z54" i="19"/>
  <c r="Z38" i="19"/>
  <c r="Z107" i="19"/>
  <c r="Z69" i="19"/>
  <c r="Z102" i="19"/>
  <c r="Z67" i="19"/>
  <c r="Z63" i="19"/>
  <c r="Z66" i="19"/>
  <c r="Z92" i="19"/>
  <c r="Z60" i="19"/>
  <c r="Z88" i="19"/>
  <c r="Z93" i="19"/>
  <c r="Z84" i="19"/>
  <c r="Z87" i="19"/>
  <c r="Z91" i="19"/>
  <c r="Z86" i="19"/>
  <c r="Z90" i="19"/>
  <c r="E125" i="13"/>
  <c r="F124" i="13"/>
  <c r="R69" i="9"/>
  <c r="O69" i="9"/>
  <c r="H33" i="13"/>
  <c r="G34" i="13"/>
  <c r="J33" i="13"/>
  <c r="AJ60" i="2"/>
  <c r="R66" i="2"/>
  <c r="E35" i="13"/>
  <c r="F34" i="13"/>
  <c r="AM60" i="9"/>
  <c r="AM61" i="9"/>
  <c r="AJ8" i="9"/>
  <c r="AK10" i="9"/>
  <c r="U90" i="2"/>
  <c r="P93" i="19"/>
  <c r="U93" i="19"/>
  <c r="AM60" i="19"/>
  <c r="AM65" i="19"/>
  <c r="AM69" i="19"/>
  <c r="C17" i="13"/>
  <c r="E17" i="13"/>
  <c r="F17" i="13" s="1"/>
  <c r="G52" i="13"/>
  <c r="H51" i="13"/>
  <c r="AJ64" i="2"/>
  <c r="E62" i="13"/>
  <c r="G61" i="13"/>
  <c r="F61" i="13"/>
  <c r="E44" i="13"/>
  <c r="F43" i="13"/>
  <c r="G16" i="13"/>
  <c r="H15" i="13"/>
  <c r="J15" i="13"/>
  <c r="S90" i="2"/>
  <c r="Q90" i="2"/>
  <c r="G124" i="13"/>
  <c r="H123" i="13"/>
  <c r="J123" i="13"/>
  <c r="AM61" i="19"/>
  <c r="AM64" i="19"/>
  <c r="O69" i="19"/>
  <c r="V69" i="19"/>
  <c r="B103" i="13"/>
  <c r="I104" i="13"/>
  <c r="K104" i="13" s="1"/>
  <c r="J94" i="9"/>
  <c r="K94" i="9"/>
  <c r="D94" i="9"/>
  <c r="I94" i="9"/>
  <c r="E94" i="9"/>
  <c r="G94" i="9"/>
  <c r="M94" i="9"/>
  <c r="H94" i="9"/>
  <c r="L94" i="9"/>
  <c r="F94" i="9"/>
  <c r="Q93" i="9"/>
  <c r="P93" i="9"/>
  <c r="P66" i="2"/>
  <c r="F25" i="13"/>
  <c r="E26" i="13"/>
  <c r="O93" i="19"/>
  <c r="V93" i="19"/>
  <c r="P69" i="19"/>
  <c r="U69" i="19"/>
  <c r="W50" i="2"/>
  <c r="W106" i="2"/>
  <c r="F67" i="2"/>
  <c r="W27" i="2"/>
  <c r="W105" i="2"/>
  <c r="W46" i="2"/>
  <c r="I67" i="2"/>
  <c r="AE67" i="2"/>
  <c r="W49" i="2"/>
  <c r="W124" i="2"/>
  <c r="W56" i="2"/>
  <c r="H67" i="2"/>
  <c r="W52" i="2"/>
  <c r="W118" i="2"/>
  <c r="W104" i="2"/>
  <c r="W74" i="2"/>
  <c r="W103" i="2"/>
  <c r="W78" i="2"/>
  <c r="AC67" i="2"/>
  <c r="W53" i="2"/>
  <c r="W115" i="2"/>
  <c r="W81" i="2"/>
  <c r="W121" i="2"/>
  <c r="W119" i="2"/>
  <c r="E67" i="2"/>
  <c r="W77" i="2"/>
  <c r="J67" i="2"/>
  <c r="W29" i="2"/>
  <c r="W75" i="2"/>
  <c r="AP13" i="2"/>
  <c r="AO13" i="2" s="1"/>
  <c r="W76" i="2"/>
  <c r="W41" i="2"/>
  <c r="W40" i="2"/>
  <c r="W51" i="2"/>
  <c r="W42" i="2"/>
  <c r="AI67" i="2"/>
  <c r="W102" i="2"/>
  <c r="W45" i="2"/>
  <c r="K67" i="2"/>
  <c r="W61" i="2"/>
  <c r="W79" i="2"/>
  <c r="AG67" i="2"/>
  <c r="AP13" i="9"/>
  <c r="AO13" i="9" s="1"/>
  <c r="W39" i="2"/>
  <c r="AB67" i="2"/>
  <c r="W108" i="2"/>
  <c r="G67" i="2"/>
  <c r="W110" i="2"/>
  <c r="W44" i="2"/>
  <c r="W38" i="2"/>
  <c r="W28" i="2"/>
  <c r="W109" i="2"/>
  <c r="W82" i="2"/>
  <c r="W84" i="2"/>
  <c r="W47" i="2"/>
  <c r="W80" i="2"/>
  <c r="W54" i="2"/>
  <c r="W59" i="2"/>
  <c r="M67" i="2"/>
  <c r="W123" i="2"/>
  <c r="AH67" i="2"/>
  <c r="AF67" i="2"/>
  <c r="W64" i="2"/>
  <c r="W87" i="2"/>
  <c r="D67" i="2"/>
  <c r="W101" i="2"/>
  <c r="W60" i="2"/>
  <c r="W116" i="2"/>
  <c r="R35" i="2"/>
  <c r="W113" i="2"/>
  <c r="W43" i="2"/>
  <c r="W111" i="2"/>
  <c r="W55" i="2"/>
  <c r="W117" i="2"/>
  <c r="W62" i="2"/>
  <c r="W100" i="2"/>
  <c r="W120" i="2"/>
  <c r="AD67" i="2"/>
  <c r="AJ67" i="2"/>
  <c r="W57" i="2"/>
  <c r="L67" i="2"/>
  <c r="W107" i="2"/>
  <c r="W114" i="2"/>
  <c r="W30" i="2"/>
  <c r="W122" i="2"/>
  <c r="W26" i="2"/>
  <c r="W90" i="2"/>
  <c r="W66" i="2"/>
  <c r="W88" i="2"/>
  <c r="W63" i="2"/>
  <c r="W89" i="2"/>
  <c r="W65" i="2"/>
  <c r="W85" i="2"/>
  <c r="W86" i="2"/>
  <c r="F70" i="13"/>
  <c r="E71" i="13"/>
  <c r="E80" i="13"/>
  <c r="J70" i="13"/>
  <c r="I14" i="13"/>
  <c r="K14" i="13" s="1"/>
  <c r="B13" i="13"/>
  <c r="H105" i="13"/>
  <c r="G106" i="13"/>
  <c r="J105" i="13"/>
  <c r="O66" i="2"/>
  <c r="T66" i="2"/>
  <c r="K141" i="13"/>
  <c r="I151" i="13" s="1"/>
  <c r="T90" i="2"/>
  <c r="U69" i="9"/>
  <c r="X69" i="9"/>
  <c r="AJ65" i="2"/>
  <c r="AK8" i="19"/>
  <c r="AJ7" i="19"/>
  <c r="U93" i="9"/>
  <c r="X93" i="9"/>
  <c r="H42" i="13"/>
  <c r="G43" i="13"/>
  <c r="J42" i="13"/>
  <c r="AM65" i="9"/>
  <c r="AM68" i="9"/>
  <c r="P90" i="2"/>
  <c r="AM59" i="19"/>
  <c r="AM66" i="19"/>
  <c r="Q69" i="9"/>
  <c r="P69" i="9"/>
  <c r="AJ63" i="2"/>
  <c r="R93" i="9"/>
  <c r="O93" i="9"/>
  <c r="G142" i="13"/>
  <c r="J142" i="13" s="1"/>
  <c r="F142" i="13"/>
  <c r="E143" i="13"/>
  <c r="S66" i="2"/>
  <c r="AJ66" i="2"/>
  <c r="G133" i="13"/>
  <c r="H132" i="13"/>
  <c r="C161" i="13"/>
  <c r="C152" i="13"/>
  <c r="C153" i="13" s="1"/>
  <c r="C154" i="13" s="1"/>
  <c r="C155" i="13" s="1"/>
  <c r="C156" i="13" s="1"/>
  <c r="C157" i="13" s="1"/>
  <c r="C158" i="13" s="1"/>
  <c r="C159" i="13" s="1"/>
  <c r="C160" i="13" s="1"/>
  <c r="O90" i="2"/>
  <c r="H24" i="13"/>
  <c r="G25" i="13"/>
  <c r="J24" i="13"/>
  <c r="AJ59" i="2"/>
  <c r="AL26" i="2"/>
  <c r="AK50" i="2"/>
  <c r="X34" i="2"/>
  <c r="AK53" i="2"/>
  <c r="AK51" i="2"/>
  <c r="AK56" i="2"/>
  <c r="AK54" i="2"/>
  <c r="AK67" i="2" s="1"/>
  <c r="AK49" i="2"/>
  <c r="AK29" i="2"/>
  <c r="AK57" i="2"/>
  <c r="AK55" i="2"/>
  <c r="AK52" i="2"/>
  <c r="F151" i="13"/>
  <c r="E161" i="13"/>
  <c r="E152" i="13"/>
  <c r="J151" i="13"/>
  <c r="G91" i="2"/>
  <c r="J91" i="2"/>
  <c r="D91" i="2"/>
  <c r="L91" i="2"/>
  <c r="M91" i="2"/>
  <c r="I91" i="2"/>
  <c r="E91" i="2"/>
  <c r="K91" i="2"/>
  <c r="H91" i="2"/>
  <c r="F91" i="2"/>
  <c r="E134" i="13"/>
  <c r="F133" i="13"/>
  <c r="AM62" i="9"/>
  <c r="AM59" i="9"/>
  <c r="F115" i="13"/>
  <c r="E116" i="13"/>
  <c r="R90" i="2"/>
  <c r="H114" i="13"/>
  <c r="G115" i="13"/>
  <c r="J114" i="13"/>
  <c r="W94" i="7"/>
  <c r="W118" i="7"/>
  <c r="AK89" i="7"/>
  <c r="R118" i="7"/>
  <c r="G95" i="7"/>
  <c r="X84" i="7"/>
  <c r="AD95" i="7"/>
  <c r="K95" i="7"/>
  <c r="X79" i="7"/>
  <c r="AH95" i="7"/>
  <c r="X66" i="7"/>
  <c r="E95" i="7"/>
  <c r="X148" i="7"/>
  <c r="X91" i="7"/>
  <c r="AK93" i="7"/>
  <c r="AM60" i="7"/>
  <c r="H119" i="7"/>
  <c r="I119" i="7"/>
  <c r="S118" i="7"/>
  <c r="AL85" i="7"/>
  <c r="G119" i="7"/>
  <c r="I95" i="7"/>
  <c r="X81" i="7"/>
  <c r="X70" i="7"/>
  <c r="X87" i="7"/>
  <c r="X129" i="7"/>
  <c r="X71" i="7"/>
  <c r="AE95" i="7"/>
  <c r="X150" i="7"/>
  <c r="AL78" i="7"/>
  <c r="K119" i="7"/>
  <c r="AL80" i="7"/>
  <c r="AK88" i="7"/>
  <c r="X133" i="7"/>
  <c r="X80" i="7"/>
  <c r="X143" i="7"/>
  <c r="X103" i="7"/>
  <c r="AJ95" i="7"/>
  <c r="X67" i="7"/>
  <c r="X137" i="7"/>
  <c r="N95" i="7"/>
  <c r="X139" i="7"/>
  <c r="AK95" i="7"/>
  <c r="X60" i="7"/>
  <c r="X117" i="7"/>
  <c r="P94" i="7"/>
  <c r="Q118" i="7"/>
  <c r="AL83" i="7"/>
  <c r="E119" i="7"/>
  <c r="M119" i="7"/>
  <c r="V118" i="7"/>
  <c r="X74" i="7"/>
  <c r="X146" i="7"/>
  <c r="X109" i="7"/>
  <c r="X130" i="7"/>
  <c r="AC95" i="7"/>
  <c r="X110" i="7"/>
  <c r="X151" i="7"/>
  <c r="X83" i="7"/>
  <c r="X85" i="7"/>
  <c r="X93" i="7"/>
  <c r="U94" i="7"/>
  <c r="P118" i="7"/>
  <c r="AL81" i="7"/>
  <c r="N119" i="7"/>
  <c r="S94" i="7"/>
  <c r="J95" i="7"/>
  <c r="X132" i="7"/>
  <c r="X149" i="7"/>
  <c r="X104" i="7"/>
  <c r="X73" i="7"/>
  <c r="X136" i="7"/>
  <c r="X112" i="7"/>
  <c r="AI95" i="7"/>
  <c r="X88" i="7"/>
  <c r="X145" i="7"/>
  <c r="M95" i="7"/>
  <c r="X118" i="7"/>
  <c r="X113" i="7"/>
  <c r="AL79" i="7"/>
  <c r="R94" i="7"/>
  <c r="AK92" i="7"/>
  <c r="AF95" i="7"/>
  <c r="X102" i="7"/>
  <c r="X147" i="7"/>
  <c r="X69" i="7"/>
  <c r="L95" i="7"/>
  <c r="H95" i="7"/>
  <c r="X75" i="7"/>
  <c r="AG95" i="7"/>
  <c r="X144" i="7"/>
  <c r="X90" i="7"/>
  <c r="X135" i="7"/>
  <c r="X114" i="7"/>
  <c r="U118" i="7"/>
  <c r="T94" i="7"/>
  <c r="AL84" i="7"/>
  <c r="J119" i="7"/>
  <c r="L119" i="7"/>
  <c r="V94" i="7"/>
  <c r="X78" i="7"/>
  <c r="X77" i="7"/>
  <c r="X131" i="7"/>
  <c r="O95" i="7"/>
  <c r="AB95" i="7"/>
  <c r="F95" i="7"/>
  <c r="X68" i="7"/>
  <c r="X89" i="7"/>
  <c r="X138" i="7"/>
  <c r="X108" i="7"/>
  <c r="X92" i="7"/>
  <c r="X142" i="7"/>
  <c r="X94" i="7"/>
  <c r="AK94" i="7"/>
  <c r="AL82" i="7"/>
  <c r="F119" i="7"/>
  <c r="AL77" i="7"/>
  <c r="AK90" i="7"/>
  <c r="T118" i="7"/>
  <c r="Q94" i="7"/>
  <c r="X134" i="7"/>
  <c r="X152" i="7"/>
  <c r="X106" i="7"/>
  <c r="X105" i="7"/>
  <c r="X107" i="7"/>
  <c r="X72" i="7"/>
  <c r="X82" i="7"/>
  <c r="X115" i="7"/>
  <c r="X141" i="7"/>
  <c r="X128" i="7"/>
  <c r="X116" i="7"/>
  <c r="AK91" i="7"/>
  <c r="AK87" i="7"/>
  <c r="AL95" i="7"/>
  <c r="V70" i="9" l="1"/>
  <c r="W94" i="9"/>
  <c r="V94" i="9"/>
  <c r="W70" i="9"/>
  <c r="S94" i="9"/>
  <c r="W91" i="2"/>
  <c r="S70" i="9"/>
  <c r="Z94" i="19"/>
  <c r="W67" i="2"/>
  <c r="Z70" i="9"/>
  <c r="M29" i="7"/>
  <c r="N29" i="7" s="1"/>
  <c r="M31" i="7"/>
  <c r="N31" i="7" s="1"/>
  <c r="M25" i="7"/>
  <c r="N25" i="7" s="1"/>
  <c r="H133" i="13"/>
  <c r="G134" i="13"/>
  <c r="J133" i="13"/>
  <c r="H61" i="13"/>
  <c r="G62" i="13"/>
  <c r="R70" i="9"/>
  <c r="O70" i="9"/>
  <c r="C81" i="13"/>
  <c r="C82" i="13" s="1"/>
  <c r="C83" i="13" s="1"/>
  <c r="C84" i="13" s="1"/>
  <c r="C85" i="13" s="1"/>
  <c r="C86" i="13" s="1"/>
  <c r="C87" i="13" s="1"/>
  <c r="C88" i="13" s="1"/>
  <c r="C89" i="13" s="1"/>
  <c r="C90" i="13"/>
  <c r="C91" i="13" s="1"/>
  <c r="C92" i="13" s="1"/>
  <c r="C93" i="13" s="1"/>
  <c r="C94" i="13" s="1"/>
  <c r="C95" i="13" s="1"/>
  <c r="C96" i="13" s="1"/>
  <c r="C97" i="13" s="1"/>
  <c r="C98" i="13" s="1"/>
  <c r="C99" i="13" s="1"/>
  <c r="F116" i="13"/>
  <c r="E117" i="13"/>
  <c r="AK60" i="2"/>
  <c r="P91" i="2"/>
  <c r="G152" i="13"/>
  <c r="J152" i="13" s="1"/>
  <c r="F152" i="13"/>
  <c r="E153" i="13"/>
  <c r="AK64" i="2"/>
  <c r="G44" i="13"/>
  <c r="H43" i="13"/>
  <c r="J43" i="13"/>
  <c r="P67" i="2"/>
  <c r="F62" i="13"/>
  <c r="E63" i="13"/>
  <c r="J61" i="13"/>
  <c r="M95" i="9"/>
  <c r="D95" i="9"/>
  <c r="E95" i="9"/>
  <c r="J95" i="9"/>
  <c r="L95" i="9"/>
  <c r="F95" i="9"/>
  <c r="H95" i="9"/>
  <c r="K95" i="9"/>
  <c r="I95" i="9"/>
  <c r="G95" i="9"/>
  <c r="Q94" i="19"/>
  <c r="T94" i="19"/>
  <c r="U91" i="2"/>
  <c r="V91" i="2"/>
  <c r="S91" i="2"/>
  <c r="E171" i="13"/>
  <c r="E162" i="13"/>
  <c r="F161" i="13"/>
  <c r="J161" i="13"/>
  <c r="G26" i="13"/>
  <c r="H25" i="13"/>
  <c r="J25" i="13"/>
  <c r="I15" i="13"/>
  <c r="K15" i="13" s="1"/>
  <c r="B14" i="13"/>
  <c r="Q67" i="2"/>
  <c r="U67" i="2"/>
  <c r="V67" i="2"/>
  <c r="E36" i="13"/>
  <c r="F35" i="13"/>
  <c r="P70" i="19"/>
  <c r="U70" i="19"/>
  <c r="H33" i="9"/>
  <c r="K33" i="9"/>
  <c r="I33" i="9"/>
  <c r="J33" i="9"/>
  <c r="G33" i="9"/>
  <c r="D81" i="13"/>
  <c r="D82" i="13" s="1"/>
  <c r="D83" i="13" s="1"/>
  <c r="D84" i="13" s="1"/>
  <c r="D85" i="13" s="1"/>
  <c r="D86" i="13" s="1"/>
  <c r="D87" i="13" s="1"/>
  <c r="D88" i="13" s="1"/>
  <c r="D89" i="13" s="1"/>
  <c r="D90" i="13"/>
  <c r="D91" i="13" s="1"/>
  <c r="D92" i="13" s="1"/>
  <c r="D93" i="13" s="1"/>
  <c r="D94" i="13" s="1"/>
  <c r="D95" i="13" s="1"/>
  <c r="D96" i="13" s="1"/>
  <c r="D97" i="13" s="1"/>
  <c r="D98" i="13" s="1"/>
  <c r="D99" i="13" s="1"/>
  <c r="AK61" i="2"/>
  <c r="F143" i="13"/>
  <c r="E144" i="13"/>
  <c r="K151" i="13"/>
  <c r="I161" i="13" s="1"/>
  <c r="K161" i="13" s="1"/>
  <c r="I171" i="13" s="1"/>
  <c r="S67" i="2"/>
  <c r="P94" i="9"/>
  <c r="Q94" i="9"/>
  <c r="Q70" i="19"/>
  <c r="T70" i="19"/>
  <c r="AK63" i="2"/>
  <c r="O94" i="9"/>
  <c r="R94" i="9"/>
  <c r="H16" i="13"/>
  <c r="G17" i="13"/>
  <c r="J16" i="13"/>
  <c r="G53" i="13"/>
  <c r="H52" i="13"/>
  <c r="J52" i="13"/>
  <c r="F125" i="13"/>
  <c r="E126" i="13"/>
  <c r="I95" i="19"/>
  <c r="G95" i="19"/>
  <c r="E95" i="19"/>
  <c r="S95" i="19" s="1"/>
  <c r="J95" i="19"/>
  <c r="M95" i="19"/>
  <c r="K95" i="19"/>
  <c r="L95" i="19"/>
  <c r="H95" i="19"/>
  <c r="F95" i="19"/>
  <c r="R95" i="19" s="1"/>
  <c r="D95" i="19"/>
  <c r="O70" i="19"/>
  <c r="V70" i="19"/>
  <c r="K33" i="19"/>
  <c r="H33" i="19"/>
  <c r="I33" i="19"/>
  <c r="J33" i="19"/>
  <c r="G33" i="19"/>
  <c r="Z94" i="9"/>
  <c r="E108" i="13"/>
  <c r="F108" i="13" s="1"/>
  <c r="C108" i="13"/>
  <c r="E54" i="13"/>
  <c r="F53" i="13"/>
  <c r="X94" i="19"/>
  <c r="Y94" i="19"/>
  <c r="G116" i="13"/>
  <c r="H115" i="13"/>
  <c r="J115" i="13"/>
  <c r="F134" i="13"/>
  <c r="E135" i="13"/>
  <c r="AK65" i="2"/>
  <c r="AK66" i="2"/>
  <c r="E68" i="2"/>
  <c r="X49" i="2"/>
  <c r="AF68" i="2"/>
  <c r="X120" i="2"/>
  <c r="J68" i="2"/>
  <c r="X50" i="2"/>
  <c r="X28" i="2"/>
  <c r="X46" i="2"/>
  <c r="X40" i="2"/>
  <c r="X109" i="2"/>
  <c r="X60" i="2"/>
  <c r="X121" i="2"/>
  <c r="X106" i="2"/>
  <c r="X116" i="2"/>
  <c r="X117" i="2"/>
  <c r="X119" i="2"/>
  <c r="X41" i="2"/>
  <c r="X100" i="2"/>
  <c r="X51" i="2"/>
  <c r="X79" i="2"/>
  <c r="X75" i="2"/>
  <c r="AJ68" i="2"/>
  <c r="X39" i="2"/>
  <c r="AP14" i="2"/>
  <c r="AO14" i="2" s="1"/>
  <c r="Q35" i="2"/>
  <c r="X43" i="2"/>
  <c r="X29" i="2"/>
  <c r="G68" i="2"/>
  <c r="X78" i="2"/>
  <c r="X27" i="2"/>
  <c r="X108" i="2"/>
  <c r="X52" i="2"/>
  <c r="X38" i="2"/>
  <c r="X103" i="2"/>
  <c r="X104" i="2"/>
  <c r="X77" i="2"/>
  <c r="X56" i="2"/>
  <c r="X111" i="2"/>
  <c r="AG68" i="2"/>
  <c r="X30" i="2"/>
  <c r="F68" i="2"/>
  <c r="AB68" i="2"/>
  <c r="X105" i="2"/>
  <c r="X114" i="2"/>
  <c r="X26" i="2"/>
  <c r="X80" i="2"/>
  <c r="X74" i="2"/>
  <c r="I68" i="2"/>
  <c r="X110" i="2"/>
  <c r="AH68" i="2"/>
  <c r="AI68" i="2"/>
  <c r="X64" i="2"/>
  <c r="D68" i="2"/>
  <c r="X59" i="2"/>
  <c r="X113" i="2"/>
  <c r="X42" i="2"/>
  <c r="X107" i="2"/>
  <c r="H68" i="2"/>
  <c r="X123" i="2"/>
  <c r="AD68" i="2"/>
  <c r="X65" i="2"/>
  <c r="AC68" i="2"/>
  <c r="X55" i="2"/>
  <c r="X67" i="2"/>
  <c r="M68" i="2"/>
  <c r="X82" i="2"/>
  <c r="L68" i="2"/>
  <c r="X81" i="2"/>
  <c r="X53" i="2"/>
  <c r="X115" i="2"/>
  <c r="X84" i="2"/>
  <c r="X102" i="2"/>
  <c r="X76" i="2"/>
  <c r="X44" i="2"/>
  <c r="X118" i="2"/>
  <c r="X66" i="2"/>
  <c r="X63" i="2"/>
  <c r="X122" i="2"/>
  <c r="X124" i="2"/>
  <c r="K68" i="2"/>
  <c r="AK68" i="2"/>
  <c r="X54" i="2"/>
  <c r="X45" i="2"/>
  <c r="X57" i="2"/>
  <c r="AE68" i="2"/>
  <c r="X61" i="2"/>
  <c r="AP14" i="9"/>
  <c r="AO14" i="9" s="1"/>
  <c r="X101" i="2"/>
  <c r="X47" i="2"/>
  <c r="X86" i="2"/>
  <c r="X91" i="2"/>
  <c r="X62" i="2"/>
  <c r="X89" i="2"/>
  <c r="X87" i="2"/>
  <c r="X85" i="2"/>
  <c r="X90" i="2"/>
  <c r="X88" i="2"/>
  <c r="H142" i="13"/>
  <c r="G143" i="13"/>
  <c r="AK6" i="19"/>
  <c r="AI6" i="19"/>
  <c r="AI4" i="19" s="1"/>
  <c r="F80" i="13"/>
  <c r="E81" i="13"/>
  <c r="E90" i="13"/>
  <c r="J80" i="13"/>
  <c r="F92" i="2"/>
  <c r="I92" i="2"/>
  <c r="D92" i="2"/>
  <c r="L92" i="2"/>
  <c r="J92" i="2"/>
  <c r="M92" i="2"/>
  <c r="E92" i="2"/>
  <c r="K92" i="2"/>
  <c r="G92" i="2"/>
  <c r="H92" i="2"/>
  <c r="T94" i="9"/>
  <c r="Y94" i="9"/>
  <c r="K70" i="13"/>
  <c r="I80" i="13" s="1"/>
  <c r="Q70" i="9"/>
  <c r="P70" i="9"/>
  <c r="T70" i="9"/>
  <c r="Y70" i="9"/>
  <c r="D171" i="13"/>
  <c r="D162" i="13"/>
  <c r="D163" i="13" s="1"/>
  <c r="D164" i="13" s="1"/>
  <c r="D165" i="13" s="1"/>
  <c r="D166" i="13" s="1"/>
  <c r="D167" i="13" s="1"/>
  <c r="D168" i="13" s="1"/>
  <c r="D169" i="13" s="1"/>
  <c r="D170" i="13" s="1"/>
  <c r="P94" i="19"/>
  <c r="U94" i="19"/>
  <c r="AK62" i="2"/>
  <c r="T91" i="2"/>
  <c r="AK59" i="2"/>
  <c r="C162" i="13"/>
  <c r="C163" i="13" s="1"/>
  <c r="C164" i="13" s="1"/>
  <c r="C165" i="13" s="1"/>
  <c r="C166" i="13" s="1"/>
  <c r="C167" i="13" s="1"/>
  <c r="C168" i="13" s="1"/>
  <c r="C169" i="13" s="1"/>
  <c r="C170" i="13" s="1"/>
  <c r="C171" i="13"/>
  <c r="G71" i="13"/>
  <c r="E72" i="13"/>
  <c r="F71" i="13"/>
  <c r="R67" i="2"/>
  <c r="F26" i="13"/>
  <c r="E27" i="13"/>
  <c r="B104" i="13"/>
  <c r="I105" i="13"/>
  <c r="K105" i="13" s="1"/>
  <c r="G125" i="13"/>
  <c r="H124" i="13"/>
  <c r="J124" i="13"/>
  <c r="E45" i="13"/>
  <c r="F44" i="13"/>
  <c r="E18" i="13"/>
  <c r="F18" i="13" s="1"/>
  <c r="C18" i="13"/>
  <c r="AK8" i="9"/>
  <c r="AJ7" i="9"/>
  <c r="U70" i="9"/>
  <c r="X70" i="9"/>
  <c r="O91" i="2"/>
  <c r="R91" i="2"/>
  <c r="Q91" i="2"/>
  <c r="AL56" i="2"/>
  <c r="AL53" i="2"/>
  <c r="AL50" i="2"/>
  <c r="AL49" i="2"/>
  <c r="AL55" i="2"/>
  <c r="AL29" i="2"/>
  <c r="AL51" i="2"/>
  <c r="AM26" i="2"/>
  <c r="AL54" i="2"/>
  <c r="AL57" i="2"/>
  <c r="AL52" i="2"/>
  <c r="Y34" i="2"/>
  <c r="G107" i="13"/>
  <c r="H106" i="13"/>
  <c r="J106" i="13"/>
  <c r="T67" i="2"/>
  <c r="O67" i="2"/>
  <c r="U94" i="9"/>
  <c r="X94" i="9"/>
  <c r="H34" i="13"/>
  <c r="G35" i="13"/>
  <c r="J34" i="13"/>
  <c r="Z70" i="19"/>
  <c r="X70" i="19"/>
  <c r="Y70" i="19"/>
  <c r="O94" i="19"/>
  <c r="V94" i="19"/>
  <c r="X119" i="7"/>
  <c r="X95" i="7"/>
  <c r="V95" i="7"/>
  <c r="Y78" i="7"/>
  <c r="Y103" i="7"/>
  <c r="Y106" i="7"/>
  <c r="Y84" i="7"/>
  <c r="Y60" i="7"/>
  <c r="Y92" i="7"/>
  <c r="AE96" i="7"/>
  <c r="M96" i="7"/>
  <c r="Y72" i="7"/>
  <c r="AL96" i="7"/>
  <c r="Y115" i="7"/>
  <c r="M120" i="7"/>
  <c r="AM78" i="7"/>
  <c r="AM80" i="7"/>
  <c r="W95" i="7"/>
  <c r="AL93" i="7"/>
  <c r="Y144" i="7"/>
  <c r="AK96" i="7"/>
  <c r="Y139" i="7"/>
  <c r="Y108" i="7"/>
  <c r="E96" i="7"/>
  <c r="Y93" i="7"/>
  <c r="Y109" i="7"/>
  <c r="Y146" i="7"/>
  <c r="Y82" i="7"/>
  <c r="Y75" i="7"/>
  <c r="Y113" i="7"/>
  <c r="K120" i="7"/>
  <c r="AM77" i="7"/>
  <c r="AL88" i="7"/>
  <c r="T95" i="7"/>
  <c r="AL94" i="7"/>
  <c r="Y74" i="7"/>
  <c r="Y145" i="7"/>
  <c r="Y67" i="7"/>
  <c r="Y136" i="7"/>
  <c r="AH96" i="7"/>
  <c r="Y102" i="7"/>
  <c r="Y87" i="7"/>
  <c r="AD96" i="7"/>
  <c r="Y81" i="7"/>
  <c r="Y94" i="7"/>
  <c r="Y73" i="7"/>
  <c r="N120" i="7"/>
  <c r="AL90" i="7"/>
  <c r="S95" i="7"/>
  <c r="AM83" i="7"/>
  <c r="P119" i="7"/>
  <c r="Q119" i="7"/>
  <c r="Q95" i="7"/>
  <c r="V119" i="7"/>
  <c r="F96" i="7"/>
  <c r="AB96" i="7"/>
  <c r="O96" i="7"/>
  <c r="Y68" i="7"/>
  <c r="Y147" i="7"/>
  <c r="Y80" i="7"/>
  <c r="Y141" i="7"/>
  <c r="Y143" i="7"/>
  <c r="Y91" i="7"/>
  <c r="Y85" i="7"/>
  <c r="Y114" i="7"/>
  <c r="Y118" i="7"/>
  <c r="F120" i="7"/>
  <c r="U119" i="7"/>
  <c r="W119" i="7"/>
  <c r="Y77" i="7"/>
  <c r="Y137" i="7"/>
  <c r="Y69" i="7"/>
  <c r="Y66" i="7"/>
  <c r="G96" i="7"/>
  <c r="J96" i="7"/>
  <c r="Y70" i="7"/>
  <c r="Y83" i="7"/>
  <c r="Y150" i="7"/>
  <c r="AF96" i="7"/>
  <c r="Y119" i="7"/>
  <c r="Y116" i="7"/>
  <c r="L120" i="7"/>
  <c r="AL87" i="7"/>
  <c r="S119" i="7"/>
  <c r="AM79" i="7"/>
  <c r="T119" i="7"/>
  <c r="AL89" i="7"/>
  <c r="AG96" i="7"/>
  <c r="Y88" i="7"/>
  <c r="Y128" i="7"/>
  <c r="Y71" i="7"/>
  <c r="Y131" i="7"/>
  <c r="AC96" i="7"/>
  <c r="Y138" i="7"/>
  <c r="Y135" i="7"/>
  <c r="Y95" i="7"/>
  <c r="Y112" i="7"/>
  <c r="Y152" i="7"/>
  <c r="Y89" i="7"/>
  <c r="Y90" i="7"/>
  <c r="G120" i="7"/>
  <c r="H120" i="7"/>
  <c r="R119" i="7"/>
  <c r="AN60" i="7"/>
  <c r="U95" i="7"/>
  <c r="AM84" i="7"/>
  <c r="AM82" i="7"/>
  <c r="AM85" i="7"/>
  <c r="Y148" i="7"/>
  <c r="Y149" i="7"/>
  <c r="Y79" i="7"/>
  <c r="Y132" i="7"/>
  <c r="Y133" i="7"/>
  <c r="AI96" i="7"/>
  <c r="I96" i="7"/>
  <c r="N96" i="7"/>
  <c r="Y130" i="7"/>
  <c r="L96" i="7"/>
  <c r="J120" i="7"/>
  <c r="I120" i="7"/>
  <c r="P95" i="7"/>
  <c r="AL92" i="7"/>
  <c r="R95" i="7"/>
  <c r="AL91" i="7"/>
  <c r="K96" i="7"/>
  <c r="Y134" i="7"/>
  <c r="Y107" i="7"/>
  <c r="H96" i="7"/>
  <c r="Y105" i="7"/>
  <c r="Y142" i="7"/>
  <c r="AJ96" i="7"/>
  <c r="Y151" i="7"/>
  <c r="Y110" i="7"/>
  <c r="Y104" i="7"/>
  <c r="Y129" i="7"/>
  <c r="Y117" i="7"/>
  <c r="E120" i="7"/>
  <c r="AM81" i="7"/>
  <c r="V95" i="9" l="1"/>
  <c r="W95" i="9"/>
  <c r="K80" i="13"/>
  <c r="I90" i="13" s="1"/>
  <c r="AL63" i="2"/>
  <c r="AI6" i="9"/>
  <c r="AI4" i="9" s="1"/>
  <c r="AK6" i="9"/>
  <c r="G126" i="13"/>
  <c r="H125" i="13"/>
  <c r="J125" i="13"/>
  <c r="H71" i="13"/>
  <c r="G72" i="13"/>
  <c r="Q68" i="2"/>
  <c r="T68" i="2"/>
  <c r="W68" i="2"/>
  <c r="C109" i="13"/>
  <c r="E109" i="13"/>
  <c r="F109" i="13" s="1"/>
  <c r="W95" i="19"/>
  <c r="Z95" i="19"/>
  <c r="H53" i="13"/>
  <c r="G54" i="13"/>
  <c r="J53" i="13"/>
  <c r="F144" i="13"/>
  <c r="E145" i="13"/>
  <c r="E163" i="13"/>
  <c r="F162" i="13"/>
  <c r="G162" i="13"/>
  <c r="S95" i="9"/>
  <c r="Z95" i="9"/>
  <c r="H134" i="13"/>
  <c r="G135" i="13"/>
  <c r="J134" i="13"/>
  <c r="B105" i="13"/>
  <c r="I106" i="13"/>
  <c r="K106" i="13" s="1"/>
  <c r="C181" i="13"/>
  <c r="C172" i="13"/>
  <c r="C173" i="13" s="1"/>
  <c r="C174" i="13" s="1"/>
  <c r="C175" i="13" s="1"/>
  <c r="C176" i="13" s="1"/>
  <c r="C177" i="13" s="1"/>
  <c r="C178" i="13" s="1"/>
  <c r="C179" i="13" s="1"/>
  <c r="C180" i="13" s="1"/>
  <c r="D172" i="13"/>
  <c r="D173" i="13" s="1"/>
  <c r="D174" i="13" s="1"/>
  <c r="D175" i="13" s="1"/>
  <c r="D176" i="13" s="1"/>
  <c r="D177" i="13" s="1"/>
  <c r="D178" i="13" s="1"/>
  <c r="D179" i="13" s="1"/>
  <c r="D180" i="13" s="1"/>
  <c r="D181" i="13"/>
  <c r="D182" i="13" s="1"/>
  <c r="D183" i="13" s="1"/>
  <c r="D184" i="13" s="1"/>
  <c r="D185" i="13" s="1"/>
  <c r="D186" i="13" s="1"/>
  <c r="D187" i="13" s="1"/>
  <c r="D188" i="13" s="1"/>
  <c r="D189" i="13" s="1"/>
  <c r="D190" i="13" s="1"/>
  <c r="R92" i="2"/>
  <c r="S92" i="2"/>
  <c r="H143" i="13"/>
  <c r="G144" i="13"/>
  <c r="J143" i="13"/>
  <c r="X92" i="2"/>
  <c r="U68" i="2"/>
  <c r="V68" i="2"/>
  <c r="R68" i="2"/>
  <c r="E181" i="13"/>
  <c r="F171" i="13"/>
  <c r="E172" i="13"/>
  <c r="J171" i="13"/>
  <c r="Q95" i="9"/>
  <c r="P95" i="9"/>
  <c r="E154" i="13"/>
  <c r="F153" i="13"/>
  <c r="AL64" i="2"/>
  <c r="AL67" i="2"/>
  <c r="AM54" i="2"/>
  <c r="AM51" i="2"/>
  <c r="AM29" i="2"/>
  <c r="AM52" i="2"/>
  <c r="Z34" i="2"/>
  <c r="AM57" i="2"/>
  <c r="AM49" i="2"/>
  <c r="AM53" i="2"/>
  <c r="AM56" i="2"/>
  <c r="AM55" i="2"/>
  <c r="AM50" i="2"/>
  <c r="C19" i="13"/>
  <c r="E19" i="13"/>
  <c r="F19" i="13" s="1"/>
  <c r="Q92" i="2"/>
  <c r="O92" i="2"/>
  <c r="Q95" i="19"/>
  <c r="T95" i="19"/>
  <c r="G18" i="13"/>
  <c r="H17" i="13"/>
  <c r="J17" i="13"/>
  <c r="I16" i="13"/>
  <c r="K16" i="13" s="1"/>
  <c r="B15" i="13"/>
  <c r="T95" i="9"/>
  <c r="Y95" i="9"/>
  <c r="E64" i="13"/>
  <c r="F63" i="13"/>
  <c r="AL61" i="2"/>
  <c r="E28" i="13"/>
  <c r="F27" i="13"/>
  <c r="U92" i="2"/>
  <c r="V92" i="2"/>
  <c r="S68" i="2"/>
  <c r="O68" i="2"/>
  <c r="G117" i="13"/>
  <c r="H116" i="13"/>
  <c r="J116" i="13"/>
  <c r="O95" i="19"/>
  <c r="V95" i="19"/>
  <c r="H152" i="13"/>
  <c r="G153" i="13"/>
  <c r="P92" i="2"/>
  <c r="E91" i="13"/>
  <c r="F90" i="13"/>
  <c r="J90" i="13"/>
  <c r="AL68" i="2"/>
  <c r="P68" i="2"/>
  <c r="P95" i="19"/>
  <c r="U95" i="19"/>
  <c r="F126" i="13"/>
  <c r="E127" i="13"/>
  <c r="G63" i="13"/>
  <c r="H62" i="13"/>
  <c r="J62" i="13"/>
  <c r="H35" i="13"/>
  <c r="G36" i="13"/>
  <c r="J35" i="13"/>
  <c r="G108" i="13"/>
  <c r="H107" i="13"/>
  <c r="J107" i="13"/>
  <c r="AL65" i="2"/>
  <c r="AL66" i="2"/>
  <c r="F45" i="13"/>
  <c r="E46" i="13"/>
  <c r="G81" i="13"/>
  <c r="F81" i="13"/>
  <c r="E82" i="13"/>
  <c r="F36" i="13"/>
  <c r="E37" i="13"/>
  <c r="H26" i="13"/>
  <c r="G27" i="13"/>
  <c r="J26" i="13"/>
  <c r="R95" i="9"/>
  <c r="O95" i="9"/>
  <c r="AL60" i="2"/>
  <c r="T92" i="2"/>
  <c r="W92" i="2"/>
  <c r="X95" i="19"/>
  <c r="Y95" i="19"/>
  <c r="J162" i="13"/>
  <c r="E118" i="13"/>
  <c r="F117" i="13"/>
  <c r="AG69" i="2"/>
  <c r="Y122" i="2"/>
  <c r="Y116" i="2"/>
  <c r="AF69" i="2"/>
  <c r="I69" i="2"/>
  <c r="J69" i="2"/>
  <c r="AC69" i="2"/>
  <c r="Y80" i="2"/>
  <c r="Y28" i="2"/>
  <c r="Y30" i="2"/>
  <c r="Y62" i="2"/>
  <c r="Y68" i="2"/>
  <c r="Y47" i="2"/>
  <c r="Y111" i="2"/>
  <c r="Y75" i="2"/>
  <c r="AH69" i="2"/>
  <c r="Y106" i="2"/>
  <c r="P35" i="2"/>
  <c r="AL69" i="2"/>
  <c r="Y118" i="2"/>
  <c r="H69" i="2"/>
  <c r="Y103" i="2"/>
  <c r="AI69" i="2"/>
  <c r="L69" i="2"/>
  <c r="Y107" i="2"/>
  <c r="Y40" i="2"/>
  <c r="Y79" i="2"/>
  <c r="Y81" i="2"/>
  <c r="Y39" i="2"/>
  <c r="Y121" i="2"/>
  <c r="AB69" i="2"/>
  <c r="Y42" i="2"/>
  <c r="Y67" i="2"/>
  <c r="Y76" i="2"/>
  <c r="AJ69" i="2"/>
  <c r="Y108" i="2"/>
  <c r="Y44" i="2"/>
  <c r="Y117" i="2"/>
  <c r="G69" i="2"/>
  <c r="Y124" i="2"/>
  <c r="Y101" i="2"/>
  <c r="AP15" i="2"/>
  <c r="AO15" i="2" s="1"/>
  <c r="Y78" i="2"/>
  <c r="Y63" i="2"/>
  <c r="AK69" i="2"/>
  <c r="Y49" i="2"/>
  <c r="Y74" i="2"/>
  <c r="Y123" i="2"/>
  <c r="E69" i="2"/>
  <c r="Y104" i="2"/>
  <c r="Y53" i="2"/>
  <c r="Y54" i="2"/>
  <c r="Y26" i="2"/>
  <c r="Y61" i="2"/>
  <c r="Y82" i="2"/>
  <c r="Y51" i="2"/>
  <c r="Y102" i="2"/>
  <c r="AP15" i="9"/>
  <c r="AO15" i="9" s="1"/>
  <c r="Y55" i="2"/>
  <c r="Y77" i="2"/>
  <c r="Y50" i="2"/>
  <c r="Y41" i="2"/>
  <c r="Y46" i="2"/>
  <c r="Y119" i="2"/>
  <c r="Y66" i="2"/>
  <c r="Y86" i="2"/>
  <c r="M69" i="2"/>
  <c r="Y43" i="2"/>
  <c r="Y45" i="2"/>
  <c r="Y27" i="2"/>
  <c r="Y109" i="2"/>
  <c r="Y100" i="2"/>
  <c r="AM69" i="2"/>
  <c r="F69" i="2"/>
  <c r="Y110" i="2"/>
  <c r="Y57" i="2"/>
  <c r="Y114" i="2"/>
  <c r="AE69" i="2"/>
  <c r="Y52" i="2"/>
  <c r="K69" i="2"/>
  <c r="Y38" i="2"/>
  <c r="Y120" i="2"/>
  <c r="Y105" i="2"/>
  <c r="Y84" i="2"/>
  <c r="Y113" i="2"/>
  <c r="D69" i="2"/>
  <c r="Y29" i="2"/>
  <c r="Y56" i="2"/>
  <c r="AD69" i="2"/>
  <c r="Y115" i="2"/>
  <c r="Y60" i="2"/>
  <c r="Y89" i="2"/>
  <c r="Y87" i="2"/>
  <c r="Y64" i="2"/>
  <c r="Y59" i="2"/>
  <c r="Y92" i="2"/>
  <c r="Y65" i="2"/>
  <c r="Y91" i="2"/>
  <c r="Y88" i="2"/>
  <c r="Y90" i="2"/>
  <c r="Y85" i="2"/>
  <c r="AL62" i="2"/>
  <c r="AL59" i="2"/>
  <c r="E73" i="13"/>
  <c r="F72" i="13"/>
  <c r="M93" i="2"/>
  <c r="I93" i="2"/>
  <c r="F93" i="2"/>
  <c r="K93" i="2"/>
  <c r="L93" i="2"/>
  <c r="E93" i="2"/>
  <c r="H93" i="2"/>
  <c r="D93" i="2"/>
  <c r="G93" i="2"/>
  <c r="J93" i="2"/>
  <c r="X68" i="2"/>
  <c r="E136" i="13"/>
  <c r="F135" i="13"/>
  <c r="E55" i="13"/>
  <c r="F54" i="13"/>
  <c r="J71" i="13"/>
  <c r="K171" i="13"/>
  <c r="I181" i="13" s="1"/>
  <c r="U95" i="9"/>
  <c r="X95" i="9"/>
  <c r="G45" i="13"/>
  <c r="H44" i="13"/>
  <c r="J44" i="13"/>
  <c r="AM95" i="7"/>
  <c r="AN81" i="7"/>
  <c r="AG97" i="7"/>
  <c r="Z96" i="7"/>
  <c r="Z146" i="7"/>
  <c r="Z109" i="7"/>
  <c r="AK97" i="7"/>
  <c r="Z106" i="7"/>
  <c r="Z81" i="7"/>
  <c r="Z114" i="7"/>
  <c r="G97" i="7"/>
  <c r="Z66" i="7"/>
  <c r="AE97" i="7"/>
  <c r="Z87" i="7"/>
  <c r="AM87" i="7"/>
  <c r="F121" i="7"/>
  <c r="Z120" i="7"/>
  <c r="H121" i="7"/>
  <c r="AF97" i="7"/>
  <c r="Z135" i="7"/>
  <c r="Z80" i="7"/>
  <c r="Z95" i="7"/>
  <c r="Z113" i="7"/>
  <c r="AN82" i="7"/>
  <c r="AN84" i="7"/>
  <c r="T96" i="7"/>
  <c r="J97" i="7"/>
  <c r="Z75" i="7"/>
  <c r="I97" i="7"/>
  <c r="Z67" i="7"/>
  <c r="Z136" i="7"/>
  <c r="Z91" i="7"/>
  <c r="Z82" i="7"/>
  <c r="Z83" i="7"/>
  <c r="N97" i="7"/>
  <c r="Z138" i="7"/>
  <c r="Z148" i="7"/>
  <c r="Z143" i="7"/>
  <c r="I121" i="7"/>
  <c r="Z102" i="7"/>
  <c r="K121" i="7"/>
  <c r="Z70" i="7"/>
  <c r="Z115" i="7"/>
  <c r="AN85" i="7"/>
  <c r="Z129" i="7"/>
  <c r="Y120" i="7"/>
  <c r="AN79" i="7"/>
  <c r="AN83" i="7"/>
  <c r="P96" i="7"/>
  <c r="Q120" i="7"/>
  <c r="K97" i="7"/>
  <c r="Z139" i="7"/>
  <c r="Z131" i="7"/>
  <c r="Z149" i="7"/>
  <c r="Z72" i="7"/>
  <c r="AL97" i="7"/>
  <c r="Z60" i="7"/>
  <c r="Z105" i="7"/>
  <c r="Z71" i="7"/>
  <c r="Z85" i="7"/>
  <c r="Z133" i="7"/>
  <c r="Z88" i="7"/>
  <c r="Z93" i="7"/>
  <c r="E121" i="7"/>
  <c r="Z112" i="7"/>
  <c r="Z119" i="7"/>
  <c r="Z116" i="7"/>
  <c r="AH97" i="7"/>
  <c r="Z137" i="7"/>
  <c r="V120" i="7"/>
  <c r="Z68" i="7"/>
  <c r="AM91" i="7"/>
  <c r="R96" i="7"/>
  <c r="V96" i="7"/>
  <c r="AN78" i="7"/>
  <c r="AM89" i="7"/>
  <c r="AM88" i="7"/>
  <c r="AD97" i="7"/>
  <c r="Z103" i="7"/>
  <c r="AJ97" i="7"/>
  <c r="AC97" i="7"/>
  <c r="Z145" i="7"/>
  <c r="Z77" i="7"/>
  <c r="Z78" i="7"/>
  <c r="Z73" i="7"/>
  <c r="Z142" i="7"/>
  <c r="Z117" i="7"/>
  <c r="N121" i="7"/>
  <c r="Z69" i="7"/>
  <c r="J121" i="7"/>
  <c r="U120" i="7"/>
  <c r="Z110" i="7"/>
  <c r="G121" i="7"/>
  <c r="F97" i="7"/>
  <c r="O97" i="7"/>
  <c r="AB97" i="7"/>
  <c r="U96" i="7"/>
  <c r="W96" i="7"/>
  <c r="AN80" i="7"/>
  <c r="Z108" i="7"/>
  <c r="AI97" i="7"/>
  <c r="M97" i="7"/>
  <c r="H97" i="7"/>
  <c r="Z89" i="7"/>
  <c r="Z141" i="7"/>
  <c r="Z134" i="7"/>
  <c r="Z74" i="7"/>
  <c r="Y96" i="7"/>
  <c r="AM96" i="7"/>
  <c r="Z150" i="7"/>
  <c r="Z128" i="7"/>
  <c r="X96" i="7"/>
  <c r="S120" i="7"/>
  <c r="S96" i="7"/>
  <c r="AM93" i="7"/>
  <c r="Z151" i="7"/>
  <c r="Z118" i="7"/>
  <c r="T120" i="7"/>
  <c r="AM94" i="7"/>
  <c r="Z147" i="7"/>
  <c r="AM92" i="7"/>
  <c r="AN77" i="7"/>
  <c r="P120" i="7"/>
  <c r="W120" i="7"/>
  <c r="Q96" i="7"/>
  <c r="Z144" i="7"/>
  <c r="Z90" i="7"/>
  <c r="AM97" i="7"/>
  <c r="Z107" i="7"/>
  <c r="Z104" i="7"/>
  <c r="Z132" i="7"/>
  <c r="Z130" i="7"/>
  <c r="Z94" i="7"/>
  <c r="AN97" i="7"/>
  <c r="L97" i="7"/>
  <c r="Z84" i="7"/>
  <c r="Z92" i="7"/>
  <c r="AM90" i="7"/>
  <c r="M121" i="7"/>
  <c r="Z152" i="7"/>
  <c r="E97" i="7"/>
  <c r="R120" i="7"/>
  <c r="X120" i="7"/>
  <c r="Z79" i="7"/>
  <c r="L121" i="7"/>
  <c r="Y93" i="2" l="1"/>
  <c r="Y69" i="2"/>
  <c r="F32" i="2"/>
  <c r="E32" i="2"/>
  <c r="G32" i="2"/>
  <c r="M11" i="7"/>
  <c r="N11" i="7" s="1"/>
  <c r="M26" i="7"/>
  <c r="N26" i="7" s="1"/>
  <c r="M15" i="7"/>
  <c r="N15" i="7" s="1"/>
  <c r="M28" i="7"/>
  <c r="N28" i="7" s="1"/>
  <c r="M13" i="7"/>
  <c r="N13" i="7" s="1"/>
  <c r="U93" i="2"/>
  <c r="V93" i="2"/>
  <c r="G127" i="13"/>
  <c r="H126" i="13"/>
  <c r="J126" i="13"/>
  <c r="F37" i="13"/>
  <c r="E38" i="13"/>
  <c r="U69" i="2"/>
  <c r="V69" i="2"/>
  <c r="H27" i="13"/>
  <c r="G28" i="13"/>
  <c r="J27" i="13"/>
  <c r="AM60" i="2"/>
  <c r="F163" i="13"/>
  <c r="E164" i="13"/>
  <c r="F136" i="13"/>
  <c r="E137" i="13"/>
  <c r="B16" i="13"/>
  <c r="I17" i="13"/>
  <c r="K17" i="13" s="1"/>
  <c r="Z60" i="2"/>
  <c r="Z26" i="2"/>
  <c r="O35" i="2"/>
  <c r="Z45" i="2"/>
  <c r="Z40" i="2"/>
  <c r="G70" i="2"/>
  <c r="Z70" i="2" s="1"/>
  <c r="E70" i="2"/>
  <c r="AD70" i="2"/>
  <c r="Z116" i="2"/>
  <c r="Z54" i="2"/>
  <c r="AI70" i="2"/>
  <c r="Z61" i="2"/>
  <c r="Z100" i="2"/>
  <c r="Z28" i="2"/>
  <c r="Z124" i="2"/>
  <c r="AH70" i="2"/>
  <c r="Z38" i="2"/>
  <c r="Z52" i="2"/>
  <c r="Z113" i="2"/>
  <c r="Z64" i="2"/>
  <c r="M70" i="2"/>
  <c r="Z77" i="2"/>
  <c r="AB70" i="2"/>
  <c r="Z80" i="2"/>
  <c r="Z109" i="2"/>
  <c r="Z49" i="2"/>
  <c r="Z76" i="2"/>
  <c r="Z74" i="2"/>
  <c r="Z119" i="2"/>
  <c r="AE70" i="2"/>
  <c r="Z111" i="2"/>
  <c r="Z82" i="2"/>
  <c r="L70" i="2"/>
  <c r="AC70" i="2"/>
  <c r="Z56" i="2"/>
  <c r="Z79" i="2"/>
  <c r="Z30" i="2"/>
  <c r="Z75" i="2"/>
  <c r="J70" i="2"/>
  <c r="Z101" i="2"/>
  <c r="Z41" i="2"/>
  <c r="Z107" i="2"/>
  <c r="Z55" i="2"/>
  <c r="Z122" i="2"/>
  <c r="I70" i="2"/>
  <c r="AK70" i="2"/>
  <c r="Z103" i="2"/>
  <c r="AP16" i="9"/>
  <c r="AO16" i="9" s="1"/>
  <c r="Z123" i="2"/>
  <c r="Z121" i="2"/>
  <c r="H70" i="2"/>
  <c r="Z118" i="2"/>
  <c r="Z51" i="2"/>
  <c r="Z42" i="2"/>
  <c r="Z47" i="2"/>
  <c r="Z84" i="2"/>
  <c r="AG70" i="2"/>
  <c r="Z44" i="2"/>
  <c r="AP16" i="2"/>
  <c r="AO16" i="2" s="1"/>
  <c r="AJ70" i="2"/>
  <c r="Z102" i="2"/>
  <c r="Z115" i="2"/>
  <c r="AF70" i="2"/>
  <c r="Z53" i="2"/>
  <c r="Z29" i="2"/>
  <c r="Z90" i="2"/>
  <c r="Z106" i="2"/>
  <c r="Z57" i="2"/>
  <c r="AM70" i="2"/>
  <c r="Z43" i="2"/>
  <c r="Z105" i="2"/>
  <c r="AL70" i="2"/>
  <c r="Z81" i="2"/>
  <c r="Z67" i="2"/>
  <c r="Z117" i="2"/>
  <c r="Z108" i="2"/>
  <c r="Z46" i="2"/>
  <c r="Z104" i="2"/>
  <c r="D70" i="2"/>
  <c r="Z27" i="2"/>
  <c r="Z120" i="2"/>
  <c r="Z78" i="2"/>
  <c r="Z114" i="2"/>
  <c r="Z110" i="2"/>
  <c r="Z39" i="2"/>
  <c r="F70" i="2"/>
  <c r="K70" i="2"/>
  <c r="Z50" i="2"/>
  <c r="Z65" i="2"/>
  <c r="Z62" i="2"/>
  <c r="Z63" i="2"/>
  <c r="Z59" i="2"/>
  <c r="Z66" i="2"/>
  <c r="Z88" i="2"/>
  <c r="Z89" i="2"/>
  <c r="Z85" i="2"/>
  <c r="Z93" i="2"/>
  <c r="Z91" i="2"/>
  <c r="Z86" i="2"/>
  <c r="Z68" i="2"/>
  <c r="Z92" i="2"/>
  <c r="Z87" i="2"/>
  <c r="Z69" i="2"/>
  <c r="J32" i="2"/>
  <c r="F154" i="13"/>
  <c r="E155" i="13"/>
  <c r="G136" i="13"/>
  <c r="H135" i="13"/>
  <c r="J135" i="13"/>
  <c r="F181" i="13"/>
  <c r="E182" i="13"/>
  <c r="J181" i="13"/>
  <c r="Q69" i="2"/>
  <c r="K90" i="13"/>
  <c r="G64" i="13"/>
  <c r="H63" i="13"/>
  <c r="J63" i="13"/>
  <c r="E29" i="13"/>
  <c r="F29" i="13" s="1"/>
  <c r="F28" i="13"/>
  <c r="AM62" i="2"/>
  <c r="P69" i="2"/>
  <c r="O93" i="2"/>
  <c r="S93" i="2"/>
  <c r="X93" i="2"/>
  <c r="F118" i="13"/>
  <c r="E119" i="13"/>
  <c r="E83" i="13"/>
  <c r="F82" i="13"/>
  <c r="F127" i="13"/>
  <c r="E128" i="13"/>
  <c r="E92" i="13"/>
  <c r="G91" i="13"/>
  <c r="F91" i="13"/>
  <c r="H117" i="13"/>
  <c r="G118" i="13"/>
  <c r="J117" i="13"/>
  <c r="AM59" i="2"/>
  <c r="G55" i="13"/>
  <c r="H54" i="13"/>
  <c r="J54" i="13"/>
  <c r="G46" i="13"/>
  <c r="H45" i="13"/>
  <c r="J45" i="13"/>
  <c r="C110" i="13"/>
  <c r="E110" i="13"/>
  <c r="F110" i="13" s="1"/>
  <c r="H94" i="2"/>
  <c r="D94" i="2"/>
  <c r="K94" i="2"/>
  <c r="M94" i="2"/>
  <c r="J94" i="2"/>
  <c r="G94" i="2"/>
  <c r="Z94" i="2" s="1"/>
  <c r="I94" i="2"/>
  <c r="E94" i="2"/>
  <c r="F94" i="2"/>
  <c r="L94" i="2"/>
  <c r="T69" i="2"/>
  <c r="W69" i="2"/>
  <c r="H108" i="13"/>
  <c r="G109" i="13"/>
  <c r="J108" i="13"/>
  <c r="H18" i="13"/>
  <c r="G19" i="13"/>
  <c r="J18" i="13"/>
  <c r="AM65" i="2"/>
  <c r="AM66" i="2"/>
  <c r="AM61" i="2"/>
  <c r="H72" i="13"/>
  <c r="G73" i="13"/>
  <c r="J72" i="13"/>
  <c r="F145" i="13"/>
  <c r="E146" i="13"/>
  <c r="T93" i="2"/>
  <c r="W93" i="2"/>
  <c r="R93" i="2"/>
  <c r="E74" i="13"/>
  <c r="F73" i="13"/>
  <c r="R69" i="2"/>
  <c r="S69" i="2"/>
  <c r="X69" i="2"/>
  <c r="H81" i="13"/>
  <c r="G82" i="13"/>
  <c r="H153" i="13"/>
  <c r="G154" i="13"/>
  <c r="J153" i="13"/>
  <c r="F64" i="13"/>
  <c r="E65" i="13"/>
  <c r="AM64" i="2"/>
  <c r="AM67" i="2"/>
  <c r="J172" i="13"/>
  <c r="C191" i="13"/>
  <c r="C182" i="13"/>
  <c r="C183" i="13" s="1"/>
  <c r="C184" i="13" s="1"/>
  <c r="C185" i="13" s="1"/>
  <c r="C186" i="13" s="1"/>
  <c r="C187" i="13" s="1"/>
  <c r="C188" i="13" s="1"/>
  <c r="C189" i="13" s="1"/>
  <c r="C190" i="13" s="1"/>
  <c r="H162" i="13"/>
  <c r="G163" i="13"/>
  <c r="Q93" i="2"/>
  <c r="E56" i="13"/>
  <c r="F55" i="13"/>
  <c r="P93" i="2"/>
  <c r="O69" i="2"/>
  <c r="F46" i="13"/>
  <c r="E47" i="13"/>
  <c r="H36" i="13"/>
  <c r="G37" i="13"/>
  <c r="J36" i="13"/>
  <c r="J81" i="13"/>
  <c r="AM63" i="2"/>
  <c r="AM68" i="2"/>
  <c r="E173" i="13"/>
  <c r="G172" i="13"/>
  <c r="F172" i="13"/>
  <c r="G145" i="13"/>
  <c r="H144" i="13"/>
  <c r="J144" i="13"/>
  <c r="B106" i="13"/>
  <c r="I107" i="13"/>
  <c r="K107" i="13" s="1"/>
  <c r="Z121" i="7"/>
  <c r="Z97" i="7"/>
  <c r="W121" i="7"/>
  <c r="AA68" i="7"/>
  <c r="AA128" i="7"/>
  <c r="AA92" i="7"/>
  <c r="AA102" i="7"/>
  <c r="AA107" i="7"/>
  <c r="AA150" i="7"/>
  <c r="AA146" i="7"/>
  <c r="AK98" i="7"/>
  <c r="AA85" i="7"/>
  <c r="AA136" i="7"/>
  <c r="AA138" i="7"/>
  <c r="AA87" i="7"/>
  <c r="AA119" i="7"/>
  <c r="P121" i="7"/>
  <c r="AN87" i="7"/>
  <c r="H122" i="7"/>
  <c r="P97" i="7"/>
  <c r="AN96" i="7"/>
  <c r="AA115" i="7"/>
  <c r="Y97" i="7"/>
  <c r="AJ98" i="7"/>
  <c r="AA106" i="7"/>
  <c r="AN94" i="7"/>
  <c r="H98" i="7"/>
  <c r="N98" i="7"/>
  <c r="AA147" i="7"/>
  <c r="J98" i="7"/>
  <c r="AA79" i="7"/>
  <c r="AA130" i="7"/>
  <c r="AN98" i="7"/>
  <c r="AA74" i="7"/>
  <c r="AA67" i="7"/>
  <c r="AA114" i="7"/>
  <c r="T121" i="7"/>
  <c r="J122" i="7"/>
  <c r="E122" i="7"/>
  <c r="AA135" i="7"/>
  <c r="AA113" i="7"/>
  <c r="N122" i="7"/>
  <c r="AB98" i="7"/>
  <c r="O98" i="7"/>
  <c r="F98" i="7"/>
  <c r="AA152" i="7"/>
  <c r="AA105" i="7"/>
  <c r="AF98" i="7"/>
  <c r="AA103" i="7"/>
  <c r="AL98" i="7"/>
  <c r="AA70" i="7"/>
  <c r="AA143" i="7"/>
  <c r="AA71" i="7"/>
  <c r="AA132" i="7"/>
  <c r="G98" i="7"/>
  <c r="AA96" i="7"/>
  <c r="Y121" i="7"/>
  <c r="F122" i="7"/>
  <c r="S97" i="7"/>
  <c r="AA116" i="7"/>
  <c r="AN92" i="7"/>
  <c r="AA149" i="7"/>
  <c r="X97" i="7"/>
  <c r="AN88" i="7"/>
  <c r="AE98" i="7"/>
  <c r="AI98" i="7"/>
  <c r="AC98" i="7"/>
  <c r="AA139" i="7"/>
  <c r="K98" i="7"/>
  <c r="AA131" i="7"/>
  <c r="AA75" i="7"/>
  <c r="AG98" i="7"/>
  <c r="AA133" i="7"/>
  <c r="E98" i="7"/>
  <c r="L98" i="7"/>
  <c r="AA94" i="7"/>
  <c r="AA120" i="7"/>
  <c r="I122" i="7"/>
  <c r="G122" i="7"/>
  <c r="T97" i="7"/>
  <c r="AA80" i="7"/>
  <c r="AA90" i="7"/>
  <c r="X121" i="7"/>
  <c r="AA88" i="7"/>
  <c r="AA144" i="7"/>
  <c r="AA98" i="7"/>
  <c r="AA108" i="7"/>
  <c r="AA110" i="7"/>
  <c r="AA129" i="7"/>
  <c r="AA112" i="7"/>
  <c r="AA81" i="7"/>
  <c r="AM98" i="7"/>
  <c r="AA78" i="7"/>
  <c r="M122" i="7"/>
  <c r="AA72" i="7"/>
  <c r="AA60" i="7"/>
  <c r="AA82" i="7"/>
  <c r="AA66" i="7"/>
  <c r="AA137" i="7"/>
  <c r="M98" i="7"/>
  <c r="AA69" i="7"/>
  <c r="AA151" i="7"/>
  <c r="AH98" i="7"/>
  <c r="AA109" i="7"/>
  <c r="AA148" i="7"/>
  <c r="AA93" i="7"/>
  <c r="AA117" i="7"/>
  <c r="AA97" i="7"/>
  <c r="L122" i="7"/>
  <c r="U97" i="7"/>
  <c r="AN93" i="7"/>
  <c r="U121" i="7"/>
  <c r="AN95" i="7"/>
  <c r="V97" i="7"/>
  <c r="AD98" i="7"/>
  <c r="AA95" i="7"/>
  <c r="AN90" i="7"/>
  <c r="V121" i="7"/>
  <c r="W97" i="7"/>
  <c r="AA73" i="7"/>
  <c r="AA89" i="7"/>
  <c r="AA141" i="7"/>
  <c r="AA104" i="7"/>
  <c r="AA84" i="7"/>
  <c r="AA83" i="7"/>
  <c r="I98" i="7"/>
  <c r="AA134" i="7"/>
  <c r="AA145" i="7"/>
  <c r="AA142" i="7"/>
  <c r="AA91" i="7"/>
  <c r="AA121" i="7"/>
  <c r="R97" i="7"/>
  <c r="Q97" i="7"/>
  <c r="K122" i="7"/>
  <c r="AN89" i="7"/>
  <c r="S121" i="7"/>
  <c r="Q121" i="7"/>
  <c r="AN91" i="7"/>
  <c r="R121" i="7"/>
  <c r="AA77" i="7"/>
  <c r="AA118" i="7"/>
  <c r="AA122" i="7"/>
  <c r="M46" i="7" l="1"/>
  <c r="M45" i="7" s="1"/>
  <c r="N45" i="7" s="1"/>
  <c r="N46" i="7" s="1"/>
  <c r="N47" i="7" s="1"/>
  <c r="N48" i="7" s="1"/>
  <c r="M41" i="7"/>
  <c r="M40" i="7" s="1"/>
  <c r="N40" i="7" s="1"/>
  <c r="N41" i="7" s="1"/>
  <c r="N42" i="7" s="1"/>
  <c r="N43" i="7" s="1"/>
  <c r="M32" i="7"/>
  <c r="N32" i="7" s="1"/>
  <c r="M30" i="7"/>
  <c r="N30" i="7" s="1"/>
  <c r="T94" i="2"/>
  <c r="W94" i="2"/>
  <c r="R70" i="2"/>
  <c r="Y70" i="2"/>
  <c r="E138" i="13"/>
  <c r="F137" i="13"/>
  <c r="G83" i="13"/>
  <c r="H82" i="13"/>
  <c r="J82" i="13"/>
  <c r="F56" i="13"/>
  <c r="E57" i="13"/>
  <c r="U94" i="2"/>
  <c r="V94" i="2"/>
  <c r="F182" i="13"/>
  <c r="E183" i="13"/>
  <c r="G182" i="13"/>
  <c r="J182" i="13" s="1"/>
  <c r="I95" i="2"/>
  <c r="F95" i="2"/>
  <c r="M95" i="2"/>
  <c r="G95" i="2"/>
  <c r="H95" i="2"/>
  <c r="L95" i="2"/>
  <c r="J95" i="2"/>
  <c r="D95" i="2"/>
  <c r="K95" i="2"/>
  <c r="E95" i="2"/>
  <c r="E165" i="13"/>
  <c r="F164" i="13"/>
  <c r="E39" i="13"/>
  <c r="F39" i="13" s="1"/>
  <c r="F38" i="13"/>
  <c r="E120" i="13"/>
  <c r="F120" i="13" s="1"/>
  <c r="F119" i="13"/>
  <c r="G119" i="13"/>
  <c r="H118" i="13"/>
  <c r="J118" i="13"/>
  <c r="G146" i="13"/>
  <c r="H145" i="13"/>
  <c r="J145" i="13"/>
  <c r="H163" i="13"/>
  <c r="G164" i="13"/>
  <c r="J163" i="13"/>
  <c r="E66" i="13"/>
  <c r="F65" i="13"/>
  <c r="H19" i="13"/>
  <c r="J19" i="13"/>
  <c r="N19" i="13" s="1"/>
  <c r="O94" i="2"/>
  <c r="R94" i="2"/>
  <c r="Y94" i="2"/>
  <c r="H91" i="13"/>
  <c r="G92" i="13"/>
  <c r="U70" i="2"/>
  <c r="V70" i="2"/>
  <c r="T70" i="2"/>
  <c r="W70" i="2"/>
  <c r="I18" i="13"/>
  <c r="K18" i="13" s="1"/>
  <c r="B17" i="13"/>
  <c r="E147" i="13"/>
  <c r="F146" i="13"/>
  <c r="H46" i="13"/>
  <c r="G47" i="13"/>
  <c r="J46" i="13"/>
  <c r="E48" i="13"/>
  <c r="F47" i="13"/>
  <c r="P94" i="2"/>
  <c r="F92" i="13"/>
  <c r="E93" i="13"/>
  <c r="O70" i="2"/>
  <c r="P70" i="2"/>
  <c r="G33" i="2"/>
  <c r="J33" i="2"/>
  <c r="H33" i="2"/>
  <c r="K33" i="2"/>
  <c r="I33" i="2"/>
  <c r="H37" i="13"/>
  <c r="G38" i="13"/>
  <c r="J37" i="13"/>
  <c r="H172" i="13"/>
  <c r="G173" i="13"/>
  <c r="E174" i="13"/>
  <c r="F173" i="13"/>
  <c r="H73" i="13"/>
  <c r="G74" i="13"/>
  <c r="J73" i="13"/>
  <c r="S94" i="2"/>
  <c r="X94" i="2"/>
  <c r="K181" i="13"/>
  <c r="M191" i="13" s="1"/>
  <c r="H55" i="13"/>
  <c r="G56" i="13"/>
  <c r="J55" i="13"/>
  <c r="E129" i="13"/>
  <c r="F128" i="13"/>
  <c r="H64" i="13"/>
  <c r="G65" i="13"/>
  <c r="J64" i="13"/>
  <c r="H136" i="13"/>
  <c r="G137" i="13"/>
  <c r="J136" i="13"/>
  <c r="S70" i="2"/>
  <c r="X70" i="2"/>
  <c r="Q70" i="2"/>
  <c r="G29" i="13"/>
  <c r="H28" i="13"/>
  <c r="J28" i="13"/>
  <c r="H127" i="13"/>
  <c r="G128" i="13"/>
  <c r="J127" i="13"/>
  <c r="F83" i="13"/>
  <c r="E84" i="13"/>
  <c r="B107" i="13"/>
  <c r="I108" i="13"/>
  <c r="K108" i="13" s="1"/>
  <c r="D191" i="13"/>
  <c r="D192" i="13" s="1"/>
  <c r="J191" i="13"/>
  <c r="C282" i="13"/>
  <c r="E192" i="13"/>
  <c r="C192" i="13"/>
  <c r="H154" i="13"/>
  <c r="G155" i="13"/>
  <c r="J154" i="13"/>
  <c r="E75" i="13"/>
  <c r="F74" i="13"/>
  <c r="G110" i="13"/>
  <c r="H109" i="13"/>
  <c r="J109" i="13"/>
  <c r="Q94" i="2"/>
  <c r="F155" i="13"/>
  <c r="E156" i="13"/>
  <c r="J91" i="13"/>
  <c r="U122" i="7"/>
  <c r="J123" i="7"/>
  <c r="L123" i="7"/>
  <c r="X122" i="7"/>
  <c r="G123" i="7"/>
  <c r="F123" i="7"/>
  <c r="Q122" i="7"/>
  <c r="S98" i="7"/>
  <c r="N123" i="7"/>
  <c r="Z98" i="7"/>
  <c r="V122" i="7"/>
  <c r="H123" i="7"/>
  <c r="V98" i="7"/>
  <c r="W122" i="7"/>
  <c r="I123" i="7"/>
  <c r="W98" i="7"/>
  <c r="P98" i="7"/>
  <c r="T98" i="7"/>
  <c r="Y122" i="7"/>
  <c r="M123" i="7"/>
  <c r="P122" i="7"/>
  <c r="U98" i="7"/>
  <c r="Q98" i="7"/>
  <c r="Y98" i="7"/>
  <c r="R122" i="7"/>
  <c r="E123" i="7"/>
  <c r="Z122" i="7"/>
  <c r="K123" i="7"/>
  <c r="S122" i="7"/>
  <c r="X98" i="7"/>
  <c r="T122" i="7"/>
  <c r="R98" i="7"/>
  <c r="M17" i="7" l="1"/>
  <c r="N17" i="7" s="1"/>
  <c r="M16" i="7"/>
  <c r="N16" i="7" s="1"/>
  <c r="M14" i="7"/>
  <c r="N14" i="7" s="1"/>
  <c r="M18" i="7"/>
  <c r="N18" i="7" s="1"/>
  <c r="H155" i="13"/>
  <c r="G156" i="13"/>
  <c r="J155" i="13"/>
  <c r="G174" i="13"/>
  <c r="H173" i="13"/>
  <c r="J173" i="13"/>
  <c r="E49" i="13"/>
  <c r="F49" i="13" s="1"/>
  <c r="F48" i="13"/>
  <c r="H164" i="13"/>
  <c r="G165" i="13"/>
  <c r="J164" i="13"/>
  <c r="F84" i="13"/>
  <c r="E85" i="13"/>
  <c r="T95" i="2"/>
  <c r="W95" i="2"/>
  <c r="E184" i="13"/>
  <c r="F183" i="13"/>
  <c r="H83" i="13"/>
  <c r="G84" i="13"/>
  <c r="J83" i="13"/>
  <c r="G183" i="13"/>
  <c r="H182" i="13"/>
  <c r="E193" i="13"/>
  <c r="C193" i="13"/>
  <c r="C202" i="13"/>
  <c r="G48" i="13"/>
  <c r="H47" i="13"/>
  <c r="J47" i="13"/>
  <c r="R95" i="2"/>
  <c r="Y95" i="2"/>
  <c r="E139" i="13"/>
  <c r="F138" i="13"/>
  <c r="F192" i="13"/>
  <c r="E202" i="13"/>
  <c r="H74" i="13"/>
  <c r="G75" i="13"/>
  <c r="J74" i="13"/>
  <c r="H38" i="13"/>
  <c r="G39" i="13"/>
  <c r="J38" i="13"/>
  <c r="H110" i="13"/>
  <c r="J110" i="13"/>
  <c r="N110" i="13" s="1"/>
  <c r="D282" i="13"/>
  <c r="D283" i="13" s="1"/>
  <c r="E283" i="13"/>
  <c r="J282" i="13"/>
  <c r="C283" i="13"/>
  <c r="C373" i="13"/>
  <c r="G129" i="13"/>
  <c r="H128" i="13"/>
  <c r="J128" i="13"/>
  <c r="E94" i="13"/>
  <c r="F93" i="13"/>
  <c r="H146" i="13"/>
  <c r="G147" i="13"/>
  <c r="J146" i="13"/>
  <c r="Q95" i="2"/>
  <c r="Z95" i="2"/>
  <c r="H29" i="13"/>
  <c r="J29" i="13"/>
  <c r="N29" i="13" s="1"/>
  <c r="B18" i="13"/>
  <c r="I19" i="13"/>
  <c r="K19" i="13" s="1"/>
  <c r="E130" i="13"/>
  <c r="F130" i="13" s="1"/>
  <c r="F129" i="13"/>
  <c r="J192" i="13"/>
  <c r="J202" i="13"/>
  <c r="K191" i="13"/>
  <c r="G138" i="13"/>
  <c r="H137" i="13"/>
  <c r="J137" i="13"/>
  <c r="H56" i="13"/>
  <c r="G57" i="13"/>
  <c r="J56" i="13"/>
  <c r="F147" i="13"/>
  <c r="E148" i="13"/>
  <c r="H92" i="13"/>
  <c r="G93" i="13"/>
  <c r="J92" i="13"/>
  <c r="E166" i="13"/>
  <c r="F165" i="13"/>
  <c r="E58" i="13"/>
  <c r="F57" i="13"/>
  <c r="D193" i="13"/>
  <c r="D194" i="13" s="1"/>
  <c r="D195" i="13" s="1"/>
  <c r="D196" i="13" s="1"/>
  <c r="D197" i="13" s="1"/>
  <c r="D198" i="13" s="1"/>
  <c r="D199" i="13" s="1"/>
  <c r="D200" i="13" s="1"/>
  <c r="D201" i="13" s="1"/>
  <c r="D202" i="13"/>
  <c r="E67" i="13"/>
  <c r="F66" i="13"/>
  <c r="P95" i="2"/>
  <c r="O95" i="2"/>
  <c r="G66" i="13"/>
  <c r="H65" i="13"/>
  <c r="J65" i="13"/>
  <c r="F75" i="13"/>
  <c r="E76" i="13"/>
  <c r="E157" i="13"/>
  <c r="F156" i="13"/>
  <c r="I109" i="13"/>
  <c r="K109" i="13" s="1"/>
  <c r="B108" i="13"/>
  <c r="F174" i="13"/>
  <c r="E175" i="13"/>
  <c r="H119" i="13"/>
  <c r="G120" i="13"/>
  <c r="J119" i="13"/>
  <c r="U95" i="2"/>
  <c r="V95" i="2"/>
  <c r="S95" i="2"/>
  <c r="X95" i="2"/>
  <c r="AA123" i="7"/>
  <c r="V123" i="7"/>
  <c r="W123" i="7"/>
  <c r="T123" i="7"/>
  <c r="Q123" i="7"/>
  <c r="Y123" i="7"/>
  <c r="U123" i="7"/>
  <c r="S123" i="7"/>
  <c r="X123" i="7"/>
  <c r="Z123" i="7"/>
  <c r="R123" i="7"/>
  <c r="P123" i="7"/>
  <c r="B109" i="13" l="1"/>
  <c r="I110" i="13"/>
  <c r="K110" i="13" s="1"/>
  <c r="E59" i="13"/>
  <c r="F59" i="13" s="1"/>
  <c r="F58" i="13"/>
  <c r="K192" i="13"/>
  <c r="I202" i="13" s="1"/>
  <c r="K202" i="13" s="1"/>
  <c r="I212" i="13" s="1"/>
  <c r="H129" i="13"/>
  <c r="G130" i="13"/>
  <c r="J129" i="13"/>
  <c r="C203" i="13"/>
  <c r="C204" i="13" s="1"/>
  <c r="C205" i="13" s="1"/>
  <c r="C206" i="13" s="1"/>
  <c r="C207" i="13" s="1"/>
  <c r="C208" i="13" s="1"/>
  <c r="C209" i="13" s="1"/>
  <c r="C210" i="13" s="1"/>
  <c r="C211" i="13" s="1"/>
  <c r="C212" i="13"/>
  <c r="H120" i="13"/>
  <c r="J120" i="13"/>
  <c r="N120" i="13" s="1"/>
  <c r="H39" i="13"/>
  <c r="J39" i="13"/>
  <c r="N39" i="13" s="1"/>
  <c r="C194" i="13"/>
  <c r="E194" i="13"/>
  <c r="F194" i="13" s="1"/>
  <c r="F157" i="13"/>
  <c r="E158" i="13"/>
  <c r="F166" i="13"/>
  <c r="E167" i="13"/>
  <c r="G148" i="13"/>
  <c r="H147" i="13"/>
  <c r="J147" i="13"/>
  <c r="E284" i="13"/>
  <c r="C293" i="13"/>
  <c r="C284" i="13"/>
  <c r="F193" i="13"/>
  <c r="G193" i="13"/>
  <c r="H57" i="13"/>
  <c r="G58" i="13"/>
  <c r="J57" i="13"/>
  <c r="C374" i="13"/>
  <c r="C464" i="13"/>
  <c r="J373" i="13"/>
  <c r="D373" i="13"/>
  <c r="D374" i="13" s="1"/>
  <c r="E374" i="13"/>
  <c r="F139" i="13"/>
  <c r="E140" i="13"/>
  <c r="F140" i="13" s="1"/>
  <c r="E185" i="13"/>
  <c r="F184" i="13"/>
  <c r="E77" i="13"/>
  <c r="F76" i="13"/>
  <c r="B19" i="13"/>
  <c r="I21" i="13"/>
  <c r="K21" i="13" s="1"/>
  <c r="J283" i="13"/>
  <c r="E68" i="13"/>
  <c r="F67" i="13"/>
  <c r="E176" i="13"/>
  <c r="F175" i="13"/>
  <c r="D203" i="13"/>
  <c r="D204" i="13" s="1"/>
  <c r="D205" i="13" s="1"/>
  <c r="D206" i="13" s="1"/>
  <c r="D207" i="13" s="1"/>
  <c r="D208" i="13" s="1"/>
  <c r="D209" i="13" s="1"/>
  <c r="D210" i="13" s="1"/>
  <c r="D211" i="13" s="1"/>
  <c r="D212" i="13"/>
  <c r="H93" i="13"/>
  <c r="G94" i="13"/>
  <c r="J93" i="13"/>
  <c r="F283" i="13"/>
  <c r="E293" i="13"/>
  <c r="H75" i="13"/>
  <c r="G76" i="13"/>
  <c r="J75" i="13"/>
  <c r="G184" i="13"/>
  <c r="H183" i="13"/>
  <c r="J183" i="13"/>
  <c r="E86" i="13"/>
  <c r="F85" i="13"/>
  <c r="H138" i="13"/>
  <c r="G139" i="13"/>
  <c r="J138" i="13"/>
  <c r="E95" i="13"/>
  <c r="F94" i="13"/>
  <c r="D284" i="13"/>
  <c r="D285" i="13" s="1"/>
  <c r="D286" i="13" s="1"/>
  <c r="D287" i="13" s="1"/>
  <c r="D288" i="13" s="1"/>
  <c r="D289" i="13" s="1"/>
  <c r="D290" i="13" s="1"/>
  <c r="D291" i="13" s="1"/>
  <c r="D292" i="13" s="1"/>
  <c r="D293" i="13"/>
  <c r="H174" i="13"/>
  <c r="G175" i="13"/>
  <c r="J174" i="13"/>
  <c r="F148" i="13"/>
  <c r="E149" i="13"/>
  <c r="I282" i="13"/>
  <c r="M282" i="13"/>
  <c r="E203" i="13"/>
  <c r="E212" i="13"/>
  <c r="F202" i="13"/>
  <c r="H84" i="13"/>
  <c r="G85" i="13"/>
  <c r="J84" i="13"/>
  <c r="H66" i="13"/>
  <c r="G67" i="13"/>
  <c r="J66" i="13"/>
  <c r="H48" i="13"/>
  <c r="G49" i="13"/>
  <c r="J48" i="13"/>
  <c r="G166" i="13"/>
  <c r="H165" i="13"/>
  <c r="J165" i="13"/>
  <c r="H156" i="13"/>
  <c r="G157" i="13"/>
  <c r="J156" i="13"/>
  <c r="E213" i="13" l="1"/>
  <c r="E222" i="13"/>
  <c r="F212" i="13"/>
  <c r="J212" i="13"/>
  <c r="E384" i="13"/>
  <c r="J384" i="13" s="1"/>
  <c r="F374" i="13"/>
  <c r="H193" i="13"/>
  <c r="G194" i="13"/>
  <c r="E168" i="13"/>
  <c r="F167" i="13"/>
  <c r="H157" i="13"/>
  <c r="G158" i="13"/>
  <c r="J157" i="13"/>
  <c r="E294" i="13"/>
  <c r="F293" i="13"/>
  <c r="E303" i="13"/>
  <c r="F176" i="13"/>
  <c r="E177" i="13"/>
  <c r="D375" i="13"/>
  <c r="D376" i="13" s="1"/>
  <c r="D377" i="13" s="1"/>
  <c r="D378" i="13" s="1"/>
  <c r="D379" i="13" s="1"/>
  <c r="D380" i="13" s="1"/>
  <c r="D381" i="13" s="1"/>
  <c r="D382" i="13" s="1"/>
  <c r="D383" i="13" s="1"/>
  <c r="D384" i="13"/>
  <c r="H139" i="13"/>
  <c r="G140" i="13"/>
  <c r="J139" i="13"/>
  <c r="E87" i="13"/>
  <c r="F86" i="13"/>
  <c r="J374" i="13"/>
  <c r="E285" i="13"/>
  <c r="F285" i="13" s="1"/>
  <c r="C285" i="13"/>
  <c r="E159" i="13"/>
  <c r="F158" i="13"/>
  <c r="C213" i="13"/>
  <c r="C214" i="13" s="1"/>
  <c r="C215" i="13" s="1"/>
  <c r="C216" i="13" s="1"/>
  <c r="C217" i="13" s="1"/>
  <c r="C218" i="13" s="1"/>
  <c r="C219" i="13" s="1"/>
  <c r="C220" i="13" s="1"/>
  <c r="C221" i="13" s="1"/>
  <c r="C222" i="13"/>
  <c r="I22" i="13"/>
  <c r="K22" i="13" s="1"/>
  <c r="B21" i="13"/>
  <c r="H148" i="13"/>
  <c r="G149" i="13"/>
  <c r="J148" i="13"/>
  <c r="F203" i="13"/>
  <c r="E204" i="13"/>
  <c r="G203" i="13"/>
  <c r="K282" i="13"/>
  <c r="I284" i="13"/>
  <c r="I283" i="13"/>
  <c r="K283" i="13" s="1"/>
  <c r="I293" i="13" s="1"/>
  <c r="F68" i="13"/>
  <c r="E69" i="13"/>
  <c r="F69" i="13" s="1"/>
  <c r="E78" i="13"/>
  <c r="F77" i="13"/>
  <c r="C555" i="13"/>
  <c r="C465" i="13"/>
  <c r="E465" i="13"/>
  <c r="D464" i="13"/>
  <c r="D465" i="13" s="1"/>
  <c r="J464" i="13"/>
  <c r="C294" i="13"/>
  <c r="C295" i="13" s="1"/>
  <c r="C296" i="13" s="1"/>
  <c r="C297" i="13" s="1"/>
  <c r="C298" i="13" s="1"/>
  <c r="C299" i="13" s="1"/>
  <c r="C300" i="13" s="1"/>
  <c r="C301" i="13" s="1"/>
  <c r="C302" i="13" s="1"/>
  <c r="C303" i="13"/>
  <c r="J193" i="13"/>
  <c r="B110" i="13"/>
  <c r="I112" i="13"/>
  <c r="K112" i="13" s="1"/>
  <c r="H76" i="13"/>
  <c r="G77" i="13"/>
  <c r="J76" i="13"/>
  <c r="D303" i="13"/>
  <c r="D294" i="13"/>
  <c r="D295" i="13" s="1"/>
  <c r="D296" i="13" s="1"/>
  <c r="D297" i="13" s="1"/>
  <c r="D298" i="13" s="1"/>
  <c r="D299" i="13" s="1"/>
  <c r="D300" i="13" s="1"/>
  <c r="D301" i="13" s="1"/>
  <c r="D302" i="13" s="1"/>
  <c r="G95" i="13"/>
  <c r="H94" i="13"/>
  <c r="J94" i="13"/>
  <c r="C384" i="13"/>
  <c r="C375" i="13"/>
  <c r="E375" i="13"/>
  <c r="G284" i="13"/>
  <c r="J284" i="13" s="1"/>
  <c r="F284" i="13"/>
  <c r="H49" i="13"/>
  <c r="J49" i="13"/>
  <c r="N49" i="13" s="1"/>
  <c r="F149" i="13"/>
  <c r="E150" i="13"/>
  <c r="F150" i="13" s="1"/>
  <c r="G167" i="13"/>
  <c r="H166" i="13"/>
  <c r="J166" i="13"/>
  <c r="H85" i="13"/>
  <c r="G86" i="13"/>
  <c r="J85" i="13"/>
  <c r="F95" i="13"/>
  <c r="E96" i="13"/>
  <c r="H184" i="13"/>
  <c r="G185" i="13"/>
  <c r="J184" i="13"/>
  <c r="J293" i="13"/>
  <c r="F185" i="13"/>
  <c r="E186" i="13"/>
  <c r="E195" i="13"/>
  <c r="F195" i="13" s="1"/>
  <c r="C195" i="13"/>
  <c r="H130" i="13"/>
  <c r="J130" i="13"/>
  <c r="N130" i="13" s="1"/>
  <c r="G176" i="13"/>
  <c r="H175" i="13"/>
  <c r="J175" i="13"/>
  <c r="H67" i="13"/>
  <c r="G68" i="13"/>
  <c r="J67" i="13"/>
  <c r="D222" i="13"/>
  <c r="D213" i="13"/>
  <c r="D214" i="13" s="1"/>
  <c r="D215" i="13" s="1"/>
  <c r="D216" i="13" s="1"/>
  <c r="D217" i="13" s="1"/>
  <c r="D218" i="13" s="1"/>
  <c r="D219" i="13" s="1"/>
  <c r="D220" i="13" s="1"/>
  <c r="D221" i="13" s="1"/>
  <c r="G59" i="13"/>
  <c r="H58" i="13"/>
  <c r="J58" i="13"/>
  <c r="K284" i="13" l="1"/>
  <c r="H86" i="13"/>
  <c r="G87" i="13"/>
  <c r="J86" i="13"/>
  <c r="G96" i="13"/>
  <c r="H95" i="13"/>
  <c r="J95" i="13"/>
  <c r="K193" i="13"/>
  <c r="I373" i="13"/>
  <c r="M373" i="13"/>
  <c r="D394" i="13"/>
  <c r="D385" i="13"/>
  <c r="D386" i="13" s="1"/>
  <c r="D387" i="13" s="1"/>
  <c r="D388" i="13" s="1"/>
  <c r="D389" i="13" s="1"/>
  <c r="D390" i="13" s="1"/>
  <c r="D391" i="13" s="1"/>
  <c r="D392" i="13" s="1"/>
  <c r="D393" i="13" s="1"/>
  <c r="H158" i="13"/>
  <c r="G159" i="13"/>
  <c r="J158" i="13"/>
  <c r="D555" i="13"/>
  <c r="D556" i="13" s="1"/>
  <c r="J555" i="13"/>
  <c r="C556" i="13"/>
  <c r="C646" i="13"/>
  <c r="E556" i="13"/>
  <c r="C304" i="13"/>
  <c r="C305" i="13" s="1"/>
  <c r="C306" i="13" s="1"/>
  <c r="C307" i="13" s="1"/>
  <c r="C308" i="13" s="1"/>
  <c r="C309" i="13" s="1"/>
  <c r="C310" i="13" s="1"/>
  <c r="C311" i="13" s="1"/>
  <c r="C312" i="13" s="1"/>
  <c r="C313" i="13"/>
  <c r="B22" i="13"/>
  <c r="I23" i="13"/>
  <c r="K23" i="13" s="1"/>
  <c r="H59" i="13"/>
  <c r="J59" i="13"/>
  <c r="N59" i="13" s="1"/>
  <c r="G285" i="13"/>
  <c r="H284" i="13"/>
  <c r="D313" i="13"/>
  <c r="D304" i="13"/>
  <c r="D305" i="13" s="1"/>
  <c r="D306" i="13" s="1"/>
  <c r="D307" i="13" s="1"/>
  <c r="D308" i="13" s="1"/>
  <c r="D309" i="13" s="1"/>
  <c r="D310" i="13" s="1"/>
  <c r="D311" i="13" s="1"/>
  <c r="D312" i="13" s="1"/>
  <c r="G204" i="13"/>
  <c r="H203" i="13"/>
  <c r="J203" i="13"/>
  <c r="C232" i="13"/>
  <c r="C223" i="13"/>
  <c r="C224" i="13" s="1"/>
  <c r="C225" i="13" s="1"/>
  <c r="C226" i="13" s="1"/>
  <c r="C227" i="13" s="1"/>
  <c r="C228" i="13" s="1"/>
  <c r="C229" i="13" s="1"/>
  <c r="C230" i="13" s="1"/>
  <c r="C231" i="13" s="1"/>
  <c r="E178" i="13"/>
  <c r="F177" i="13"/>
  <c r="E232" i="13"/>
  <c r="F222" i="13"/>
  <c r="E223" i="13"/>
  <c r="J222" i="13"/>
  <c r="E385" i="13"/>
  <c r="E394" i="13"/>
  <c r="F384" i="13"/>
  <c r="G186" i="13"/>
  <c r="H185" i="13"/>
  <c r="J185" i="13"/>
  <c r="F375" i="13"/>
  <c r="G375" i="13"/>
  <c r="J375" i="13" s="1"/>
  <c r="J465" i="13"/>
  <c r="F204" i="13"/>
  <c r="E205" i="13"/>
  <c r="E88" i="13"/>
  <c r="F87" i="13"/>
  <c r="F168" i="13"/>
  <c r="E169" i="13"/>
  <c r="G213" i="13"/>
  <c r="J213" i="13" s="1"/>
  <c r="E214" i="13"/>
  <c r="F213" i="13"/>
  <c r="F78" i="13"/>
  <c r="E79" i="13"/>
  <c r="F79" i="13" s="1"/>
  <c r="H176" i="13"/>
  <c r="G177" i="13"/>
  <c r="J176" i="13"/>
  <c r="D223" i="13"/>
  <c r="D224" i="13" s="1"/>
  <c r="D225" i="13" s="1"/>
  <c r="D226" i="13" s="1"/>
  <c r="D227" i="13" s="1"/>
  <c r="D228" i="13" s="1"/>
  <c r="D229" i="13" s="1"/>
  <c r="D230" i="13" s="1"/>
  <c r="D231" i="13" s="1"/>
  <c r="D232" i="13"/>
  <c r="G168" i="13"/>
  <c r="H167" i="13"/>
  <c r="J167" i="13"/>
  <c r="E376" i="13"/>
  <c r="F376" i="13" s="1"/>
  <c r="C376" i="13"/>
  <c r="G78" i="13"/>
  <c r="H77" i="13"/>
  <c r="J77" i="13"/>
  <c r="D475" i="13"/>
  <c r="D466" i="13"/>
  <c r="D467" i="13" s="1"/>
  <c r="D468" i="13" s="1"/>
  <c r="D469" i="13" s="1"/>
  <c r="D470" i="13" s="1"/>
  <c r="D471" i="13" s="1"/>
  <c r="D472" i="13" s="1"/>
  <c r="D473" i="13" s="1"/>
  <c r="D474" i="13" s="1"/>
  <c r="K212" i="13"/>
  <c r="I222" i="13" s="1"/>
  <c r="E313" i="13"/>
  <c r="E304" i="13"/>
  <c r="F303" i="13"/>
  <c r="J303" i="13"/>
  <c r="H194" i="13"/>
  <c r="G195" i="13"/>
  <c r="J194" i="13"/>
  <c r="E97" i="13"/>
  <c r="F96" i="13"/>
  <c r="C394" i="13"/>
  <c r="C385" i="13"/>
  <c r="C386" i="13" s="1"/>
  <c r="C387" i="13" s="1"/>
  <c r="C388" i="13" s="1"/>
  <c r="C389" i="13" s="1"/>
  <c r="C390" i="13" s="1"/>
  <c r="C391" i="13" s="1"/>
  <c r="C392" i="13" s="1"/>
  <c r="C393" i="13" s="1"/>
  <c r="E475" i="13"/>
  <c r="J475" i="13" s="1"/>
  <c r="F465" i="13"/>
  <c r="F159" i="13"/>
  <c r="E160" i="13"/>
  <c r="F160" i="13" s="1"/>
  <c r="E187" i="13"/>
  <c r="F186" i="13"/>
  <c r="B284" i="13"/>
  <c r="I285" i="13"/>
  <c r="C196" i="13"/>
  <c r="E196" i="13"/>
  <c r="F196" i="13" s="1"/>
  <c r="G69" i="13"/>
  <c r="H68" i="13"/>
  <c r="J68" i="13"/>
  <c r="I113" i="13"/>
  <c r="K113" i="13" s="1"/>
  <c r="B112" i="13"/>
  <c r="C475" i="13"/>
  <c r="E466" i="13"/>
  <c r="C466" i="13"/>
  <c r="K293" i="13"/>
  <c r="H149" i="13"/>
  <c r="G150" i="13"/>
  <c r="J149" i="13"/>
  <c r="E286" i="13"/>
  <c r="F286" i="13" s="1"/>
  <c r="C286" i="13"/>
  <c r="H140" i="13"/>
  <c r="J140" i="13"/>
  <c r="N140" i="13" s="1"/>
  <c r="G294" i="13"/>
  <c r="F294" i="13"/>
  <c r="E295" i="13"/>
  <c r="C404" i="13" l="1"/>
  <c r="C395" i="13"/>
  <c r="C396" i="13" s="1"/>
  <c r="C397" i="13" s="1"/>
  <c r="C398" i="13" s="1"/>
  <c r="C399" i="13" s="1"/>
  <c r="C400" i="13" s="1"/>
  <c r="C401" i="13" s="1"/>
  <c r="C402" i="13" s="1"/>
  <c r="C403" i="13" s="1"/>
  <c r="E305" i="13"/>
  <c r="G304" i="13"/>
  <c r="F304" i="13"/>
  <c r="E377" i="13"/>
  <c r="F377" i="13" s="1"/>
  <c r="C377" i="13"/>
  <c r="H177" i="13"/>
  <c r="G178" i="13"/>
  <c r="J177" i="13"/>
  <c r="J646" i="13"/>
  <c r="E647" i="13"/>
  <c r="D646" i="13"/>
  <c r="D647" i="13" s="1"/>
  <c r="C737" i="13"/>
  <c r="C647" i="13"/>
  <c r="H96" i="13"/>
  <c r="G97" i="13"/>
  <c r="J96" i="13"/>
  <c r="I114" i="13"/>
  <c r="K114" i="13" s="1"/>
  <c r="B113" i="13"/>
  <c r="E224" i="13"/>
  <c r="G223" i="13"/>
  <c r="J223" i="13" s="1"/>
  <c r="F223" i="13"/>
  <c r="D404" i="13"/>
  <c r="D395" i="13"/>
  <c r="D396" i="13" s="1"/>
  <c r="D397" i="13" s="1"/>
  <c r="D398" i="13" s="1"/>
  <c r="D399" i="13" s="1"/>
  <c r="D400" i="13" s="1"/>
  <c r="D401" i="13" s="1"/>
  <c r="D402" i="13" s="1"/>
  <c r="D403" i="13" s="1"/>
  <c r="F295" i="13"/>
  <c r="E296" i="13"/>
  <c r="H150" i="13"/>
  <c r="J150" i="13"/>
  <c r="N150" i="13" s="1"/>
  <c r="E188" i="13"/>
  <c r="F187" i="13"/>
  <c r="F97" i="13"/>
  <c r="E98" i="13"/>
  <c r="K222" i="13"/>
  <c r="I232" i="13" s="1"/>
  <c r="F88" i="13"/>
  <c r="E89" i="13"/>
  <c r="F89" i="13" s="1"/>
  <c r="G205" i="13"/>
  <c r="H204" i="13"/>
  <c r="J204" i="13"/>
  <c r="I24" i="13"/>
  <c r="K24" i="13" s="1"/>
  <c r="B23" i="13"/>
  <c r="J556" i="13"/>
  <c r="G88" i="13"/>
  <c r="H87" i="13"/>
  <c r="J87" i="13"/>
  <c r="G187" i="13"/>
  <c r="H186" i="13"/>
  <c r="J186" i="13"/>
  <c r="E242" i="13"/>
  <c r="F232" i="13"/>
  <c r="E233" i="13"/>
  <c r="J232" i="13"/>
  <c r="D566" i="13"/>
  <c r="D557" i="13"/>
  <c r="D558" i="13" s="1"/>
  <c r="D559" i="13" s="1"/>
  <c r="D560" i="13" s="1"/>
  <c r="D561" i="13" s="1"/>
  <c r="D562" i="13" s="1"/>
  <c r="D563" i="13" s="1"/>
  <c r="D564" i="13" s="1"/>
  <c r="D565" i="13" s="1"/>
  <c r="K373" i="13"/>
  <c r="I375" i="13"/>
  <c r="K375" i="13" s="1"/>
  <c r="I374" i="13"/>
  <c r="K374" i="13" s="1"/>
  <c r="I384" i="13" s="1"/>
  <c r="K384" i="13" s="1"/>
  <c r="I394" i="13" s="1"/>
  <c r="F205" i="13"/>
  <c r="E206" i="13"/>
  <c r="G295" i="13"/>
  <c r="H294" i="13"/>
  <c r="B293" i="13"/>
  <c r="I303" i="13"/>
  <c r="K303" i="13" s="1"/>
  <c r="I313" i="13" s="1"/>
  <c r="K313" i="13" s="1"/>
  <c r="I323" i="13" s="1"/>
  <c r="H69" i="13"/>
  <c r="J69" i="13"/>
  <c r="N69" i="13" s="1"/>
  <c r="H195" i="13"/>
  <c r="G196" i="13"/>
  <c r="J195" i="13"/>
  <c r="D485" i="13"/>
  <c r="D476" i="13"/>
  <c r="D477" i="13" s="1"/>
  <c r="D478" i="13" s="1"/>
  <c r="D479" i="13" s="1"/>
  <c r="D480" i="13" s="1"/>
  <c r="D481" i="13" s="1"/>
  <c r="D482" i="13" s="1"/>
  <c r="D483" i="13" s="1"/>
  <c r="D484" i="13" s="1"/>
  <c r="H168" i="13"/>
  <c r="G169" i="13"/>
  <c r="J168" i="13"/>
  <c r="D314" i="13"/>
  <c r="D315" i="13" s="1"/>
  <c r="D316" i="13" s="1"/>
  <c r="D317" i="13" s="1"/>
  <c r="D318" i="13" s="1"/>
  <c r="D319" i="13" s="1"/>
  <c r="D320" i="13" s="1"/>
  <c r="D321" i="13" s="1"/>
  <c r="D322" i="13" s="1"/>
  <c r="D323" i="13"/>
  <c r="C323" i="13"/>
  <c r="C314" i="13"/>
  <c r="C315" i="13" s="1"/>
  <c r="C316" i="13" s="1"/>
  <c r="C317" i="13" s="1"/>
  <c r="C318" i="13" s="1"/>
  <c r="C319" i="13" s="1"/>
  <c r="C320" i="13" s="1"/>
  <c r="C321" i="13" s="1"/>
  <c r="C322" i="13" s="1"/>
  <c r="I194" i="13"/>
  <c r="K194" i="13" s="1"/>
  <c r="B193" i="13"/>
  <c r="E323" i="13"/>
  <c r="E314" i="13"/>
  <c r="F313" i="13"/>
  <c r="J313" i="13"/>
  <c r="D233" i="13"/>
  <c r="D234" i="13" s="1"/>
  <c r="D235" i="13" s="1"/>
  <c r="D236" i="13" s="1"/>
  <c r="D237" i="13" s="1"/>
  <c r="D238" i="13" s="1"/>
  <c r="D239" i="13" s="1"/>
  <c r="D240" i="13" s="1"/>
  <c r="D241" i="13" s="1"/>
  <c r="D242" i="13"/>
  <c r="E215" i="13"/>
  <c r="F214" i="13"/>
  <c r="E179" i="13"/>
  <c r="F178" i="13"/>
  <c r="C566" i="13"/>
  <c r="C557" i="13"/>
  <c r="E557" i="13"/>
  <c r="G466" i="13"/>
  <c r="J466" i="13" s="1"/>
  <c r="F466" i="13"/>
  <c r="J304" i="13"/>
  <c r="H213" i="13"/>
  <c r="G214" i="13"/>
  <c r="E404" i="13"/>
  <c r="E395" i="13"/>
  <c r="F394" i="13"/>
  <c r="J394" i="13"/>
  <c r="H285" i="13"/>
  <c r="G286" i="13"/>
  <c r="J285" i="13"/>
  <c r="K285" i="13" s="1"/>
  <c r="J294" i="13"/>
  <c r="H159" i="13"/>
  <c r="G160" i="13"/>
  <c r="J159" i="13"/>
  <c r="C467" i="13"/>
  <c r="E467" i="13"/>
  <c r="F467" i="13" s="1"/>
  <c r="E197" i="13"/>
  <c r="F197" i="13" s="1"/>
  <c r="C197" i="13"/>
  <c r="F475" i="13"/>
  <c r="E485" i="13"/>
  <c r="E476" i="13"/>
  <c r="E287" i="13"/>
  <c r="F287" i="13" s="1"/>
  <c r="C287" i="13"/>
  <c r="C485" i="13"/>
  <c r="C476" i="13"/>
  <c r="C477" i="13" s="1"/>
  <c r="C478" i="13" s="1"/>
  <c r="C479" i="13" s="1"/>
  <c r="C480" i="13" s="1"/>
  <c r="C481" i="13" s="1"/>
  <c r="C482" i="13" s="1"/>
  <c r="C483" i="13" s="1"/>
  <c r="C484" i="13" s="1"/>
  <c r="H78" i="13"/>
  <c r="G79" i="13"/>
  <c r="J78" i="13"/>
  <c r="F169" i="13"/>
  <c r="E170" i="13"/>
  <c r="F170" i="13" s="1"/>
  <c r="H375" i="13"/>
  <c r="G376" i="13"/>
  <c r="E386" i="13"/>
  <c r="F385" i="13"/>
  <c r="G385" i="13"/>
  <c r="C233" i="13"/>
  <c r="C234" i="13" s="1"/>
  <c r="C235" i="13" s="1"/>
  <c r="C236" i="13" s="1"/>
  <c r="C237" i="13" s="1"/>
  <c r="C238" i="13" s="1"/>
  <c r="C239" i="13" s="1"/>
  <c r="C240" i="13" s="1"/>
  <c r="C241" i="13" s="1"/>
  <c r="C242" i="13"/>
  <c r="F556" i="13"/>
  <c r="E566" i="13"/>
  <c r="K232" i="13" l="1"/>
  <c r="I242" i="13" s="1"/>
  <c r="K394" i="13"/>
  <c r="I404" i="13" s="1"/>
  <c r="B375" i="13"/>
  <c r="I376" i="13"/>
  <c r="E99" i="13"/>
  <c r="F99" i="13" s="1"/>
  <c r="F98" i="13"/>
  <c r="H97" i="13"/>
  <c r="G98" i="13"/>
  <c r="J97" i="13"/>
  <c r="E306" i="13"/>
  <c r="F305" i="13"/>
  <c r="G467" i="13"/>
  <c r="H466" i="13"/>
  <c r="E216" i="13"/>
  <c r="F215" i="13"/>
  <c r="B194" i="13"/>
  <c r="I195" i="13"/>
  <c r="K195" i="13" s="1"/>
  <c r="I464" i="13"/>
  <c r="M464" i="13"/>
  <c r="B24" i="13"/>
  <c r="I25" i="13"/>
  <c r="K25" i="13" s="1"/>
  <c r="D405" i="13"/>
  <c r="D406" i="13" s="1"/>
  <c r="D407" i="13" s="1"/>
  <c r="D408" i="13" s="1"/>
  <c r="D409" i="13" s="1"/>
  <c r="D410" i="13" s="1"/>
  <c r="D411" i="13" s="1"/>
  <c r="D412" i="13" s="1"/>
  <c r="D413" i="13" s="1"/>
  <c r="D414" i="13"/>
  <c r="F242" i="13"/>
  <c r="E243" i="13"/>
  <c r="E252" i="13"/>
  <c r="J242" i="13"/>
  <c r="D495" i="13"/>
  <c r="D486" i="13"/>
  <c r="D487" i="13" s="1"/>
  <c r="D488" i="13" s="1"/>
  <c r="D489" i="13" s="1"/>
  <c r="D490" i="13" s="1"/>
  <c r="D491" i="13" s="1"/>
  <c r="D492" i="13" s="1"/>
  <c r="D493" i="13" s="1"/>
  <c r="D494" i="13" s="1"/>
  <c r="G188" i="13"/>
  <c r="H187" i="13"/>
  <c r="J187" i="13"/>
  <c r="C657" i="13"/>
  <c r="C648" i="13"/>
  <c r="C649" i="13" s="1"/>
  <c r="C650" i="13" s="1"/>
  <c r="C651" i="13" s="1"/>
  <c r="C652" i="13" s="1"/>
  <c r="C653" i="13" s="1"/>
  <c r="C654" i="13" s="1"/>
  <c r="C655" i="13" s="1"/>
  <c r="C656" i="13" s="1"/>
  <c r="G179" i="13"/>
  <c r="H178" i="13"/>
  <c r="J178" i="13"/>
  <c r="C414" i="13"/>
  <c r="C405" i="13"/>
  <c r="C406" i="13" s="1"/>
  <c r="C407" i="13" s="1"/>
  <c r="C408" i="13" s="1"/>
  <c r="C409" i="13" s="1"/>
  <c r="C410" i="13" s="1"/>
  <c r="C411" i="13" s="1"/>
  <c r="C412" i="13" s="1"/>
  <c r="C413" i="13" s="1"/>
  <c r="C288" i="13"/>
  <c r="E288" i="13"/>
  <c r="F288" i="13" s="1"/>
  <c r="D252" i="13"/>
  <c r="D243" i="13"/>
  <c r="D244" i="13" s="1"/>
  <c r="D245" i="13" s="1"/>
  <c r="D246" i="13" s="1"/>
  <c r="D247" i="13" s="1"/>
  <c r="D248" i="13" s="1"/>
  <c r="D249" i="13" s="1"/>
  <c r="D250" i="13" s="1"/>
  <c r="D251" i="13" s="1"/>
  <c r="F476" i="13"/>
  <c r="G476" i="13"/>
  <c r="E477" i="13"/>
  <c r="H160" i="13"/>
  <c r="J160" i="13"/>
  <c r="N160" i="13" s="1"/>
  <c r="E396" i="13"/>
  <c r="G395" i="13"/>
  <c r="F395" i="13"/>
  <c r="E558" i="13"/>
  <c r="F558" i="13" s="1"/>
  <c r="C558" i="13"/>
  <c r="C333" i="13"/>
  <c r="C324" i="13"/>
  <c r="C325" i="13" s="1"/>
  <c r="C326" i="13" s="1"/>
  <c r="C327" i="13" s="1"/>
  <c r="C328" i="13" s="1"/>
  <c r="C329" i="13" s="1"/>
  <c r="C330" i="13" s="1"/>
  <c r="C331" i="13" s="1"/>
  <c r="C332" i="13" s="1"/>
  <c r="H295" i="13"/>
  <c r="G296" i="13"/>
  <c r="J295" i="13"/>
  <c r="D576" i="13"/>
  <c r="D567" i="13"/>
  <c r="D568" i="13" s="1"/>
  <c r="D569" i="13" s="1"/>
  <c r="D570" i="13" s="1"/>
  <c r="D571" i="13" s="1"/>
  <c r="D572" i="13" s="1"/>
  <c r="D573" i="13" s="1"/>
  <c r="D574" i="13" s="1"/>
  <c r="D575" i="13" s="1"/>
  <c r="F188" i="13"/>
  <c r="E189" i="13"/>
  <c r="H223" i="13"/>
  <c r="G224" i="13"/>
  <c r="D737" i="13"/>
  <c r="D738" i="13" s="1"/>
  <c r="C738" i="13"/>
  <c r="E738" i="13"/>
  <c r="J737" i="13"/>
  <c r="F323" i="13"/>
  <c r="E333" i="13"/>
  <c r="E324" i="13"/>
  <c r="J323" i="13"/>
  <c r="J395" i="13"/>
  <c r="C252" i="13"/>
  <c r="C243" i="13"/>
  <c r="C244" i="13" s="1"/>
  <c r="C245" i="13" s="1"/>
  <c r="C246" i="13" s="1"/>
  <c r="C247" i="13" s="1"/>
  <c r="C248" i="13" s="1"/>
  <c r="C249" i="13" s="1"/>
  <c r="C250" i="13" s="1"/>
  <c r="C251" i="13" s="1"/>
  <c r="F557" i="13"/>
  <c r="G557" i="13"/>
  <c r="J557" i="13" s="1"/>
  <c r="G386" i="13"/>
  <c r="H385" i="13"/>
  <c r="J385" i="13"/>
  <c r="H79" i="13"/>
  <c r="J79" i="13"/>
  <c r="N79" i="13" s="1"/>
  <c r="F485" i="13"/>
  <c r="E486" i="13"/>
  <c r="E495" i="13"/>
  <c r="J485" i="13"/>
  <c r="F404" i="13"/>
  <c r="E405" i="13"/>
  <c r="E414" i="13"/>
  <c r="J404" i="13"/>
  <c r="C576" i="13"/>
  <c r="C567" i="13"/>
  <c r="C568" i="13" s="1"/>
  <c r="C569" i="13" s="1"/>
  <c r="C570" i="13" s="1"/>
  <c r="C571" i="13" s="1"/>
  <c r="C572" i="13" s="1"/>
  <c r="C573" i="13" s="1"/>
  <c r="C574" i="13" s="1"/>
  <c r="C575" i="13" s="1"/>
  <c r="D324" i="13"/>
  <c r="D325" i="13" s="1"/>
  <c r="D326" i="13" s="1"/>
  <c r="D327" i="13" s="1"/>
  <c r="D328" i="13" s="1"/>
  <c r="D329" i="13" s="1"/>
  <c r="D330" i="13" s="1"/>
  <c r="D331" i="13" s="1"/>
  <c r="D332" i="13" s="1"/>
  <c r="D333" i="13"/>
  <c r="G197" i="13"/>
  <c r="H196" i="13"/>
  <c r="J196" i="13"/>
  <c r="F206" i="13"/>
  <c r="E207" i="13"/>
  <c r="H205" i="13"/>
  <c r="G206" i="13"/>
  <c r="J205" i="13"/>
  <c r="E225" i="13"/>
  <c r="F224" i="13"/>
  <c r="D648" i="13"/>
  <c r="D649" i="13" s="1"/>
  <c r="D650" i="13" s="1"/>
  <c r="D651" i="13" s="1"/>
  <c r="D652" i="13" s="1"/>
  <c r="D653" i="13" s="1"/>
  <c r="D654" i="13" s="1"/>
  <c r="D655" i="13" s="1"/>
  <c r="D656" i="13" s="1"/>
  <c r="D657" i="13"/>
  <c r="C378" i="13"/>
  <c r="E378" i="13"/>
  <c r="F378" i="13" s="1"/>
  <c r="H376" i="13"/>
  <c r="G377" i="13"/>
  <c r="J376" i="13"/>
  <c r="K404" i="13"/>
  <c r="I414" i="13" s="1"/>
  <c r="G305" i="13"/>
  <c r="H304" i="13"/>
  <c r="E567" i="13"/>
  <c r="E576" i="13"/>
  <c r="F566" i="13"/>
  <c r="C486" i="13"/>
  <c r="C487" i="13" s="1"/>
  <c r="C488" i="13" s="1"/>
  <c r="C489" i="13" s="1"/>
  <c r="C490" i="13" s="1"/>
  <c r="C491" i="13" s="1"/>
  <c r="C492" i="13" s="1"/>
  <c r="C493" i="13" s="1"/>
  <c r="C494" i="13" s="1"/>
  <c r="C495" i="13"/>
  <c r="G215" i="13"/>
  <c r="H214" i="13"/>
  <c r="J214" i="13"/>
  <c r="E234" i="13"/>
  <c r="G233" i="13"/>
  <c r="F233" i="13"/>
  <c r="H88" i="13"/>
  <c r="G89" i="13"/>
  <c r="J88" i="13"/>
  <c r="E657" i="13"/>
  <c r="F647" i="13"/>
  <c r="E648" i="13"/>
  <c r="H286" i="13"/>
  <c r="G287" i="13"/>
  <c r="J286" i="13"/>
  <c r="G170" i="13"/>
  <c r="H169" i="13"/>
  <c r="J169" i="13"/>
  <c r="C468" i="13"/>
  <c r="E468" i="13"/>
  <c r="F468" i="13" s="1"/>
  <c r="F386" i="13"/>
  <c r="E387" i="13"/>
  <c r="I286" i="13"/>
  <c r="B285" i="13"/>
  <c r="C198" i="13"/>
  <c r="E198" i="13"/>
  <c r="F198" i="13" s="1"/>
  <c r="E180" i="13"/>
  <c r="F180" i="13" s="1"/>
  <c r="F179" i="13"/>
  <c r="F314" i="13"/>
  <c r="E315" i="13"/>
  <c r="G314" i="13"/>
  <c r="J566" i="13"/>
  <c r="E297" i="13"/>
  <c r="F296" i="13"/>
  <c r="B114" i="13"/>
  <c r="I115" i="13"/>
  <c r="K115" i="13" s="1"/>
  <c r="J647" i="13"/>
  <c r="J657" i="13"/>
  <c r="C262" i="13" l="1"/>
  <c r="C253" i="13"/>
  <c r="C254" i="13" s="1"/>
  <c r="C255" i="13" s="1"/>
  <c r="C256" i="13" s="1"/>
  <c r="C257" i="13" s="1"/>
  <c r="C258" i="13" s="1"/>
  <c r="C259" i="13" s="1"/>
  <c r="C260" i="13" s="1"/>
  <c r="C261" i="13" s="1"/>
  <c r="F315" i="13"/>
  <c r="E316" i="13"/>
  <c r="K286" i="13"/>
  <c r="H170" i="13"/>
  <c r="J170" i="13"/>
  <c r="N170" i="13" s="1"/>
  <c r="H89" i="13"/>
  <c r="J89" i="13"/>
  <c r="N89" i="13" s="1"/>
  <c r="C496" i="13"/>
  <c r="C497" i="13" s="1"/>
  <c r="C498" i="13" s="1"/>
  <c r="C499" i="13" s="1"/>
  <c r="C500" i="13" s="1"/>
  <c r="C501" i="13" s="1"/>
  <c r="C502" i="13" s="1"/>
  <c r="C503" i="13" s="1"/>
  <c r="C504" i="13" s="1"/>
  <c r="C505" i="13"/>
  <c r="E226" i="13"/>
  <c r="F225" i="13"/>
  <c r="E415" i="13"/>
  <c r="F414" i="13"/>
  <c r="E424" i="13"/>
  <c r="J414" i="13"/>
  <c r="K414" i="13" s="1"/>
  <c r="I424" i="13" s="1"/>
  <c r="D748" i="13"/>
  <c r="D758" i="13" s="1"/>
  <c r="D768" i="13" s="1"/>
  <c r="D778" i="13" s="1"/>
  <c r="D788" i="13" s="1"/>
  <c r="D798" i="13" s="1"/>
  <c r="D808" i="13" s="1"/>
  <c r="D818" i="13" s="1"/>
  <c r="D739" i="13"/>
  <c r="H296" i="13"/>
  <c r="G297" i="13"/>
  <c r="J296" i="13"/>
  <c r="F396" i="13"/>
  <c r="E397" i="13"/>
  <c r="E262" i="13"/>
  <c r="E253" i="13"/>
  <c r="F252" i="13"/>
  <c r="J252" i="13"/>
  <c r="F387" i="13"/>
  <c r="E388" i="13"/>
  <c r="G378" i="13"/>
  <c r="H377" i="13"/>
  <c r="J377" i="13"/>
  <c r="H197" i="13"/>
  <c r="G198" i="13"/>
  <c r="J197" i="13"/>
  <c r="G405" i="13"/>
  <c r="J405" i="13" s="1"/>
  <c r="F405" i="13"/>
  <c r="E406" i="13"/>
  <c r="G225" i="13"/>
  <c r="H224" i="13"/>
  <c r="J224" i="13"/>
  <c r="C289" i="13"/>
  <c r="E289" i="13"/>
  <c r="F289" i="13" s="1"/>
  <c r="C667" i="13"/>
  <c r="C658" i="13"/>
  <c r="C659" i="13" s="1"/>
  <c r="C660" i="13" s="1"/>
  <c r="C661" i="13" s="1"/>
  <c r="C662" i="13" s="1"/>
  <c r="C663" i="13" s="1"/>
  <c r="C664" i="13" s="1"/>
  <c r="C665" i="13" s="1"/>
  <c r="C666" i="13" s="1"/>
  <c r="E244" i="13"/>
  <c r="F243" i="13"/>
  <c r="G243" i="13"/>
  <c r="J243" i="13" s="1"/>
  <c r="I465" i="13"/>
  <c r="K465" i="13" s="1"/>
  <c r="I475" i="13" s="1"/>
  <c r="K475" i="13" s="1"/>
  <c r="I485" i="13" s="1"/>
  <c r="K485" i="13" s="1"/>
  <c r="I495" i="13" s="1"/>
  <c r="K464" i="13"/>
  <c r="I466" i="13"/>
  <c r="K466" i="13" s="1"/>
  <c r="K376" i="13"/>
  <c r="H215" i="13"/>
  <c r="G216" i="13"/>
  <c r="J215" i="13"/>
  <c r="C739" i="13"/>
  <c r="E739" i="13"/>
  <c r="F739" i="13" s="1"/>
  <c r="G396" i="13"/>
  <c r="H395" i="13"/>
  <c r="B115" i="13"/>
  <c r="I116" i="13"/>
  <c r="K116" i="13" s="1"/>
  <c r="H206" i="13"/>
  <c r="G207" i="13"/>
  <c r="J206" i="13"/>
  <c r="D334" i="13"/>
  <c r="D335" i="13" s="1"/>
  <c r="D336" i="13" s="1"/>
  <c r="D337" i="13" s="1"/>
  <c r="D338" i="13" s="1"/>
  <c r="D339" i="13" s="1"/>
  <c r="D340" i="13" s="1"/>
  <c r="D341" i="13" s="1"/>
  <c r="D342" i="13" s="1"/>
  <c r="D343" i="13"/>
  <c r="F324" i="13"/>
  <c r="G324" i="13"/>
  <c r="J324" i="13" s="1"/>
  <c r="E325" i="13"/>
  <c r="B195" i="13"/>
  <c r="I196" i="13"/>
  <c r="K196" i="13" s="1"/>
  <c r="E307" i="13"/>
  <c r="F306" i="13"/>
  <c r="D253" i="13"/>
  <c r="D254" i="13" s="1"/>
  <c r="D255" i="13" s="1"/>
  <c r="D256" i="13" s="1"/>
  <c r="D257" i="13" s="1"/>
  <c r="D258" i="13" s="1"/>
  <c r="D259" i="13" s="1"/>
  <c r="D260" i="13" s="1"/>
  <c r="D261" i="13" s="1"/>
  <c r="D262" i="13"/>
  <c r="G234" i="13"/>
  <c r="H233" i="13"/>
  <c r="G387" i="13"/>
  <c r="H386" i="13"/>
  <c r="J386" i="13"/>
  <c r="E343" i="13"/>
  <c r="E334" i="13"/>
  <c r="F333" i="13"/>
  <c r="J333" i="13"/>
  <c r="E190" i="13"/>
  <c r="F190" i="13" s="1"/>
  <c r="F189" i="13"/>
  <c r="C334" i="13"/>
  <c r="C335" i="13" s="1"/>
  <c r="C336" i="13" s="1"/>
  <c r="C337" i="13" s="1"/>
  <c r="C338" i="13" s="1"/>
  <c r="C339" i="13" s="1"/>
  <c r="C340" i="13" s="1"/>
  <c r="C341" i="13" s="1"/>
  <c r="C342" i="13" s="1"/>
  <c r="C343" i="13"/>
  <c r="F477" i="13"/>
  <c r="E478" i="13"/>
  <c r="K323" i="13"/>
  <c r="I333" i="13" s="1"/>
  <c r="H314" i="13"/>
  <c r="G315" i="13"/>
  <c r="H179" i="13"/>
  <c r="G180" i="13"/>
  <c r="J179" i="13"/>
  <c r="G468" i="13"/>
  <c r="H467" i="13"/>
  <c r="J467" i="13"/>
  <c r="H287" i="13"/>
  <c r="G288" i="13"/>
  <c r="J287" i="13"/>
  <c r="E586" i="13"/>
  <c r="E577" i="13"/>
  <c r="F576" i="13"/>
  <c r="J576" i="13"/>
  <c r="G648" i="13"/>
  <c r="F648" i="13"/>
  <c r="E649" i="13"/>
  <c r="E235" i="13"/>
  <c r="F234" i="13"/>
  <c r="G567" i="13"/>
  <c r="F567" i="13"/>
  <c r="E568" i="13"/>
  <c r="C379" i="13"/>
  <c r="E379" i="13"/>
  <c r="F379" i="13" s="1"/>
  <c r="J233" i="13"/>
  <c r="J314" i="13"/>
  <c r="F495" i="13"/>
  <c r="E496" i="13"/>
  <c r="E505" i="13"/>
  <c r="J495" i="13"/>
  <c r="G558" i="13"/>
  <c r="H557" i="13"/>
  <c r="C559" i="13"/>
  <c r="E559" i="13"/>
  <c r="F559" i="13" s="1"/>
  <c r="H476" i="13"/>
  <c r="G477" i="13"/>
  <c r="J476" i="13"/>
  <c r="C424" i="13"/>
  <c r="C415" i="13"/>
  <c r="C416" i="13" s="1"/>
  <c r="C417" i="13" s="1"/>
  <c r="C418" i="13" s="1"/>
  <c r="C419" i="13" s="1"/>
  <c r="C420" i="13" s="1"/>
  <c r="C421" i="13" s="1"/>
  <c r="C422" i="13" s="1"/>
  <c r="C423" i="13" s="1"/>
  <c r="H188" i="13"/>
  <c r="G189" i="13"/>
  <c r="J188" i="13"/>
  <c r="D415" i="13"/>
  <c r="D416" i="13" s="1"/>
  <c r="D417" i="13" s="1"/>
  <c r="D418" i="13" s="1"/>
  <c r="D419" i="13" s="1"/>
  <c r="D420" i="13" s="1"/>
  <c r="D421" i="13" s="1"/>
  <c r="D422" i="13" s="1"/>
  <c r="D423" i="13" s="1"/>
  <c r="D424" i="13"/>
  <c r="K242" i="13"/>
  <c r="I252" i="13" s="1"/>
  <c r="K252" i="13" s="1"/>
  <c r="I262" i="13" s="1"/>
  <c r="F297" i="13"/>
  <c r="E298" i="13"/>
  <c r="D658" i="13"/>
  <c r="D659" i="13" s="1"/>
  <c r="D660" i="13" s="1"/>
  <c r="D661" i="13" s="1"/>
  <c r="D662" i="13" s="1"/>
  <c r="D663" i="13" s="1"/>
  <c r="D664" i="13" s="1"/>
  <c r="D665" i="13" s="1"/>
  <c r="D666" i="13" s="1"/>
  <c r="D667" i="13"/>
  <c r="F207" i="13"/>
  <c r="E208" i="13"/>
  <c r="E487" i="13"/>
  <c r="F486" i="13"/>
  <c r="G486" i="13"/>
  <c r="J486" i="13" s="1"/>
  <c r="J738" i="13"/>
  <c r="E217" i="13"/>
  <c r="F216" i="13"/>
  <c r="H98" i="13"/>
  <c r="G99" i="13"/>
  <c r="J98" i="13"/>
  <c r="E469" i="13"/>
  <c r="F469" i="13" s="1"/>
  <c r="C469" i="13"/>
  <c r="C199" i="13"/>
  <c r="E199" i="13"/>
  <c r="F199" i="13" s="1"/>
  <c r="E658" i="13"/>
  <c r="J658" i="13" s="1"/>
  <c r="F657" i="13"/>
  <c r="E667" i="13"/>
  <c r="G306" i="13"/>
  <c r="H305" i="13"/>
  <c r="J305" i="13"/>
  <c r="C586" i="13"/>
  <c r="C577" i="13"/>
  <c r="C578" i="13" s="1"/>
  <c r="C579" i="13" s="1"/>
  <c r="C580" i="13" s="1"/>
  <c r="C581" i="13" s="1"/>
  <c r="C582" i="13" s="1"/>
  <c r="C583" i="13" s="1"/>
  <c r="C584" i="13" s="1"/>
  <c r="C585" i="13" s="1"/>
  <c r="E748" i="13"/>
  <c r="F738" i="13"/>
  <c r="G739" i="13"/>
  <c r="D577" i="13"/>
  <c r="D578" i="13" s="1"/>
  <c r="D579" i="13" s="1"/>
  <c r="D580" i="13" s="1"/>
  <c r="D581" i="13" s="1"/>
  <c r="D582" i="13" s="1"/>
  <c r="D583" i="13" s="1"/>
  <c r="D584" i="13" s="1"/>
  <c r="D585" i="13" s="1"/>
  <c r="D586" i="13"/>
  <c r="D505" i="13"/>
  <c r="D496" i="13"/>
  <c r="D497" i="13" s="1"/>
  <c r="D498" i="13" s="1"/>
  <c r="D499" i="13" s="1"/>
  <c r="D500" i="13" s="1"/>
  <c r="D501" i="13" s="1"/>
  <c r="D502" i="13" s="1"/>
  <c r="D503" i="13" s="1"/>
  <c r="D504" i="13" s="1"/>
  <c r="B25" i="13"/>
  <c r="I26" i="13"/>
  <c r="K26" i="13" s="1"/>
  <c r="K333" i="13" l="1"/>
  <c r="I343" i="13" s="1"/>
  <c r="E290" i="13"/>
  <c r="F290" i="13" s="1"/>
  <c r="C290" i="13"/>
  <c r="E587" i="13"/>
  <c r="F586" i="13"/>
  <c r="E596" i="13"/>
  <c r="J586" i="13"/>
  <c r="H180" i="13"/>
  <c r="J180" i="13"/>
  <c r="N180" i="13" s="1"/>
  <c r="E308" i="13"/>
  <c r="F307" i="13"/>
  <c r="K495" i="13"/>
  <c r="I505" i="13" s="1"/>
  <c r="E749" i="13"/>
  <c r="E758" i="13"/>
  <c r="F748" i="13"/>
  <c r="D425" i="13"/>
  <c r="D426" i="13" s="1"/>
  <c r="D427" i="13" s="1"/>
  <c r="D428" i="13" s="1"/>
  <c r="D429" i="13" s="1"/>
  <c r="D430" i="13" s="1"/>
  <c r="D431" i="13" s="1"/>
  <c r="D432" i="13" s="1"/>
  <c r="D433" i="13" s="1"/>
  <c r="D434" i="13"/>
  <c r="H567" i="13"/>
  <c r="G568" i="13"/>
  <c r="E434" i="13"/>
  <c r="E425" i="13"/>
  <c r="F424" i="13"/>
  <c r="J424" i="13"/>
  <c r="C596" i="13"/>
  <c r="C587" i="13"/>
  <c r="C588" i="13" s="1"/>
  <c r="C589" i="13" s="1"/>
  <c r="C590" i="13" s="1"/>
  <c r="C591" i="13" s="1"/>
  <c r="C592" i="13" s="1"/>
  <c r="C593" i="13" s="1"/>
  <c r="C594" i="13" s="1"/>
  <c r="C595" i="13" s="1"/>
  <c r="E200" i="13"/>
  <c r="F200" i="13" s="1"/>
  <c r="C200" i="13"/>
  <c r="F217" i="13"/>
  <c r="E218" i="13"/>
  <c r="J748" i="13"/>
  <c r="D668" i="13"/>
  <c r="D669" i="13" s="1"/>
  <c r="D670" i="13" s="1"/>
  <c r="D671" i="13" s="1"/>
  <c r="D672" i="13" s="1"/>
  <c r="D673" i="13" s="1"/>
  <c r="D674" i="13" s="1"/>
  <c r="D675" i="13" s="1"/>
  <c r="D676" i="13" s="1"/>
  <c r="D677" i="13"/>
  <c r="E236" i="13"/>
  <c r="F235" i="13"/>
  <c r="H387" i="13"/>
  <c r="G388" i="13"/>
  <c r="J387" i="13"/>
  <c r="B196" i="13"/>
  <c r="I197" i="13"/>
  <c r="K197" i="13" s="1"/>
  <c r="H207" i="13"/>
  <c r="G208" i="13"/>
  <c r="J207" i="13"/>
  <c r="C740" i="13"/>
  <c r="E740" i="13"/>
  <c r="F740" i="13" s="1"/>
  <c r="H243" i="13"/>
  <c r="G244" i="13"/>
  <c r="H198" i="13"/>
  <c r="G199" i="13"/>
  <c r="J198" i="13"/>
  <c r="E416" i="13"/>
  <c r="G415" i="13"/>
  <c r="J415" i="13" s="1"/>
  <c r="F415" i="13"/>
  <c r="M555" i="13"/>
  <c r="I555" i="13"/>
  <c r="C263" i="13"/>
  <c r="C264" i="13" s="1"/>
  <c r="C265" i="13" s="1"/>
  <c r="C266" i="13" s="1"/>
  <c r="C267" i="13" s="1"/>
  <c r="C268" i="13" s="1"/>
  <c r="C269" i="13" s="1"/>
  <c r="C270" i="13" s="1"/>
  <c r="C271" i="13" s="1"/>
  <c r="C272" i="13"/>
  <c r="C273" i="13" s="1"/>
  <c r="C274" i="13" s="1"/>
  <c r="C275" i="13" s="1"/>
  <c r="C276" i="13" s="1"/>
  <c r="C277" i="13" s="1"/>
  <c r="C278" i="13" s="1"/>
  <c r="C279" i="13" s="1"/>
  <c r="C280" i="13" s="1"/>
  <c r="C281" i="13" s="1"/>
  <c r="D506" i="13"/>
  <c r="D507" i="13" s="1"/>
  <c r="D508" i="13" s="1"/>
  <c r="D509" i="13" s="1"/>
  <c r="D510" i="13" s="1"/>
  <c r="D511" i="13" s="1"/>
  <c r="D512" i="13" s="1"/>
  <c r="D513" i="13" s="1"/>
  <c r="D514" i="13" s="1"/>
  <c r="D515" i="13"/>
  <c r="G190" i="13"/>
  <c r="H189" i="13"/>
  <c r="J189" i="13"/>
  <c r="C560" i="13"/>
  <c r="E560" i="13"/>
  <c r="F560" i="13" s="1"/>
  <c r="F649" i="13"/>
  <c r="E650" i="13"/>
  <c r="G289" i="13"/>
  <c r="H288" i="13"/>
  <c r="J288" i="13"/>
  <c r="G316" i="13"/>
  <c r="H315" i="13"/>
  <c r="J315" i="13"/>
  <c r="H225" i="13"/>
  <c r="G226" i="13"/>
  <c r="J225" i="13"/>
  <c r="G298" i="13"/>
  <c r="H297" i="13"/>
  <c r="J297" i="13"/>
  <c r="B26" i="13"/>
  <c r="I27" i="13"/>
  <c r="K27" i="13" s="1"/>
  <c r="H477" i="13"/>
  <c r="G478" i="13"/>
  <c r="J477" i="13"/>
  <c r="H405" i="13"/>
  <c r="G406" i="13"/>
  <c r="J567" i="13"/>
  <c r="J739" i="13"/>
  <c r="D596" i="13"/>
  <c r="D587" i="13"/>
  <c r="D588" i="13" s="1"/>
  <c r="D589" i="13" s="1"/>
  <c r="D590" i="13" s="1"/>
  <c r="D591" i="13" s="1"/>
  <c r="D592" i="13" s="1"/>
  <c r="D593" i="13" s="1"/>
  <c r="D594" i="13" s="1"/>
  <c r="D595" i="13" s="1"/>
  <c r="E470" i="13"/>
  <c r="F470" i="13" s="1"/>
  <c r="C470" i="13"/>
  <c r="F325" i="13"/>
  <c r="E326" i="13"/>
  <c r="I117" i="13"/>
  <c r="K117" i="13" s="1"/>
  <c r="B116" i="13"/>
  <c r="G217" i="13"/>
  <c r="H216" i="13"/>
  <c r="J216" i="13"/>
  <c r="E245" i="13"/>
  <c r="F244" i="13"/>
  <c r="E227" i="13"/>
  <c r="F226" i="13"/>
  <c r="I287" i="13"/>
  <c r="K287" i="13" s="1"/>
  <c r="B286" i="13"/>
  <c r="G658" i="13"/>
  <c r="F658" i="13"/>
  <c r="E659" i="13"/>
  <c r="G397" i="13"/>
  <c r="H396" i="13"/>
  <c r="J396" i="13"/>
  <c r="E398" i="13"/>
  <c r="F397" i="13"/>
  <c r="H306" i="13"/>
  <c r="G307" i="13"/>
  <c r="J306" i="13"/>
  <c r="G487" i="13"/>
  <c r="H486" i="13"/>
  <c r="E299" i="13"/>
  <c r="F298" i="13"/>
  <c r="H558" i="13"/>
  <c r="G559" i="13"/>
  <c r="J558" i="13"/>
  <c r="E380" i="13"/>
  <c r="F380" i="13" s="1"/>
  <c r="C380" i="13"/>
  <c r="G649" i="13"/>
  <c r="H648" i="13"/>
  <c r="G235" i="13"/>
  <c r="H234" i="13"/>
  <c r="J234" i="13"/>
  <c r="H324" i="13"/>
  <c r="G325" i="13"/>
  <c r="D749" i="13"/>
  <c r="D759" i="13" s="1"/>
  <c r="D769" i="13" s="1"/>
  <c r="D779" i="13" s="1"/>
  <c r="D789" i="13" s="1"/>
  <c r="D799" i="13" s="1"/>
  <c r="D809" i="13" s="1"/>
  <c r="D819" i="13" s="1"/>
  <c r="D740" i="13"/>
  <c r="F316" i="13"/>
  <c r="E317" i="13"/>
  <c r="F208" i="13"/>
  <c r="E209" i="13"/>
  <c r="G740" i="13"/>
  <c r="J740" i="13" s="1"/>
  <c r="H739" i="13"/>
  <c r="E677" i="13"/>
  <c r="F667" i="13"/>
  <c r="E668" i="13"/>
  <c r="J667" i="13"/>
  <c r="C425" i="13"/>
  <c r="C426" i="13" s="1"/>
  <c r="C427" i="13" s="1"/>
  <c r="C428" i="13" s="1"/>
  <c r="C429" i="13" s="1"/>
  <c r="C430" i="13" s="1"/>
  <c r="C431" i="13" s="1"/>
  <c r="C432" i="13" s="1"/>
  <c r="C433" i="13" s="1"/>
  <c r="C434" i="13"/>
  <c r="E569" i="13"/>
  <c r="F568" i="13"/>
  <c r="E479" i="13"/>
  <c r="F478" i="13"/>
  <c r="F334" i="13"/>
  <c r="E335" i="13"/>
  <c r="G334" i="13"/>
  <c r="D263" i="13"/>
  <c r="D264" i="13" s="1"/>
  <c r="D265" i="13" s="1"/>
  <c r="D266" i="13" s="1"/>
  <c r="D267" i="13" s="1"/>
  <c r="D268" i="13" s="1"/>
  <c r="D269" i="13" s="1"/>
  <c r="D270" i="13" s="1"/>
  <c r="D271" i="13" s="1"/>
  <c r="D272" i="13"/>
  <c r="D273" i="13" s="1"/>
  <c r="D274" i="13" s="1"/>
  <c r="D275" i="13" s="1"/>
  <c r="D276" i="13" s="1"/>
  <c r="D277" i="13" s="1"/>
  <c r="D278" i="13" s="1"/>
  <c r="D279" i="13" s="1"/>
  <c r="D280" i="13" s="1"/>
  <c r="D281" i="13" s="1"/>
  <c r="J648" i="13"/>
  <c r="I377" i="13"/>
  <c r="K377" i="13" s="1"/>
  <c r="B376" i="13"/>
  <c r="C677" i="13"/>
  <c r="C668" i="13"/>
  <c r="C669" i="13" s="1"/>
  <c r="C670" i="13" s="1"/>
  <c r="C671" i="13" s="1"/>
  <c r="C672" i="13" s="1"/>
  <c r="C673" i="13" s="1"/>
  <c r="C674" i="13" s="1"/>
  <c r="C675" i="13" s="1"/>
  <c r="C676" i="13" s="1"/>
  <c r="E407" i="13"/>
  <c r="F406" i="13"/>
  <c r="G253" i="13"/>
  <c r="F253" i="13"/>
  <c r="E254" i="13"/>
  <c r="C506" i="13"/>
  <c r="C507" i="13" s="1"/>
  <c r="C508" i="13" s="1"/>
  <c r="C509" i="13" s="1"/>
  <c r="C510" i="13" s="1"/>
  <c r="C511" i="13" s="1"/>
  <c r="C512" i="13" s="1"/>
  <c r="C513" i="13" s="1"/>
  <c r="C514" i="13" s="1"/>
  <c r="C515" i="13"/>
  <c r="F496" i="13"/>
  <c r="G496" i="13"/>
  <c r="E497" i="13"/>
  <c r="E578" i="13"/>
  <c r="G577" i="13"/>
  <c r="F577" i="13"/>
  <c r="C344" i="13"/>
  <c r="C345" i="13" s="1"/>
  <c r="C346" i="13" s="1"/>
  <c r="C347" i="13" s="1"/>
  <c r="C348" i="13" s="1"/>
  <c r="C349" i="13" s="1"/>
  <c r="C350" i="13" s="1"/>
  <c r="C351" i="13" s="1"/>
  <c r="C352" i="13" s="1"/>
  <c r="C353" i="13"/>
  <c r="F388" i="13"/>
  <c r="E389" i="13"/>
  <c r="H99" i="13"/>
  <c r="J99" i="13"/>
  <c r="N99" i="13" s="1"/>
  <c r="N100" i="13" s="1"/>
  <c r="O100" i="13" s="1"/>
  <c r="E488" i="13"/>
  <c r="F487" i="13"/>
  <c r="E506" i="13"/>
  <c r="E515" i="13"/>
  <c r="F505" i="13"/>
  <c r="J505" i="13"/>
  <c r="G469" i="13"/>
  <c r="H468" i="13"/>
  <c r="J468" i="13"/>
  <c r="F343" i="13"/>
  <c r="E344" i="13"/>
  <c r="E353" i="13"/>
  <c r="J343" i="13"/>
  <c r="K343" i="13" s="1"/>
  <c r="I353" i="13" s="1"/>
  <c r="D344" i="13"/>
  <c r="D345" i="13" s="1"/>
  <c r="D346" i="13" s="1"/>
  <c r="D347" i="13" s="1"/>
  <c r="D348" i="13" s="1"/>
  <c r="D349" i="13" s="1"/>
  <c r="D350" i="13" s="1"/>
  <c r="D351" i="13" s="1"/>
  <c r="D352" i="13" s="1"/>
  <c r="D353" i="13"/>
  <c r="I467" i="13"/>
  <c r="K467" i="13" s="1"/>
  <c r="B466" i="13"/>
  <c r="G379" i="13"/>
  <c r="H378" i="13"/>
  <c r="J378" i="13"/>
  <c r="F262" i="13"/>
  <c r="E263" i="13"/>
  <c r="E272" i="13"/>
  <c r="J262" i="13"/>
  <c r="K262" i="13" s="1"/>
  <c r="I272" i="13" s="1"/>
  <c r="E669" i="13" l="1"/>
  <c r="G668" i="13"/>
  <c r="F668" i="13"/>
  <c r="G263" i="13"/>
  <c r="E264" i="13"/>
  <c r="F263" i="13"/>
  <c r="F317" i="13"/>
  <c r="E318" i="13"/>
  <c r="H235" i="13"/>
  <c r="G236" i="13"/>
  <c r="J235" i="13"/>
  <c r="G560" i="13"/>
  <c r="H559" i="13"/>
  <c r="J559" i="13"/>
  <c r="G659" i="13"/>
  <c r="H658" i="13"/>
  <c r="E471" i="13"/>
  <c r="F471" i="13" s="1"/>
  <c r="C471" i="13"/>
  <c r="H298" i="13"/>
  <c r="G299" i="13"/>
  <c r="J298" i="13"/>
  <c r="G389" i="13"/>
  <c r="H388" i="13"/>
  <c r="J388" i="13"/>
  <c r="E219" i="13"/>
  <c r="F218" i="13"/>
  <c r="E426" i="13"/>
  <c r="F425" i="13"/>
  <c r="G425" i="13"/>
  <c r="F749" i="13"/>
  <c r="E750" i="13"/>
  <c r="G749" i="13"/>
  <c r="F596" i="13"/>
  <c r="E606" i="13"/>
  <c r="E597" i="13"/>
  <c r="J596" i="13"/>
  <c r="F272" i="13"/>
  <c r="E273" i="13"/>
  <c r="J272" i="13"/>
  <c r="K272" i="13" s="1"/>
  <c r="D354" i="13"/>
  <c r="D355" i="13" s="1"/>
  <c r="D356" i="13" s="1"/>
  <c r="D357" i="13" s="1"/>
  <c r="D358" i="13" s="1"/>
  <c r="D359" i="13" s="1"/>
  <c r="D360" i="13" s="1"/>
  <c r="D361" i="13" s="1"/>
  <c r="D362" i="13" s="1"/>
  <c r="D363" i="13"/>
  <c r="D364" i="13" s="1"/>
  <c r="D365" i="13" s="1"/>
  <c r="D366" i="13" s="1"/>
  <c r="D367" i="13" s="1"/>
  <c r="D368" i="13" s="1"/>
  <c r="D369" i="13" s="1"/>
  <c r="D370" i="13" s="1"/>
  <c r="D371" i="13" s="1"/>
  <c r="D372" i="13" s="1"/>
  <c r="G470" i="13"/>
  <c r="H469" i="13"/>
  <c r="J469" i="13"/>
  <c r="E489" i="13"/>
  <c r="F488" i="13"/>
  <c r="H577" i="13"/>
  <c r="G578" i="13"/>
  <c r="J577" i="13"/>
  <c r="D750" i="13"/>
  <c r="D760" i="13" s="1"/>
  <c r="D770" i="13" s="1"/>
  <c r="D780" i="13" s="1"/>
  <c r="D790" i="13" s="1"/>
  <c r="D800" i="13" s="1"/>
  <c r="D810" i="13" s="1"/>
  <c r="D820" i="13" s="1"/>
  <c r="D741" i="13"/>
  <c r="F398" i="13"/>
  <c r="E399" i="13"/>
  <c r="I288" i="13"/>
  <c r="K288" i="13" s="1"/>
  <c r="B287" i="13"/>
  <c r="G218" i="13"/>
  <c r="H217" i="13"/>
  <c r="J217" i="13"/>
  <c r="H478" i="13"/>
  <c r="G479" i="13"/>
  <c r="J478" i="13"/>
  <c r="H226" i="13"/>
  <c r="G227" i="13"/>
  <c r="J226" i="13"/>
  <c r="E651" i="13"/>
  <c r="F650" i="13"/>
  <c r="D525" i="13"/>
  <c r="D516" i="13"/>
  <c r="D517" i="13" s="1"/>
  <c r="D518" i="13" s="1"/>
  <c r="D519" i="13" s="1"/>
  <c r="D520" i="13" s="1"/>
  <c r="D521" i="13" s="1"/>
  <c r="D522" i="13" s="1"/>
  <c r="D523" i="13" s="1"/>
  <c r="D524" i="13" s="1"/>
  <c r="E417" i="13"/>
  <c r="F416" i="13"/>
  <c r="C201" i="13"/>
  <c r="E201" i="13"/>
  <c r="F201" i="13" s="1"/>
  <c r="G569" i="13"/>
  <c r="H568" i="13"/>
  <c r="J568" i="13"/>
  <c r="K505" i="13"/>
  <c r="I515" i="13" s="1"/>
  <c r="F587" i="13"/>
  <c r="E588" i="13"/>
  <c r="G587" i="13"/>
  <c r="B467" i="13"/>
  <c r="I468" i="13"/>
  <c r="K468" i="13" s="1"/>
  <c r="E480" i="13"/>
  <c r="F479" i="13"/>
  <c r="E741" i="13"/>
  <c r="F741" i="13" s="1"/>
  <c r="C741" i="13"/>
  <c r="F299" i="13"/>
  <c r="E300" i="13"/>
  <c r="D597" i="13"/>
  <c r="D598" i="13" s="1"/>
  <c r="D599" i="13" s="1"/>
  <c r="D600" i="13" s="1"/>
  <c r="D601" i="13" s="1"/>
  <c r="D602" i="13" s="1"/>
  <c r="D603" i="13" s="1"/>
  <c r="D604" i="13" s="1"/>
  <c r="D605" i="13" s="1"/>
  <c r="D606" i="13"/>
  <c r="G209" i="13"/>
  <c r="H208" i="13"/>
  <c r="J208" i="13"/>
  <c r="E237" i="13"/>
  <c r="F236" i="13"/>
  <c r="E291" i="13"/>
  <c r="F291" i="13" s="1"/>
  <c r="C291" i="13"/>
  <c r="G416" i="13"/>
  <c r="H415" i="13"/>
  <c r="E498" i="13"/>
  <c r="F497" i="13"/>
  <c r="F569" i="13"/>
  <c r="E570" i="13"/>
  <c r="G326" i="13"/>
  <c r="H325" i="13"/>
  <c r="J325" i="13"/>
  <c r="G650" i="13"/>
  <c r="H649" i="13"/>
  <c r="J649" i="13"/>
  <c r="F227" i="13"/>
  <c r="E228" i="13"/>
  <c r="B117" i="13"/>
  <c r="I118" i="13"/>
  <c r="K118" i="13" s="1"/>
  <c r="I28" i="13"/>
  <c r="K28" i="13" s="1"/>
  <c r="B27" i="13"/>
  <c r="H199" i="13"/>
  <c r="G200" i="13"/>
  <c r="J199" i="13"/>
  <c r="D444" i="13"/>
  <c r="D435" i="13"/>
  <c r="D436" i="13" s="1"/>
  <c r="D437" i="13" s="1"/>
  <c r="D438" i="13" s="1"/>
  <c r="D439" i="13" s="1"/>
  <c r="D440" i="13" s="1"/>
  <c r="D441" i="13" s="1"/>
  <c r="D442" i="13" s="1"/>
  <c r="D443" i="13" s="1"/>
  <c r="F308" i="13"/>
  <c r="E309" i="13"/>
  <c r="H289" i="13"/>
  <c r="G290" i="13"/>
  <c r="J289" i="13"/>
  <c r="H190" i="13"/>
  <c r="J190" i="13"/>
  <c r="N190" i="13" s="1"/>
  <c r="N191" i="13" s="1"/>
  <c r="O191" i="13" s="1"/>
  <c r="F434" i="13"/>
  <c r="E435" i="13"/>
  <c r="E444" i="13"/>
  <c r="J434" i="13"/>
  <c r="G254" i="13"/>
  <c r="H253" i="13"/>
  <c r="F677" i="13"/>
  <c r="E687" i="13"/>
  <c r="E678" i="13"/>
  <c r="J677" i="13"/>
  <c r="E354" i="13"/>
  <c r="F353" i="13"/>
  <c r="E363" i="13"/>
  <c r="J353" i="13"/>
  <c r="F515" i="13"/>
  <c r="E516" i="13"/>
  <c r="E525" i="13"/>
  <c r="J515" i="13"/>
  <c r="E390" i="13"/>
  <c r="F389" i="13"/>
  <c r="H496" i="13"/>
  <c r="G497" i="13"/>
  <c r="F407" i="13"/>
  <c r="E408" i="13"/>
  <c r="H334" i="13"/>
  <c r="G335" i="13"/>
  <c r="J496" i="13"/>
  <c r="H740" i="13"/>
  <c r="G741" i="13"/>
  <c r="C381" i="13"/>
  <c r="E381" i="13"/>
  <c r="F381" i="13" s="1"/>
  <c r="G488" i="13"/>
  <c r="H487" i="13"/>
  <c r="J487" i="13"/>
  <c r="H397" i="13"/>
  <c r="G398" i="13"/>
  <c r="J397" i="13"/>
  <c r="J253" i="13"/>
  <c r="F326" i="13"/>
  <c r="E327" i="13"/>
  <c r="I198" i="13"/>
  <c r="K198" i="13" s="1"/>
  <c r="B197" i="13"/>
  <c r="D687" i="13"/>
  <c r="D678" i="13"/>
  <c r="D679" i="13" s="1"/>
  <c r="D680" i="13" s="1"/>
  <c r="D681" i="13" s="1"/>
  <c r="D682" i="13" s="1"/>
  <c r="D683" i="13" s="1"/>
  <c r="D684" i="13" s="1"/>
  <c r="D685" i="13" s="1"/>
  <c r="D686" i="13" s="1"/>
  <c r="C606" i="13"/>
  <c r="C597" i="13"/>
  <c r="C598" i="13" s="1"/>
  <c r="C599" i="13" s="1"/>
  <c r="C600" i="13" s="1"/>
  <c r="C601" i="13" s="1"/>
  <c r="C602" i="13" s="1"/>
  <c r="C603" i="13" s="1"/>
  <c r="C604" i="13" s="1"/>
  <c r="C605" i="13" s="1"/>
  <c r="I378" i="13"/>
  <c r="K378" i="13" s="1"/>
  <c r="B377" i="13"/>
  <c r="K353" i="13"/>
  <c r="I363" i="13" s="1"/>
  <c r="G344" i="13"/>
  <c r="E345" i="13"/>
  <c r="F344" i="13"/>
  <c r="F506" i="13"/>
  <c r="E507" i="13"/>
  <c r="G506" i="13"/>
  <c r="E336" i="13"/>
  <c r="F335" i="13"/>
  <c r="C435" i="13"/>
  <c r="C436" i="13" s="1"/>
  <c r="C437" i="13" s="1"/>
  <c r="C438" i="13" s="1"/>
  <c r="C439" i="13" s="1"/>
  <c r="C440" i="13" s="1"/>
  <c r="C441" i="13" s="1"/>
  <c r="C442" i="13" s="1"/>
  <c r="C443" i="13" s="1"/>
  <c r="C444" i="13"/>
  <c r="F209" i="13"/>
  <c r="E210" i="13"/>
  <c r="E660" i="13"/>
  <c r="F659" i="13"/>
  <c r="G317" i="13"/>
  <c r="H316" i="13"/>
  <c r="J316" i="13"/>
  <c r="C561" i="13"/>
  <c r="E561" i="13"/>
  <c r="F561" i="13" s="1"/>
  <c r="K555" i="13"/>
  <c r="I556" i="13"/>
  <c r="K556" i="13" s="1"/>
  <c r="I566" i="13" s="1"/>
  <c r="K566" i="13" s="1"/>
  <c r="I576" i="13" s="1"/>
  <c r="K576" i="13" s="1"/>
  <c r="I586" i="13" s="1"/>
  <c r="K586" i="13" s="1"/>
  <c r="I557" i="13"/>
  <c r="K557" i="13" s="1"/>
  <c r="G245" i="13"/>
  <c r="H244" i="13"/>
  <c r="J244" i="13"/>
  <c r="K424" i="13"/>
  <c r="I434" i="13" s="1"/>
  <c r="J263" i="13"/>
  <c r="E255" i="13"/>
  <c r="F254" i="13"/>
  <c r="J506" i="13"/>
  <c r="E579" i="13"/>
  <c r="F578" i="13"/>
  <c r="J344" i="13"/>
  <c r="H379" i="13"/>
  <c r="G380" i="13"/>
  <c r="J379" i="13"/>
  <c r="C363" i="13"/>
  <c r="C364" i="13" s="1"/>
  <c r="C365" i="13" s="1"/>
  <c r="C366" i="13" s="1"/>
  <c r="C367" i="13" s="1"/>
  <c r="C368" i="13" s="1"/>
  <c r="C369" i="13" s="1"/>
  <c r="C370" i="13" s="1"/>
  <c r="C371" i="13" s="1"/>
  <c r="C372" i="13" s="1"/>
  <c r="C354" i="13"/>
  <c r="C355" i="13" s="1"/>
  <c r="C356" i="13" s="1"/>
  <c r="C357" i="13" s="1"/>
  <c r="C358" i="13" s="1"/>
  <c r="C359" i="13" s="1"/>
  <c r="C360" i="13" s="1"/>
  <c r="C361" i="13" s="1"/>
  <c r="C362" i="13" s="1"/>
  <c r="C525" i="13"/>
  <c r="C516" i="13"/>
  <c r="C517" i="13" s="1"/>
  <c r="C518" i="13" s="1"/>
  <c r="C519" i="13" s="1"/>
  <c r="C520" i="13" s="1"/>
  <c r="C521" i="13" s="1"/>
  <c r="C522" i="13" s="1"/>
  <c r="C523" i="13" s="1"/>
  <c r="C524" i="13" s="1"/>
  <c r="C687" i="13"/>
  <c r="C678" i="13"/>
  <c r="C679" i="13" s="1"/>
  <c r="C680" i="13" s="1"/>
  <c r="C681" i="13" s="1"/>
  <c r="C682" i="13" s="1"/>
  <c r="C683" i="13" s="1"/>
  <c r="C684" i="13" s="1"/>
  <c r="C685" i="13" s="1"/>
  <c r="C686" i="13" s="1"/>
  <c r="G308" i="13"/>
  <c r="H307" i="13"/>
  <c r="J307" i="13"/>
  <c r="F245" i="13"/>
  <c r="E246" i="13"/>
  <c r="J334" i="13"/>
  <c r="G407" i="13"/>
  <c r="H406" i="13"/>
  <c r="J406" i="13"/>
  <c r="J749" i="13"/>
  <c r="E768" i="13"/>
  <c r="F758" i="13"/>
  <c r="E759" i="13"/>
  <c r="J758" i="13"/>
  <c r="J587" i="13"/>
  <c r="C688" i="13" l="1"/>
  <c r="C689" i="13" s="1"/>
  <c r="C690" i="13" s="1"/>
  <c r="C691" i="13" s="1"/>
  <c r="C692" i="13" s="1"/>
  <c r="C693" i="13" s="1"/>
  <c r="C694" i="13" s="1"/>
  <c r="C695" i="13" s="1"/>
  <c r="C696" i="13" s="1"/>
  <c r="C697" i="13"/>
  <c r="C562" i="13"/>
  <c r="E562" i="13"/>
  <c r="F562" i="13" s="1"/>
  <c r="G210" i="13"/>
  <c r="H209" i="13"/>
  <c r="J209" i="13"/>
  <c r="E490" i="13"/>
  <c r="F489" i="13"/>
  <c r="F759" i="13"/>
  <c r="E760" i="13"/>
  <c r="G759" i="13"/>
  <c r="E247" i="13"/>
  <c r="F246" i="13"/>
  <c r="G345" i="13"/>
  <c r="H344" i="13"/>
  <c r="E391" i="13"/>
  <c r="F390" i="13"/>
  <c r="F354" i="13"/>
  <c r="G354" i="13"/>
  <c r="E355" i="13"/>
  <c r="E445" i="13"/>
  <c r="E454" i="13"/>
  <c r="F444" i="13"/>
  <c r="J444" i="13"/>
  <c r="E310" i="13"/>
  <c r="F309" i="13"/>
  <c r="I29" i="13"/>
  <c r="K29" i="13" s="1"/>
  <c r="B28" i="13"/>
  <c r="G417" i="13"/>
  <c r="H416" i="13"/>
  <c r="J416" i="13"/>
  <c r="D616" i="13"/>
  <c r="D607" i="13"/>
  <c r="D608" i="13" s="1"/>
  <c r="D609" i="13" s="1"/>
  <c r="D610" i="13" s="1"/>
  <c r="D611" i="13" s="1"/>
  <c r="D612" i="13" s="1"/>
  <c r="D613" i="13" s="1"/>
  <c r="D614" i="13" s="1"/>
  <c r="D615" i="13" s="1"/>
  <c r="F480" i="13"/>
  <c r="E481" i="13"/>
  <c r="D751" i="13"/>
  <c r="D761" i="13" s="1"/>
  <c r="D771" i="13" s="1"/>
  <c r="D781" i="13" s="1"/>
  <c r="D791" i="13" s="1"/>
  <c r="D801" i="13" s="1"/>
  <c r="D811" i="13" s="1"/>
  <c r="D821" i="13" s="1"/>
  <c r="D742" i="13"/>
  <c r="H299" i="13"/>
  <c r="G300" i="13"/>
  <c r="J299" i="13"/>
  <c r="C535" i="13"/>
  <c r="C526" i="13"/>
  <c r="C527" i="13" s="1"/>
  <c r="C528" i="13" s="1"/>
  <c r="C529" i="13" s="1"/>
  <c r="C530" i="13" s="1"/>
  <c r="C531" i="13" s="1"/>
  <c r="C532" i="13" s="1"/>
  <c r="C533" i="13" s="1"/>
  <c r="C534" i="13" s="1"/>
  <c r="F579" i="13"/>
  <c r="E580" i="13"/>
  <c r="B198" i="13"/>
  <c r="I199" i="13"/>
  <c r="K199" i="13" s="1"/>
  <c r="G336" i="13"/>
  <c r="H335" i="13"/>
  <c r="J335" i="13"/>
  <c r="G435" i="13"/>
  <c r="F435" i="13"/>
  <c r="E436" i="13"/>
  <c r="B118" i="13"/>
  <c r="I119" i="13"/>
  <c r="K119" i="13" s="1"/>
  <c r="E292" i="13"/>
  <c r="F292" i="13" s="1"/>
  <c r="C292" i="13"/>
  <c r="B468" i="13"/>
  <c r="I469" i="13"/>
  <c r="K469" i="13" s="1"/>
  <c r="H569" i="13"/>
  <c r="G570" i="13"/>
  <c r="J569" i="13"/>
  <c r="F651" i="13"/>
  <c r="E652" i="13"/>
  <c r="G597" i="13"/>
  <c r="F597" i="13"/>
  <c r="E598" i="13"/>
  <c r="E427" i="13"/>
  <c r="F426" i="13"/>
  <c r="H560" i="13"/>
  <c r="G561" i="13"/>
  <c r="J560" i="13"/>
  <c r="E265" i="13"/>
  <c r="F264" i="13"/>
  <c r="G318" i="13"/>
  <c r="H317" i="13"/>
  <c r="J317" i="13"/>
  <c r="F525" i="13"/>
  <c r="E526" i="13"/>
  <c r="E535" i="13"/>
  <c r="J525" i="13"/>
  <c r="E679" i="13"/>
  <c r="F678" i="13"/>
  <c r="G678" i="13"/>
  <c r="J678" i="13" s="1"/>
  <c r="G327" i="13"/>
  <c r="H326" i="13"/>
  <c r="J326" i="13"/>
  <c r="G471" i="13"/>
  <c r="H470" i="13"/>
  <c r="J470" i="13"/>
  <c r="E616" i="13"/>
  <c r="E607" i="13"/>
  <c r="F606" i="13"/>
  <c r="J606" i="13"/>
  <c r="E472" i="13"/>
  <c r="F472" i="13" s="1"/>
  <c r="C472" i="13"/>
  <c r="H263" i="13"/>
  <c r="G264" i="13"/>
  <c r="G651" i="13"/>
  <c r="H650" i="13"/>
  <c r="J650" i="13"/>
  <c r="G426" i="13"/>
  <c r="H425" i="13"/>
  <c r="E778" i="13"/>
  <c r="F768" i="13"/>
  <c r="E769" i="13"/>
  <c r="J768" i="13"/>
  <c r="G246" i="13"/>
  <c r="H245" i="13"/>
  <c r="J245" i="13"/>
  <c r="B557" i="13"/>
  <c r="I558" i="13"/>
  <c r="K558" i="13" s="1"/>
  <c r="G507" i="13"/>
  <c r="H506" i="13"/>
  <c r="I379" i="13"/>
  <c r="K379" i="13" s="1"/>
  <c r="B378" i="13"/>
  <c r="F327" i="13"/>
  <c r="E328" i="13"/>
  <c r="G489" i="13"/>
  <c r="H488" i="13"/>
  <c r="J488" i="13"/>
  <c r="E409" i="13"/>
  <c r="F408" i="13"/>
  <c r="E517" i="13"/>
  <c r="G516" i="13"/>
  <c r="J516" i="13" s="1"/>
  <c r="F516" i="13"/>
  <c r="F687" i="13"/>
  <c r="E697" i="13"/>
  <c r="E688" i="13"/>
  <c r="J687" i="13"/>
  <c r="D445" i="13"/>
  <c r="D446" i="13" s="1"/>
  <c r="D447" i="13" s="1"/>
  <c r="D448" i="13" s="1"/>
  <c r="D449" i="13" s="1"/>
  <c r="D450" i="13" s="1"/>
  <c r="D451" i="13" s="1"/>
  <c r="D452" i="13" s="1"/>
  <c r="D453" i="13" s="1"/>
  <c r="D454" i="13"/>
  <c r="D455" i="13" s="1"/>
  <c r="D456" i="13" s="1"/>
  <c r="D457" i="13" s="1"/>
  <c r="D458" i="13" s="1"/>
  <c r="D459" i="13" s="1"/>
  <c r="D460" i="13" s="1"/>
  <c r="D461" i="13" s="1"/>
  <c r="D462" i="13" s="1"/>
  <c r="D463" i="13" s="1"/>
  <c r="E229" i="13"/>
  <c r="F228" i="13"/>
  <c r="E571" i="13"/>
  <c r="F570" i="13"/>
  <c r="E301" i="13"/>
  <c r="F300" i="13"/>
  <c r="G588" i="13"/>
  <c r="H587" i="13"/>
  <c r="G228" i="13"/>
  <c r="H227" i="13"/>
  <c r="J227" i="13"/>
  <c r="G219" i="13"/>
  <c r="H218" i="13"/>
  <c r="J218" i="13"/>
  <c r="E220" i="13"/>
  <c r="F219" i="13"/>
  <c r="H236" i="13"/>
  <c r="G237" i="13"/>
  <c r="J236" i="13"/>
  <c r="F345" i="13"/>
  <c r="E346" i="13"/>
  <c r="J435" i="13"/>
  <c r="D526" i="13"/>
  <c r="D527" i="13" s="1"/>
  <c r="D528" i="13" s="1"/>
  <c r="D529" i="13" s="1"/>
  <c r="D530" i="13" s="1"/>
  <c r="D531" i="13" s="1"/>
  <c r="D532" i="13" s="1"/>
  <c r="D533" i="13" s="1"/>
  <c r="D534" i="13" s="1"/>
  <c r="D535" i="13"/>
  <c r="G309" i="13"/>
  <c r="H308" i="13"/>
  <c r="J308" i="13"/>
  <c r="E256" i="13"/>
  <c r="F255" i="13"/>
  <c r="I596" i="13"/>
  <c r="K596" i="13" s="1"/>
  <c r="I606" i="13" s="1"/>
  <c r="K606" i="13" s="1"/>
  <c r="I616" i="13" s="1"/>
  <c r="B586" i="13"/>
  <c r="F660" i="13"/>
  <c r="E661" i="13"/>
  <c r="F507" i="13"/>
  <c r="E508" i="13"/>
  <c r="E238" i="13"/>
  <c r="F237" i="13"/>
  <c r="F588" i="13"/>
  <c r="E589" i="13"/>
  <c r="G579" i="13"/>
  <c r="H578" i="13"/>
  <c r="J578" i="13"/>
  <c r="H749" i="13"/>
  <c r="G750" i="13"/>
  <c r="G669" i="13"/>
  <c r="H668" i="13"/>
  <c r="C445" i="13"/>
  <c r="C446" i="13" s="1"/>
  <c r="C447" i="13" s="1"/>
  <c r="C448" i="13" s="1"/>
  <c r="C449" i="13" s="1"/>
  <c r="C450" i="13" s="1"/>
  <c r="C451" i="13" s="1"/>
  <c r="C452" i="13" s="1"/>
  <c r="C453" i="13" s="1"/>
  <c r="C454" i="13"/>
  <c r="C455" i="13" s="1"/>
  <c r="C456" i="13" s="1"/>
  <c r="C457" i="13" s="1"/>
  <c r="C458" i="13" s="1"/>
  <c r="C459" i="13" s="1"/>
  <c r="C460" i="13" s="1"/>
  <c r="C461" i="13" s="1"/>
  <c r="C462" i="13" s="1"/>
  <c r="C463" i="13" s="1"/>
  <c r="H398" i="13"/>
  <c r="G399" i="13"/>
  <c r="J398" i="13"/>
  <c r="F336" i="13"/>
  <c r="E337" i="13"/>
  <c r="G381" i="13"/>
  <c r="H380" i="13"/>
  <c r="J380" i="13"/>
  <c r="M646" i="13"/>
  <c r="I646" i="13"/>
  <c r="E211" i="13"/>
  <c r="F211" i="13" s="1"/>
  <c r="F210" i="13"/>
  <c r="C616" i="13"/>
  <c r="C607" i="13"/>
  <c r="C608" i="13" s="1"/>
  <c r="C609" i="13" s="1"/>
  <c r="C610" i="13" s="1"/>
  <c r="C611" i="13" s="1"/>
  <c r="C612" i="13" s="1"/>
  <c r="C613" i="13" s="1"/>
  <c r="C614" i="13" s="1"/>
  <c r="C615" i="13" s="1"/>
  <c r="E382" i="13"/>
  <c r="F382" i="13" s="1"/>
  <c r="C382" i="13"/>
  <c r="G498" i="13"/>
  <c r="H497" i="13"/>
  <c r="J497" i="13"/>
  <c r="J354" i="13"/>
  <c r="G201" i="13"/>
  <c r="H200" i="13"/>
  <c r="J200" i="13"/>
  <c r="E742" i="13"/>
  <c r="F742" i="13" s="1"/>
  <c r="C742" i="13"/>
  <c r="E418" i="13"/>
  <c r="F417" i="13"/>
  <c r="I289" i="13"/>
  <c r="K289" i="13" s="1"/>
  <c r="B288" i="13"/>
  <c r="E751" i="13"/>
  <c r="F750" i="13"/>
  <c r="F318" i="13"/>
  <c r="E319" i="13"/>
  <c r="E670" i="13"/>
  <c r="F669" i="13"/>
  <c r="J759" i="13"/>
  <c r="D688" i="13"/>
  <c r="D689" i="13" s="1"/>
  <c r="D690" i="13" s="1"/>
  <c r="D691" i="13" s="1"/>
  <c r="D692" i="13" s="1"/>
  <c r="D693" i="13" s="1"/>
  <c r="D694" i="13" s="1"/>
  <c r="D695" i="13" s="1"/>
  <c r="D696" i="13" s="1"/>
  <c r="D697" i="13"/>
  <c r="G408" i="13"/>
  <c r="H407" i="13"/>
  <c r="J407" i="13"/>
  <c r="K434" i="13"/>
  <c r="I444" i="13" s="1"/>
  <c r="K444" i="13" s="1"/>
  <c r="I454" i="13" s="1"/>
  <c r="J425" i="13"/>
  <c r="G742" i="13"/>
  <c r="H741" i="13"/>
  <c r="J741" i="13"/>
  <c r="F363" i="13"/>
  <c r="E364" i="13"/>
  <c r="J363" i="13"/>
  <c r="G255" i="13"/>
  <c r="H254" i="13"/>
  <c r="J254" i="13"/>
  <c r="G291" i="13"/>
  <c r="H290" i="13"/>
  <c r="J290" i="13"/>
  <c r="F498" i="13"/>
  <c r="E499" i="13"/>
  <c r="K515" i="13"/>
  <c r="I525" i="13" s="1"/>
  <c r="H479" i="13"/>
  <c r="G480" i="13"/>
  <c r="J479" i="13"/>
  <c r="E400" i="13"/>
  <c r="F399" i="13"/>
  <c r="F273" i="13"/>
  <c r="E274" i="13"/>
  <c r="G273" i="13"/>
  <c r="G390" i="13"/>
  <c r="H389" i="13"/>
  <c r="J389" i="13"/>
  <c r="H659" i="13"/>
  <c r="G660" i="13"/>
  <c r="J659" i="13"/>
  <c r="J668" i="13"/>
  <c r="G743" i="13" l="1"/>
  <c r="H742" i="13"/>
  <c r="J742" i="13"/>
  <c r="G598" i="13"/>
  <c r="H597" i="13"/>
  <c r="H390" i="13"/>
  <c r="G391" i="13"/>
  <c r="J390" i="13"/>
  <c r="H201" i="13"/>
  <c r="J201" i="13"/>
  <c r="N201" i="13" s="1"/>
  <c r="G580" i="13"/>
  <c r="H579" i="13"/>
  <c r="J579" i="13"/>
  <c r="H237" i="13"/>
  <c r="G238" i="13"/>
  <c r="J237" i="13"/>
  <c r="E329" i="13"/>
  <c r="F328" i="13"/>
  <c r="E545" i="13"/>
  <c r="F535" i="13"/>
  <c r="E536" i="13"/>
  <c r="J535" i="13"/>
  <c r="E653" i="13"/>
  <c r="F652" i="13"/>
  <c r="E581" i="13"/>
  <c r="F580" i="13"/>
  <c r="D752" i="13"/>
  <c r="D762" i="13" s="1"/>
  <c r="D772" i="13" s="1"/>
  <c r="D782" i="13" s="1"/>
  <c r="D792" i="13" s="1"/>
  <c r="D802" i="13" s="1"/>
  <c r="D812" i="13" s="1"/>
  <c r="D822" i="13" s="1"/>
  <c r="D743" i="13"/>
  <c r="G418" i="13"/>
  <c r="H417" i="13"/>
  <c r="J417" i="13"/>
  <c r="F454" i="13"/>
  <c r="E455" i="13"/>
  <c r="J454" i="13"/>
  <c r="C698" i="13"/>
  <c r="C699" i="13" s="1"/>
  <c r="C700" i="13" s="1"/>
  <c r="C701" i="13" s="1"/>
  <c r="C702" i="13" s="1"/>
  <c r="C703" i="13" s="1"/>
  <c r="C704" i="13" s="1"/>
  <c r="C705" i="13" s="1"/>
  <c r="C706" i="13" s="1"/>
  <c r="C707" i="13"/>
  <c r="H273" i="13"/>
  <c r="G274" i="13"/>
  <c r="K525" i="13"/>
  <c r="I535" i="13" s="1"/>
  <c r="G256" i="13"/>
  <c r="H255" i="13"/>
  <c r="J255" i="13"/>
  <c r="K454" i="13"/>
  <c r="B289" i="13"/>
  <c r="I290" i="13"/>
  <c r="K290" i="13" s="1"/>
  <c r="C626" i="13"/>
  <c r="C617" i="13"/>
  <c r="C618" i="13" s="1"/>
  <c r="C619" i="13" s="1"/>
  <c r="C620" i="13" s="1"/>
  <c r="C621" i="13" s="1"/>
  <c r="C622" i="13" s="1"/>
  <c r="C623" i="13" s="1"/>
  <c r="C624" i="13" s="1"/>
  <c r="C625" i="13" s="1"/>
  <c r="G382" i="13"/>
  <c r="H381" i="13"/>
  <c r="J381" i="13"/>
  <c r="F589" i="13"/>
  <c r="E590" i="13"/>
  <c r="D536" i="13"/>
  <c r="D537" i="13" s="1"/>
  <c r="D538" i="13" s="1"/>
  <c r="D539" i="13" s="1"/>
  <c r="D540" i="13" s="1"/>
  <c r="D541" i="13" s="1"/>
  <c r="D542" i="13" s="1"/>
  <c r="D543" i="13" s="1"/>
  <c r="D544" i="13" s="1"/>
  <c r="D545" i="13"/>
  <c r="D546" i="13" s="1"/>
  <c r="D547" i="13" s="1"/>
  <c r="D548" i="13" s="1"/>
  <c r="D549" i="13" s="1"/>
  <c r="D550" i="13" s="1"/>
  <c r="D551" i="13" s="1"/>
  <c r="D552" i="13" s="1"/>
  <c r="D553" i="13" s="1"/>
  <c r="D554" i="13" s="1"/>
  <c r="G229" i="13"/>
  <c r="H228" i="13"/>
  <c r="J228" i="13"/>
  <c r="E230" i="13"/>
  <c r="F229" i="13"/>
  <c r="H516" i="13"/>
  <c r="G517" i="13"/>
  <c r="H426" i="13"/>
  <c r="G427" i="13"/>
  <c r="J426" i="13"/>
  <c r="E527" i="13"/>
  <c r="F526" i="13"/>
  <c r="G526" i="13"/>
  <c r="G562" i="13"/>
  <c r="H561" i="13"/>
  <c r="J561" i="13"/>
  <c r="B119" i="13"/>
  <c r="I120" i="13"/>
  <c r="K120" i="13" s="1"/>
  <c r="F445" i="13"/>
  <c r="G445" i="13"/>
  <c r="E446" i="13"/>
  <c r="H345" i="13"/>
  <c r="G346" i="13"/>
  <c r="J345" i="13"/>
  <c r="F490" i="13"/>
  <c r="E491" i="13"/>
  <c r="H480" i="13"/>
  <c r="G481" i="13"/>
  <c r="J480" i="13"/>
  <c r="F571" i="13"/>
  <c r="E572" i="13"/>
  <c r="E473" i="13"/>
  <c r="F473" i="13" s="1"/>
  <c r="C473" i="13"/>
  <c r="E500" i="13"/>
  <c r="F499" i="13"/>
  <c r="E518" i="13"/>
  <c r="F517" i="13"/>
  <c r="H246" i="13"/>
  <c r="G247" i="13"/>
  <c r="J246" i="13"/>
  <c r="H336" i="13"/>
  <c r="G337" i="13"/>
  <c r="J336" i="13"/>
  <c r="F481" i="13"/>
  <c r="E482" i="13"/>
  <c r="F355" i="13"/>
  <c r="E356" i="13"/>
  <c r="E662" i="13"/>
  <c r="F661" i="13"/>
  <c r="G490" i="13"/>
  <c r="H489" i="13"/>
  <c r="J489" i="13"/>
  <c r="E320" i="13"/>
  <c r="F319" i="13"/>
  <c r="F418" i="13"/>
  <c r="E419" i="13"/>
  <c r="G670" i="13"/>
  <c r="H669" i="13"/>
  <c r="J669" i="13"/>
  <c r="E221" i="13"/>
  <c r="F221" i="13" s="1"/>
  <c r="F220" i="13"/>
  <c r="H588" i="13"/>
  <c r="G589" i="13"/>
  <c r="J588" i="13"/>
  <c r="B379" i="13"/>
  <c r="I380" i="13"/>
  <c r="K380" i="13" s="1"/>
  <c r="E608" i="13"/>
  <c r="G607" i="13"/>
  <c r="J607" i="13" s="1"/>
  <c r="F607" i="13"/>
  <c r="H327" i="13"/>
  <c r="G328" i="13"/>
  <c r="J327" i="13"/>
  <c r="H570" i="13"/>
  <c r="G571" i="13"/>
  <c r="J570" i="13"/>
  <c r="E437" i="13"/>
  <c r="F436" i="13"/>
  <c r="C545" i="13"/>
  <c r="C546" i="13" s="1"/>
  <c r="C547" i="13" s="1"/>
  <c r="C548" i="13" s="1"/>
  <c r="C549" i="13" s="1"/>
  <c r="C550" i="13" s="1"/>
  <c r="C551" i="13" s="1"/>
  <c r="C552" i="13" s="1"/>
  <c r="C553" i="13" s="1"/>
  <c r="C554" i="13" s="1"/>
  <c r="C536" i="13"/>
  <c r="C537" i="13" s="1"/>
  <c r="C538" i="13" s="1"/>
  <c r="C539" i="13" s="1"/>
  <c r="C540" i="13" s="1"/>
  <c r="C541" i="13" s="1"/>
  <c r="C542" i="13" s="1"/>
  <c r="C543" i="13" s="1"/>
  <c r="C544" i="13" s="1"/>
  <c r="B29" i="13"/>
  <c r="I31" i="13"/>
  <c r="K31" i="13" s="1"/>
  <c r="H354" i="13"/>
  <c r="G355" i="13"/>
  <c r="G310" i="13"/>
  <c r="H309" i="13"/>
  <c r="J309" i="13"/>
  <c r="F670" i="13"/>
  <c r="E671" i="13"/>
  <c r="H408" i="13"/>
  <c r="G409" i="13"/>
  <c r="J408" i="13"/>
  <c r="C743" i="13"/>
  <c r="E743" i="13"/>
  <c r="F743" i="13" s="1"/>
  <c r="G499" i="13"/>
  <c r="H498" i="13"/>
  <c r="J498" i="13"/>
  <c r="K646" i="13"/>
  <c r="I648" i="13"/>
  <c r="K648" i="13" s="1"/>
  <c r="I647" i="13"/>
  <c r="K647" i="13" s="1"/>
  <c r="I657" i="13" s="1"/>
  <c r="K657" i="13" s="1"/>
  <c r="I667" i="13" s="1"/>
  <c r="K667" i="13" s="1"/>
  <c r="I677" i="13" s="1"/>
  <c r="K677" i="13" s="1"/>
  <c r="I687" i="13" s="1"/>
  <c r="K687" i="13" s="1"/>
  <c r="I697" i="13" s="1"/>
  <c r="H750" i="13"/>
  <c r="G751" i="13"/>
  <c r="J750" i="13"/>
  <c r="F238" i="13"/>
  <c r="E239" i="13"/>
  <c r="E257" i="13"/>
  <c r="F256" i="13"/>
  <c r="F346" i="13"/>
  <c r="E347" i="13"/>
  <c r="F409" i="13"/>
  <c r="E410" i="13"/>
  <c r="E770" i="13"/>
  <c r="F769" i="13"/>
  <c r="G769" i="13"/>
  <c r="J769" i="13" s="1"/>
  <c r="G652" i="13"/>
  <c r="H651" i="13"/>
  <c r="J651" i="13"/>
  <c r="E626" i="13"/>
  <c r="F616" i="13"/>
  <c r="E617" i="13"/>
  <c r="J616" i="13"/>
  <c r="H678" i="13"/>
  <c r="G679" i="13"/>
  <c r="E428" i="13"/>
  <c r="F427" i="13"/>
  <c r="B199" i="13"/>
  <c r="I200" i="13"/>
  <c r="K200" i="13" s="1"/>
  <c r="F247" i="13"/>
  <c r="E248" i="13"/>
  <c r="H210" i="13"/>
  <c r="G211" i="13"/>
  <c r="J210" i="13"/>
  <c r="H471" i="13"/>
  <c r="G472" i="13"/>
  <c r="J471" i="13"/>
  <c r="F265" i="13"/>
  <c r="E266" i="13"/>
  <c r="J597" i="13"/>
  <c r="F364" i="13"/>
  <c r="G364" i="13"/>
  <c r="J364" i="13" s="1"/>
  <c r="E365" i="13"/>
  <c r="F400" i="13"/>
  <c r="E401" i="13"/>
  <c r="E383" i="13"/>
  <c r="F383" i="13" s="1"/>
  <c r="C383" i="13"/>
  <c r="G400" i="13"/>
  <c r="H399" i="13"/>
  <c r="J399" i="13"/>
  <c r="F508" i="13"/>
  <c r="E509" i="13"/>
  <c r="F301" i="13"/>
  <c r="E302" i="13"/>
  <c r="F302" i="13" s="1"/>
  <c r="E689" i="13"/>
  <c r="F688" i="13"/>
  <c r="G688" i="13"/>
  <c r="J688" i="13" s="1"/>
  <c r="G508" i="13"/>
  <c r="H507" i="13"/>
  <c r="J507" i="13"/>
  <c r="H264" i="13"/>
  <c r="G265" i="13"/>
  <c r="J264" i="13"/>
  <c r="G319" i="13"/>
  <c r="H318" i="13"/>
  <c r="J318" i="13"/>
  <c r="E599" i="13"/>
  <c r="F598" i="13"/>
  <c r="B469" i="13"/>
  <c r="I470" i="13"/>
  <c r="K470" i="13" s="1"/>
  <c r="H435" i="13"/>
  <c r="G436" i="13"/>
  <c r="G301" i="13"/>
  <c r="H300" i="13"/>
  <c r="J300" i="13"/>
  <c r="D626" i="13"/>
  <c r="D617" i="13"/>
  <c r="D618" i="13" s="1"/>
  <c r="D619" i="13" s="1"/>
  <c r="D620" i="13" s="1"/>
  <c r="D621" i="13" s="1"/>
  <c r="D622" i="13" s="1"/>
  <c r="D623" i="13" s="1"/>
  <c r="D624" i="13" s="1"/>
  <c r="D625" i="13" s="1"/>
  <c r="E311" i="13"/>
  <c r="F310" i="13"/>
  <c r="H759" i="13"/>
  <c r="G760" i="13"/>
  <c r="J526" i="13"/>
  <c r="F274" i="13"/>
  <c r="E275" i="13"/>
  <c r="E338" i="13"/>
  <c r="F337" i="13"/>
  <c r="H660" i="13"/>
  <c r="G661" i="13"/>
  <c r="J660" i="13"/>
  <c r="G292" i="13"/>
  <c r="H291" i="13"/>
  <c r="J291" i="13"/>
  <c r="D707" i="13"/>
  <c r="D698" i="13"/>
  <c r="D699" i="13" s="1"/>
  <c r="D700" i="13" s="1"/>
  <c r="D701" i="13" s="1"/>
  <c r="D702" i="13" s="1"/>
  <c r="D703" i="13" s="1"/>
  <c r="D704" i="13" s="1"/>
  <c r="D705" i="13" s="1"/>
  <c r="D706" i="13" s="1"/>
  <c r="F751" i="13"/>
  <c r="E752" i="13"/>
  <c r="J273" i="13"/>
  <c r="G220" i="13"/>
  <c r="H219" i="13"/>
  <c r="J219" i="13"/>
  <c r="E707" i="13"/>
  <c r="F697" i="13"/>
  <c r="E698" i="13"/>
  <c r="J697" i="13"/>
  <c r="B558" i="13"/>
  <c r="I559" i="13"/>
  <c r="K559" i="13" s="1"/>
  <c r="F778" i="13"/>
  <c r="E779" i="13"/>
  <c r="E788" i="13"/>
  <c r="J778" i="13"/>
  <c r="E680" i="13"/>
  <c r="F679" i="13"/>
  <c r="K363" i="13"/>
  <c r="J445" i="13"/>
  <c r="F391" i="13"/>
  <c r="E392" i="13"/>
  <c r="E761" i="13"/>
  <c r="F760" i="13"/>
  <c r="E563" i="13"/>
  <c r="F563" i="13" s="1"/>
  <c r="C563" i="13"/>
  <c r="I737" i="13" l="1"/>
  <c r="M737" i="13"/>
  <c r="C564" i="13"/>
  <c r="E564" i="13"/>
  <c r="F564" i="13" s="1"/>
  <c r="F599" i="13"/>
  <c r="E600" i="13"/>
  <c r="F617" i="13"/>
  <c r="G617" i="13"/>
  <c r="J617" i="13" s="1"/>
  <c r="E618" i="13"/>
  <c r="E771" i="13"/>
  <c r="F770" i="13"/>
  <c r="F239" i="13"/>
  <c r="E240" i="13"/>
  <c r="E672" i="13"/>
  <c r="F671" i="13"/>
  <c r="G572" i="13"/>
  <c r="H571" i="13"/>
  <c r="J571" i="13"/>
  <c r="K616" i="13"/>
  <c r="I626" i="13" s="1"/>
  <c r="F482" i="13"/>
  <c r="E483" i="13"/>
  <c r="F446" i="13"/>
  <c r="E447" i="13"/>
  <c r="G527" i="13"/>
  <c r="H526" i="13"/>
  <c r="F590" i="13"/>
  <c r="E591" i="13"/>
  <c r="C708" i="13"/>
  <c r="C709" i="13" s="1"/>
  <c r="C710" i="13" s="1"/>
  <c r="C711" i="13" s="1"/>
  <c r="C712" i="13" s="1"/>
  <c r="C713" i="13" s="1"/>
  <c r="C714" i="13" s="1"/>
  <c r="C715" i="13" s="1"/>
  <c r="C716" i="13" s="1"/>
  <c r="C717" i="13"/>
  <c r="H418" i="13"/>
  <c r="G419" i="13"/>
  <c r="J418" i="13"/>
  <c r="E537" i="13"/>
  <c r="G536" i="13"/>
  <c r="F536" i="13"/>
  <c r="G392" i="13"/>
  <c r="H391" i="13"/>
  <c r="J391" i="13"/>
  <c r="E753" i="13"/>
  <c r="F752" i="13"/>
  <c r="H508" i="13"/>
  <c r="G509" i="13"/>
  <c r="J508" i="13"/>
  <c r="B200" i="13"/>
  <c r="I201" i="13"/>
  <c r="K201" i="13" s="1"/>
  <c r="E411" i="13"/>
  <c r="F410" i="13"/>
  <c r="I32" i="13"/>
  <c r="K32" i="13" s="1"/>
  <c r="B31" i="13"/>
  <c r="I381" i="13"/>
  <c r="K381" i="13" s="1"/>
  <c r="B380" i="13"/>
  <c r="F518" i="13"/>
  <c r="E519" i="13"/>
  <c r="G482" i="13"/>
  <c r="H481" i="13"/>
  <c r="J481" i="13"/>
  <c r="G446" i="13"/>
  <c r="H445" i="13"/>
  <c r="D744" i="13"/>
  <c r="D753" i="13"/>
  <c r="D763" i="13" s="1"/>
  <c r="D773" i="13" s="1"/>
  <c r="D783" i="13" s="1"/>
  <c r="D793" i="13" s="1"/>
  <c r="D803" i="13" s="1"/>
  <c r="D813" i="13" s="1"/>
  <c r="D823" i="13" s="1"/>
  <c r="B559" i="13"/>
  <c r="I560" i="13"/>
  <c r="K560" i="13" s="1"/>
  <c r="H292" i="13"/>
  <c r="J292" i="13"/>
  <c r="N292" i="13" s="1"/>
  <c r="E510" i="13"/>
  <c r="F509" i="13"/>
  <c r="F248" i="13"/>
  <c r="E249" i="13"/>
  <c r="E258" i="13"/>
  <c r="F257" i="13"/>
  <c r="H562" i="13"/>
  <c r="G563" i="13"/>
  <c r="J562" i="13"/>
  <c r="I291" i="13"/>
  <c r="K291" i="13" s="1"/>
  <c r="B290" i="13"/>
  <c r="F365" i="13"/>
  <c r="E366" i="13"/>
  <c r="H472" i="13"/>
  <c r="G473" i="13"/>
  <c r="J472" i="13"/>
  <c r="E627" i="13"/>
  <c r="E636" i="13"/>
  <c r="F626" i="13"/>
  <c r="J626" i="13"/>
  <c r="H499" i="13"/>
  <c r="G500" i="13"/>
  <c r="J499" i="13"/>
  <c r="F527" i="13"/>
  <c r="E528" i="13"/>
  <c r="F230" i="13"/>
  <c r="E231" i="13"/>
  <c r="F231" i="13" s="1"/>
  <c r="F545" i="13"/>
  <c r="E546" i="13"/>
  <c r="J545" i="13"/>
  <c r="H580" i="13"/>
  <c r="G581" i="13"/>
  <c r="J580" i="13"/>
  <c r="D636" i="13"/>
  <c r="D637" i="13" s="1"/>
  <c r="D638" i="13" s="1"/>
  <c r="D639" i="13" s="1"/>
  <c r="D640" i="13" s="1"/>
  <c r="D641" i="13" s="1"/>
  <c r="D642" i="13" s="1"/>
  <c r="D643" i="13" s="1"/>
  <c r="D644" i="13" s="1"/>
  <c r="D645" i="13" s="1"/>
  <c r="D627" i="13"/>
  <c r="D628" i="13" s="1"/>
  <c r="D629" i="13" s="1"/>
  <c r="D630" i="13" s="1"/>
  <c r="D631" i="13" s="1"/>
  <c r="D632" i="13" s="1"/>
  <c r="D633" i="13" s="1"/>
  <c r="D634" i="13" s="1"/>
  <c r="D635" i="13" s="1"/>
  <c r="J536" i="13"/>
  <c r="G698" i="13"/>
  <c r="E699" i="13"/>
  <c r="F698" i="13"/>
  <c r="G302" i="13"/>
  <c r="H301" i="13"/>
  <c r="J301" i="13"/>
  <c r="H436" i="13"/>
  <c r="G437" i="13"/>
  <c r="J436" i="13"/>
  <c r="H319" i="13"/>
  <c r="G320" i="13"/>
  <c r="J319" i="13"/>
  <c r="G401" i="13"/>
  <c r="H400" i="13"/>
  <c r="J400" i="13"/>
  <c r="H364" i="13"/>
  <c r="G365" i="13"/>
  <c r="H751" i="13"/>
  <c r="G752" i="13"/>
  <c r="J751" i="13"/>
  <c r="H328" i="13"/>
  <c r="G329" i="13"/>
  <c r="J328" i="13"/>
  <c r="H670" i="13"/>
  <c r="G671" i="13"/>
  <c r="J670" i="13"/>
  <c r="H490" i="13"/>
  <c r="G491" i="13"/>
  <c r="J490" i="13"/>
  <c r="H337" i="13"/>
  <c r="G338" i="13"/>
  <c r="J337" i="13"/>
  <c r="E501" i="13"/>
  <c r="F500" i="13"/>
  <c r="F491" i="13"/>
  <c r="E492" i="13"/>
  <c r="I122" i="13"/>
  <c r="K122" i="13" s="1"/>
  <c r="B120" i="13"/>
  <c r="G599" i="13"/>
  <c r="H598" i="13"/>
  <c r="J598" i="13"/>
  <c r="G221" i="13"/>
  <c r="H220" i="13"/>
  <c r="J220" i="13"/>
  <c r="E276" i="13"/>
  <c r="F275" i="13"/>
  <c r="F401" i="13"/>
  <c r="E402" i="13"/>
  <c r="H517" i="13"/>
  <c r="G518" i="13"/>
  <c r="J517" i="13"/>
  <c r="F680" i="13"/>
  <c r="E681" i="13"/>
  <c r="H661" i="13"/>
  <c r="G662" i="13"/>
  <c r="J661" i="13"/>
  <c r="G761" i="13"/>
  <c r="H760" i="13"/>
  <c r="J760" i="13"/>
  <c r="H688" i="13"/>
  <c r="G689" i="13"/>
  <c r="F761" i="13"/>
  <c r="E762" i="13"/>
  <c r="J779" i="13"/>
  <c r="E393" i="13"/>
  <c r="F393" i="13" s="1"/>
  <c r="F392" i="13"/>
  <c r="F788" i="13"/>
  <c r="E798" i="13"/>
  <c r="E789" i="13"/>
  <c r="J788" i="13"/>
  <c r="E708" i="13"/>
  <c r="F707" i="13"/>
  <c r="E717" i="13"/>
  <c r="J707" i="13"/>
  <c r="D717" i="13"/>
  <c r="D708" i="13"/>
  <c r="D709" i="13" s="1"/>
  <c r="D710" i="13" s="1"/>
  <c r="D711" i="13" s="1"/>
  <c r="D712" i="13" s="1"/>
  <c r="D713" i="13" s="1"/>
  <c r="D714" i="13" s="1"/>
  <c r="D715" i="13" s="1"/>
  <c r="D716" i="13" s="1"/>
  <c r="E690" i="13"/>
  <c r="F689" i="13"/>
  <c r="E429" i="13"/>
  <c r="F428" i="13"/>
  <c r="E348" i="13"/>
  <c r="F347" i="13"/>
  <c r="E744" i="13"/>
  <c r="F744" i="13" s="1"/>
  <c r="C744" i="13"/>
  <c r="H589" i="13"/>
  <c r="G590" i="13"/>
  <c r="J589" i="13"/>
  <c r="F419" i="13"/>
  <c r="E420" i="13"/>
  <c r="E474" i="13"/>
  <c r="F474" i="13" s="1"/>
  <c r="C474" i="13"/>
  <c r="G383" i="13"/>
  <c r="H382" i="13"/>
  <c r="J382" i="13"/>
  <c r="H256" i="13"/>
  <c r="G257" i="13"/>
  <c r="J256" i="13"/>
  <c r="F455" i="13"/>
  <c r="G455" i="13"/>
  <c r="J455" i="13" s="1"/>
  <c r="E456" i="13"/>
  <c r="F581" i="13"/>
  <c r="E582" i="13"/>
  <c r="E330" i="13"/>
  <c r="F329" i="13"/>
  <c r="F266" i="13"/>
  <c r="E267" i="13"/>
  <c r="G356" i="13"/>
  <c r="H355" i="13"/>
  <c r="J355" i="13"/>
  <c r="E609" i="13"/>
  <c r="F608" i="13"/>
  <c r="F320" i="13"/>
  <c r="E321" i="13"/>
  <c r="E780" i="13"/>
  <c r="F779" i="13"/>
  <c r="G779" i="13"/>
  <c r="E312" i="13"/>
  <c r="F312" i="13" s="1"/>
  <c r="F311" i="13"/>
  <c r="I471" i="13"/>
  <c r="K471" i="13" s="1"/>
  <c r="B470" i="13"/>
  <c r="G266" i="13"/>
  <c r="H265" i="13"/>
  <c r="J265" i="13"/>
  <c r="H211" i="13"/>
  <c r="J211" i="13"/>
  <c r="N211" i="13" s="1"/>
  <c r="G680" i="13"/>
  <c r="H679" i="13"/>
  <c r="J679" i="13"/>
  <c r="G653" i="13"/>
  <c r="H652" i="13"/>
  <c r="J652" i="13"/>
  <c r="K697" i="13"/>
  <c r="I707" i="13" s="1"/>
  <c r="K707" i="13" s="1"/>
  <c r="I717" i="13" s="1"/>
  <c r="E663" i="13"/>
  <c r="F662" i="13"/>
  <c r="H427" i="13"/>
  <c r="G428" i="13"/>
  <c r="J427" i="13"/>
  <c r="G230" i="13"/>
  <c r="H229" i="13"/>
  <c r="J229" i="13"/>
  <c r="K535" i="13"/>
  <c r="I545" i="13" s="1"/>
  <c r="K545" i="13" s="1"/>
  <c r="E339" i="13"/>
  <c r="F338" i="13"/>
  <c r="G770" i="13"/>
  <c r="H769" i="13"/>
  <c r="I649" i="13"/>
  <c r="K649" i="13" s="1"/>
  <c r="B648" i="13"/>
  <c r="G410" i="13"/>
  <c r="H409" i="13"/>
  <c r="J409" i="13"/>
  <c r="H310" i="13"/>
  <c r="G311" i="13"/>
  <c r="J310" i="13"/>
  <c r="F437" i="13"/>
  <c r="E438" i="13"/>
  <c r="H607" i="13"/>
  <c r="G608" i="13"/>
  <c r="F356" i="13"/>
  <c r="E357" i="13"/>
  <c r="H247" i="13"/>
  <c r="G248" i="13"/>
  <c r="J247" i="13"/>
  <c r="F572" i="13"/>
  <c r="E573" i="13"/>
  <c r="G347" i="13"/>
  <c r="H346" i="13"/>
  <c r="J346" i="13"/>
  <c r="C627" i="13"/>
  <c r="C628" i="13" s="1"/>
  <c r="C629" i="13" s="1"/>
  <c r="C630" i="13" s="1"/>
  <c r="C631" i="13" s="1"/>
  <c r="C632" i="13" s="1"/>
  <c r="C633" i="13" s="1"/>
  <c r="C634" i="13" s="1"/>
  <c r="C635" i="13" s="1"/>
  <c r="C636" i="13"/>
  <c r="C637" i="13" s="1"/>
  <c r="C638" i="13" s="1"/>
  <c r="C639" i="13" s="1"/>
  <c r="C640" i="13" s="1"/>
  <c r="C641" i="13" s="1"/>
  <c r="C642" i="13" s="1"/>
  <c r="C643" i="13" s="1"/>
  <c r="C644" i="13" s="1"/>
  <c r="C645" i="13" s="1"/>
  <c r="G275" i="13"/>
  <c r="H274" i="13"/>
  <c r="J274" i="13"/>
  <c r="E654" i="13"/>
  <c r="F653" i="13"/>
  <c r="H238" i="13"/>
  <c r="G239" i="13"/>
  <c r="J238" i="13"/>
  <c r="G744" i="13"/>
  <c r="H743" i="13"/>
  <c r="J743" i="13"/>
  <c r="E574" i="13" l="1"/>
  <c r="F573" i="13"/>
  <c r="G411" i="13"/>
  <c r="H410" i="13"/>
  <c r="J410" i="13"/>
  <c r="I472" i="13"/>
  <c r="K472" i="13" s="1"/>
  <c r="B471" i="13"/>
  <c r="E421" i="13"/>
  <c r="F420" i="13"/>
  <c r="F348" i="13"/>
  <c r="E349" i="13"/>
  <c r="G519" i="13"/>
  <c r="H518" i="13"/>
  <c r="J518" i="13"/>
  <c r="H221" i="13"/>
  <c r="J221" i="13"/>
  <c r="N221" i="13" s="1"/>
  <c r="H302" i="13"/>
  <c r="J302" i="13"/>
  <c r="N302" i="13" s="1"/>
  <c r="G582" i="13"/>
  <c r="H581" i="13"/>
  <c r="J581" i="13"/>
  <c r="D754" i="13"/>
  <c r="D764" i="13" s="1"/>
  <c r="D774" i="13" s="1"/>
  <c r="D784" i="13" s="1"/>
  <c r="D794" i="13" s="1"/>
  <c r="D804" i="13" s="1"/>
  <c r="D814" i="13" s="1"/>
  <c r="D824" i="13" s="1"/>
  <c r="D745" i="13"/>
  <c r="C718" i="13"/>
  <c r="C719" i="13" s="1"/>
  <c r="C720" i="13" s="1"/>
  <c r="C721" i="13" s="1"/>
  <c r="C722" i="13" s="1"/>
  <c r="C723" i="13" s="1"/>
  <c r="C724" i="13" s="1"/>
  <c r="C725" i="13" s="1"/>
  <c r="C726" i="13" s="1"/>
  <c r="C727" i="13"/>
  <c r="C728" i="13" s="1"/>
  <c r="C729" i="13" s="1"/>
  <c r="C730" i="13" s="1"/>
  <c r="C731" i="13" s="1"/>
  <c r="C732" i="13" s="1"/>
  <c r="C733" i="13" s="1"/>
  <c r="C734" i="13" s="1"/>
  <c r="C735" i="13" s="1"/>
  <c r="C736" i="13" s="1"/>
  <c r="E484" i="13"/>
  <c r="F484" i="13" s="1"/>
  <c r="F483" i="13"/>
  <c r="E601" i="13"/>
  <c r="F600" i="13"/>
  <c r="D718" i="13"/>
  <c r="D719" i="13" s="1"/>
  <c r="D720" i="13" s="1"/>
  <c r="D721" i="13" s="1"/>
  <c r="D722" i="13" s="1"/>
  <c r="D723" i="13" s="1"/>
  <c r="D724" i="13" s="1"/>
  <c r="D725" i="13" s="1"/>
  <c r="D726" i="13" s="1"/>
  <c r="D727" i="13"/>
  <c r="D728" i="13" s="1"/>
  <c r="D729" i="13" s="1"/>
  <c r="D730" i="13" s="1"/>
  <c r="D731" i="13" s="1"/>
  <c r="D732" i="13" s="1"/>
  <c r="D733" i="13" s="1"/>
  <c r="D734" i="13" s="1"/>
  <c r="D735" i="13" s="1"/>
  <c r="D736" i="13" s="1"/>
  <c r="E439" i="13"/>
  <c r="F438" i="13"/>
  <c r="G681" i="13"/>
  <c r="H680" i="13"/>
  <c r="J680" i="13"/>
  <c r="E610" i="13"/>
  <c r="F609" i="13"/>
  <c r="H257" i="13"/>
  <c r="G258" i="13"/>
  <c r="J257" i="13"/>
  <c r="F717" i="13"/>
  <c r="E727" i="13"/>
  <c r="E718" i="13"/>
  <c r="J717" i="13"/>
  <c r="H761" i="13"/>
  <c r="G762" i="13"/>
  <c r="J761" i="13"/>
  <c r="G753" i="13"/>
  <c r="H752" i="13"/>
  <c r="J752" i="13"/>
  <c r="H320" i="13"/>
  <c r="G321" i="13"/>
  <c r="J320" i="13"/>
  <c r="E637" i="13"/>
  <c r="F636" i="13"/>
  <c r="J636" i="13"/>
  <c r="B291" i="13"/>
  <c r="I292" i="13"/>
  <c r="K292" i="13" s="1"/>
  <c r="I382" i="13"/>
  <c r="K382" i="13" s="1"/>
  <c r="B381" i="13"/>
  <c r="H509" i="13"/>
  <c r="G510" i="13"/>
  <c r="J509" i="13"/>
  <c r="H392" i="13"/>
  <c r="G393" i="13"/>
  <c r="J392" i="13"/>
  <c r="F240" i="13"/>
  <c r="E241" i="13"/>
  <c r="F241" i="13" s="1"/>
  <c r="E493" i="13"/>
  <c r="F492" i="13"/>
  <c r="H744" i="13"/>
  <c r="G745" i="13"/>
  <c r="J744" i="13"/>
  <c r="I650" i="13"/>
  <c r="K650" i="13" s="1"/>
  <c r="B649" i="13"/>
  <c r="F330" i="13"/>
  <c r="E331" i="13"/>
  <c r="F429" i="13"/>
  <c r="E430" i="13"/>
  <c r="E403" i="13"/>
  <c r="F403" i="13" s="1"/>
  <c r="F402" i="13"/>
  <c r="E502" i="13"/>
  <c r="F501" i="13"/>
  <c r="H671" i="13"/>
  <c r="G672" i="13"/>
  <c r="J671" i="13"/>
  <c r="F699" i="13"/>
  <c r="E700" i="13"/>
  <c r="F627" i="13"/>
  <c r="G627" i="13"/>
  <c r="E628" i="13"/>
  <c r="F510" i="13"/>
  <c r="E511" i="13"/>
  <c r="G447" i="13"/>
  <c r="H446" i="13"/>
  <c r="J446" i="13"/>
  <c r="E592" i="13"/>
  <c r="F591" i="13"/>
  <c r="K626" i="13"/>
  <c r="I636" i="13" s="1"/>
  <c r="K636" i="13" s="1"/>
  <c r="G609" i="13"/>
  <c r="H608" i="13"/>
  <c r="J608" i="13"/>
  <c r="F339" i="13"/>
  <c r="E340" i="13"/>
  <c r="K717" i="13"/>
  <c r="I727" i="13" s="1"/>
  <c r="H779" i="13"/>
  <c r="G780" i="13"/>
  <c r="E583" i="13"/>
  <c r="F582" i="13"/>
  <c r="G591" i="13"/>
  <c r="H590" i="13"/>
  <c r="J590" i="13"/>
  <c r="G708" i="13"/>
  <c r="F708" i="13"/>
  <c r="E709" i="13"/>
  <c r="F762" i="13"/>
  <c r="E763" i="13"/>
  <c r="H662" i="13"/>
  <c r="G663" i="13"/>
  <c r="J662" i="13"/>
  <c r="H599" i="13"/>
  <c r="G600" i="13"/>
  <c r="J599" i="13"/>
  <c r="G366" i="13"/>
  <c r="H365" i="13"/>
  <c r="J365" i="13"/>
  <c r="G699" i="13"/>
  <c r="H698" i="13"/>
  <c r="G546" i="13"/>
  <c r="F546" i="13"/>
  <c r="E547" i="13"/>
  <c r="G564" i="13"/>
  <c r="H563" i="13"/>
  <c r="J563" i="13"/>
  <c r="B32" i="13"/>
  <c r="I33" i="13"/>
  <c r="K33" i="13" s="1"/>
  <c r="G537" i="13"/>
  <c r="H536" i="13"/>
  <c r="H347" i="13"/>
  <c r="G348" i="13"/>
  <c r="J347" i="13"/>
  <c r="F672" i="13"/>
  <c r="E673" i="13"/>
  <c r="H275" i="13"/>
  <c r="G276" i="13"/>
  <c r="J275" i="13"/>
  <c r="G249" i="13"/>
  <c r="H248" i="13"/>
  <c r="J248" i="13"/>
  <c r="H239" i="13"/>
  <c r="G240" i="13"/>
  <c r="J239" i="13"/>
  <c r="G312" i="13"/>
  <c r="H311" i="13"/>
  <c r="J311" i="13"/>
  <c r="G771" i="13"/>
  <c r="H770" i="13"/>
  <c r="J770" i="13"/>
  <c r="G231" i="13"/>
  <c r="H230" i="13"/>
  <c r="J230" i="13"/>
  <c r="H356" i="13"/>
  <c r="G357" i="13"/>
  <c r="J356" i="13"/>
  <c r="F690" i="13"/>
  <c r="E691" i="13"/>
  <c r="G339" i="13"/>
  <c r="H338" i="13"/>
  <c r="J338" i="13"/>
  <c r="H437" i="13"/>
  <c r="G438" i="13"/>
  <c r="J437" i="13"/>
  <c r="G501" i="13"/>
  <c r="H500" i="13"/>
  <c r="J500" i="13"/>
  <c r="G474" i="13"/>
  <c r="H473" i="13"/>
  <c r="J473" i="13"/>
  <c r="F537" i="13"/>
  <c r="E538" i="13"/>
  <c r="F771" i="13"/>
  <c r="E772" i="13"/>
  <c r="E565" i="13"/>
  <c r="F565" i="13" s="1"/>
  <c r="C565" i="13"/>
  <c r="E655" i="13"/>
  <c r="F654" i="13"/>
  <c r="G492" i="13"/>
  <c r="H491" i="13"/>
  <c r="J491" i="13"/>
  <c r="J627" i="13"/>
  <c r="E250" i="13"/>
  <c r="F249" i="13"/>
  <c r="F663" i="13"/>
  <c r="E664" i="13"/>
  <c r="F357" i="13"/>
  <c r="E358" i="13"/>
  <c r="F780" i="13"/>
  <c r="E781" i="13"/>
  <c r="F267" i="13"/>
  <c r="E268" i="13"/>
  <c r="F456" i="13"/>
  <c r="E457" i="13"/>
  <c r="H383" i="13"/>
  <c r="J383" i="13"/>
  <c r="N383" i="13" s="1"/>
  <c r="C745" i="13"/>
  <c r="E745" i="13"/>
  <c r="F745" i="13" s="1"/>
  <c r="G789" i="13"/>
  <c r="J789" i="13" s="1"/>
  <c r="E790" i="13"/>
  <c r="F789" i="13"/>
  <c r="G690" i="13"/>
  <c r="H689" i="13"/>
  <c r="J689" i="13"/>
  <c r="F681" i="13"/>
  <c r="E682" i="13"/>
  <c r="E277" i="13"/>
  <c r="F276" i="13"/>
  <c r="B560" i="13"/>
  <c r="I561" i="13"/>
  <c r="K561" i="13" s="1"/>
  <c r="H482" i="13"/>
  <c r="G483" i="13"/>
  <c r="J482" i="13"/>
  <c r="F411" i="13"/>
  <c r="E412" i="13"/>
  <c r="F753" i="13"/>
  <c r="E754" i="13"/>
  <c r="J698" i="13"/>
  <c r="G528" i="13"/>
  <c r="H527" i="13"/>
  <c r="J527" i="13"/>
  <c r="G573" i="13"/>
  <c r="H572" i="13"/>
  <c r="J572" i="13"/>
  <c r="E619" i="13"/>
  <c r="F618" i="13"/>
  <c r="H401" i="13"/>
  <c r="G402" i="13"/>
  <c r="J401" i="13"/>
  <c r="E529" i="13"/>
  <c r="F528" i="13"/>
  <c r="H428" i="13"/>
  <c r="G429" i="13"/>
  <c r="J428" i="13"/>
  <c r="G654" i="13"/>
  <c r="H653" i="13"/>
  <c r="J653" i="13"/>
  <c r="G267" i="13"/>
  <c r="H266" i="13"/>
  <c r="J266" i="13"/>
  <c r="E322" i="13"/>
  <c r="F322" i="13" s="1"/>
  <c r="F321" i="13"/>
  <c r="H455" i="13"/>
  <c r="G456" i="13"/>
  <c r="E799" i="13"/>
  <c r="F798" i="13"/>
  <c r="E808" i="13"/>
  <c r="J798" i="13"/>
  <c r="B122" i="13"/>
  <c r="I123" i="13"/>
  <c r="K123" i="13" s="1"/>
  <c r="G330" i="13"/>
  <c r="H329" i="13"/>
  <c r="J329" i="13"/>
  <c r="F366" i="13"/>
  <c r="E367" i="13"/>
  <c r="F258" i="13"/>
  <c r="E259" i="13"/>
  <c r="E520" i="13"/>
  <c r="F519" i="13"/>
  <c r="B201" i="13"/>
  <c r="I203" i="13"/>
  <c r="K203" i="13" s="1"/>
  <c r="G420" i="13"/>
  <c r="H419" i="13"/>
  <c r="J419" i="13"/>
  <c r="E448" i="13"/>
  <c r="F447" i="13"/>
  <c r="H617" i="13"/>
  <c r="G618" i="13"/>
  <c r="I738" i="13"/>
  <c r="K738" i="13" s="1"/>
  <c r="I748" i="13" s="1"/>
  <c r="K748" i="13" s="1"/>
  <c r="I758" i="13" s="1"/>
  <c r="K758" i="13" s="1"/>
  <c r="I768" i="13" s="1"/>
  <c r="K768" i="13" s="1"/>
  <c r="I778" i="13" s="1"/>
  <c r="K778" i="13" s="1"/>
  <c r="I788" i="13" s="1"/>
  <c r="K788" i="13" s="1"/>
  <c r="I798" i="13" s="1"/>
  <c r="K798" i="13" s="1"/>
  <c r="I808" i="13" s="1"/>
  <c r="I739" i="13"/>
  <c r="K739" i="13" s="1"/>
  <c r="K737" i="13"/>
  <c r="I828" i="13" s="1"/>
  <c r="B739" i="13" l="1"/>
  <c r="I740" i="13"/>
  <c r="K740" i="13" s="1"/>
  <c r="F727" i="13"/>
  <c r="E728" i="13"/>
  <c r="J727" i="13"/>
  <c r="I204" i="13"/>
  <c r="K204" i="13" s="1"/>
  <c r="B203" i="13"/>
  <c r="F799" i="13"/>
  <c r="G799" i="13"/>
  <c r="E800" i="13"/>
  <c r="G574" i="13"/>
  <c r="H573" i="13"/>
  <c r="J573" i="13"/>
  <c r="E413" i="13"/>
  <c r="F413" i="13" s="1"/>
  <c r="F412" i="13"/>
  <c r="E791" i="13"/>
  <c r="F790" i="13"/>
  <c r="F268" i="13"/>
  <c r="E269" i="13"/>
  <c r="H474" i="13"/>
  <c r="J474" i="13"/>
  <c r="N474" i="13" s="1"/>
  <c r="H312" i="13"/>
  <c r="J312" i="13"/>
  <c r="N312" i="13" s="1"/>
  <c r="H276" i="13"/>
  <c r="G277" i="13"/>
  <c r="J276" i="13"/>
  <c r="G538" i="13"/>
  <c r="H537" i="13"/>
  <c r="J537" i="13"/>
  <c r="F709" i="13"/>
  <c r="E710" i="13"/>
  <c r="H780" i="13"/>
  <c r="G781" i="13"/>
  <c r="J780" i="13"/>
  <c r="G610" i="13"/>
  <c r="H609" i="13"/>
  <c r="J609" i="13"/>
  <c r="H672" i="13"/>
  <c r="G673" i="13"/>
  <c r="J672" i="13"/>
  <c r="G754" i="13"/>
  <c r="H753" i="13"/>
  <c r="J753" i="13"/>
  <c r="H681" i="13"/>
  <c r="G682" i="13"/>
  <c r="J681" i="13"/>
  <c r="E350" i="13"/>
  <c r="F349" i="13"/>
  <c r="H411" i="13"/>
  <c r="G412" i="13"/>
  <c r="J411" i="13"/>
  <c r="H366" i="13"/>
  <c r="G367" i="13"/>
  <c r="J366" i="13"/>
  <c r="H393" i="13"/>
  <c r="J393" i="13"/>
  <c r="N393" i="13" s="1"/>
  <c r="H582" i="13"/>
  <c r="G583" i="13"/>
  <c r="J582" i="13"/>
  <c r="G403" i="13"/>
  <c r="H402" i="13"/>
  <c r="J402" i="13"/>
  <c r="F277" i="13"/>
  <c r="E278" i="13"/>
  <c r="H789" i="13"/>
  <c r="G790" i="13"/>
  <c r="F250" i="13"/>
  <c r="E251" i="13"/>
  <c r="F251" i="13" s="1"/>
  <c r="H339" i="13"/>
  <c r="G340" i="13"/>
  <c r="J339" i="13"/>
  <c r="I34" i="13"/>
  <c r="K34" i="13" s="1"/>
  <c r="B33" i="13"/>
  <c r="H546" i="13"/>
  <c r="G547" i="13"/>
  <c r="G601" i="13"/>
  <c r="H600" i="13"/>
  <c r="J600" i="13"/>
  <c r="F628" i="13"/>
  <c r="E629" i="13"/>
  <c r="E332" i="13"/>
  <c r="F332" i="13" s="1"/>
  <c r="F331" i="13"/>
  <c r="E548" i="13"/>
  <c r="F547" i="13"/>
  <c r="F511" i="13"/>
  <c r="E512" i="13"/>
  <c r="G655" i="13"/>
  <c r="H654" i="13"/>
  <c r="J654" i="13"/>
  <c r="E683" i="13"/>
  <c r="F682" i="13"/>
  <c r="E782" i="13"/>
  <c r="F781" i="13"/>
  <c r="F772" i="13"/>
  <c r="E773" i="13"/>
  <c r="H231" i="13"/>
  <c r="J231" i="13"/>
  <c r="N231" i="13" s="1"/>
  <c r="H240" i="13"/>
  <c r="G241" i="13"/>
  <c r="J240" i="13"/>
  <c r="E674" i="13"/>
  <c r="F673" i="13"/>
  <c r="G709" i="13"/>
  <c r="H708" i="13"/>
  <c r="K727" i="13"/>
  <c r="G628" i="13"/>
  <c r="H627" i="13"/>
  <c r="E494" i="13"/>
  <c r="F494" i="13" s="1"/>
  <c r="F493" i="13"/>
  <c r="H510" i="13"/>
  <c r="G511" i="13"/>
  <c r="J510" i="13"/>
  <c r="E638" i="13"/>
  <c r="F637" i="13"/>
  <c r="G637" i="13"/>
  <c r="J637" i="13" s="1"/>
  <c r="H258" i="13"/>
  <c r="G259" i="13"/>
  <c r="J258" i="13"/>
  <c r="F439" i="13"/>
  <c r="E440" i="13"/>
  <c r="F574" i="13"/>
  <c r="E575" i="13"/>
  <c r="F575" i="13" s="1"/>
  <c r="H267" i="13"/>
  <c r="G268" i="13"/>
  <c r="J267" i="13"/>
  <c r="G457" i="13"/>
  <c r="H456" i="13"/>
  <c r="J456" i="13"/>
  <c r="H330" i="13"/>
  <c r="G331" i="13"/>
  <c r="J330" i="13"/>
  <c r="F520" i="13"/>
  <c r="E521" i="13"/>
  <c r="I124" i="13"/>
  <c r="K124" i="13" s="1"/>
  <c r="B123" i="13"/>
  <c r="G529" i="13"/>
  <c r="H528" i="13"/>
  <c r="J528" i="13"/>
  <c r="H483" i="13"/>
  <c r="G484" i="13"/>
  <c r="J483" i="13"/>
  <c r="C746" i="13"/>
  <c r="E746" i="13"/>
  <c r="F746" i="13" s="1"/>
  <c r="H501" i="13"/>
  <c r="G502" i="13"/>
  <c r="J501" i="13"/>
  <c r="E692" i="13"/>
  <c r="F691" i="13"/>
  <c r="G700" i="13"/>
  <c r="H699" i="13"/>
  <c r="J699" i="13"/>
  <c r="F592" i="13"/>
  <c r="E593" i="13"/>
  <c r="F502" i="13"/>
  <c r="E503" i="13"/>
  <c r="G763" i="13"/>
  <c r="H762" i="13"/>
  <c r="J762" i="13"/>
  <c r="D755" i="13"/>
  <c r="D765" i="13" s="1"/>
  <c r="D775" i="13" s="1"/>
  <c r="D785" i="13" s="1"/>
  <c r="D795" i="13" s="1"/>
  <c r="D805" i="13" s="1"/>
  <c r="D815" i="13" s="1"/>
  <c r="D825" i="13" s="1"/>
  <c r="D746" i="13"/>
  <c r="F421" i="13"/>
  <c r="E422" i="13"/>
  <c r="F583" i="13"/>
  <c r="E584" i="13"/>
  <c r="G746" i="13"/>
  <c r="H745" i="13"/>
  <c r="J745" i="13"/>
  <c r="G619" i="13"/>
  <c r="H618" i="13"/>
  <c r="J618" i="13"/>
  <c r="F259" i="13"/>
  <c r="E260" i="13"/>
  <c r="H429" i="13"/>
  <c r="G430" i="13"/>
  <c r="J429" i="13"/>
  <c r="E359" i="13"/>
  <c r="F358" i="13"/>
  <c r="F538" i="13"/>
  <c r="E539" i="13"/>
  <c r="G664" i="13"/>
  <c r="H663" i="13"/>
  <c r="J663" i="13"/>
  <c r="F340" i="13"/>
  <c r="E341" i="13"/>
  <c r="J546" i="13"/>
  <c r="G322" i="13"/>
  <c r="H321" i="13"/>
  <c r="J321" i="13"/>
  <c r="F529" i="13"/>
  <c r="E530" i="13"/>
  <c r="F655" i="13"/>
  <c r="E656" i="13"/>
  <c r="F656" i="13" s="1"/>
  <c r="F430" i="13"/>
  <c r="E431" i="13"/>
  <c r="F619" i="13"/>
  <c r="E620" i="13"/>
  <c r="B561" i="13"/>
  <c r="I562" i="13"/>
  <c r="K562" i="13" s="1"/>
  <c r="H492" i="13"/>
  <c r="G493" i="13"/>
  <c r="J492" i="13"/>
  <c r="G439" i="13"/>
  <c r="H438" i="13"/>
  <c r="J438" i="13"/>
  <c r="G772" i="13"/>
  <c r="H771" i="13"/>
  <c r="J771" i="13"/>
  <c r="H348" i="13"/>
  <c r="G349" i="13"/>
  <c r="J348" i="13"/>
  <c r="G592" i="13"/>
  <c r="H591" i="13"/>
  <c r="J591" i="13"/>
  <c r="F700" i="13"/>
  <c r="E701" i="13"/>
  <c r="I651" i="13"/>
  <c r="K651" i="13" s="1"/>
  <c r="B650" i="13"/>
  <c r="B382" i="13"/>
  <c r="I383" i="13"/>
  <c r="K383" i="13" s="1"/>
  <c r="E611" i="13"/>
  <c r="F610" i="13"/>
  <c r="I473" i="13"/>
  <c r="K473" i="13" s="1"/>
  <c r="B472" i="13"/>
  <c r="G421" i="13"/>
  <c r="H420" i="13"/>
  <c r="J420" i="13"/>
  <c r="F448" i="13"/>
  <c r="E449" i="13"/>
  <c r="J799" i="13"/>
  <c r="F367" i="13"/>
  <c r="E368" i="13"/>
  <c r="E818" i="13"/>
  <c r="E809" i="13"/>
  <c r="F808" i="13"/>
  <c r="J808" i="13"/>
  <c r="K808" i="13" s="1"/>
  <c r="I818" i="13" s="1"/>
  <c r="F754" i="13"/>
  <c r="E755" i="13"/>
  <c r="G691" i="13"/>
  <c r="H690" i="13"/>
  <c r="J690" i="13"/>
  <c r="E458" i="13"/>
  <c r="F457" i="13"/>
  <c r="E665" i="13"/>
  <c r="F664" i="13"/>
  <c r="H357" i="13"/>
  <c r="G358" i="13"/>
  <c r="J357" i="13"/>
  <c r="G250" i="13"/>
  <c r="H249" i="13"/>
  <c r="J249" i="13"/>
  <c r="H564" i="13"/>
  <c r="G565" i="13"/>
  <c r="J564" i="13"/>
  <c r="F763" i="13"/>
  <c r="E764" i="13"/>
  <c r="H447" i="13"/>
  <c r="G448" i="13"/>
  <c r="J447" i="13"/>
  <c r="I294" i="13"/>
  <c r="K294" i="13" s="1"/>
  <c r="B292" i="13"/>
  <c r="G718" i="13"/>
  <c r="E719" i="13"/>
  <c r="F718" i="13"/>
  <c r="F601" i="13"/>
  <c r="E602" i="13"/>
  <c r="G520" i="13"/>
  <c r="H519" i="13"/>
  <c r="J519" i="13"/>
  <c r="J708" i="13"/>
  <c r="H358" i="13" l="1"/>
  <c r="G359" i="13"/>
  <c r="J358" i="13"/>
  <c r="E513" i="13"/>
  <c r="F512" i="13"/>
  <c r="F503" i="13"/>
  <c r="E504" i="13"/>
  <c r="F504" i="13" s="1"/>
  <c r="H484" i="13"/>
  <c r="J484" i="13"/>
  <c r="N484" i="13" s="1"/>
  <c r="H268" i="13"/>
  <c r="G269" i="13"/>
  <c r="J268" i="13"/>
  <c r="G341" i="13"/>
  <c r="H340" i="13"/>
  <c r="J340" i="13"/>
  <c r="E351" i="13"/>
  <c r="F350" i="13"/>
  <c r="H277" i="13"/>
  <c r="G278" i="13"/>
  <c r="J277" i="13"/>
  <c r="H799" i="13"/>
  <c r="G800" i="13"/>
  <c r="I741" i="13"/>
  <c r="K741" i="13" s="1"/>
  <c r="B740" i="13"/>
  <c r="E585" i="13"/>
  <c r="F585" i="13" s="1"/>
  <c r="F584" i="13"/>
  <c r="F521" i="13"/>
  <c r="E522" i="13"/>
  <c r="F755" i="13"/>
  <c r="E756" i="13"/>
  <c r="B294" i="13"/>
  <c r="I295" i="13"/>
  <c r="K295" i="13" s="1"/>
  <c r="H565" i="13"/>
  <c r="J565" i="13"/>
  <c r="N565" i="13" s="1"/>
  <c r="E450" i="13"/>
  <c r="F449" i="13"/>
  <c r="F611" i="13"/>
  <c r="E612" i="13"/>
  <c r="I563" i="13"/>
  <c r="K563" i="13" s="1"/>
  <c r="B562" i="13"/>
  <c r="E342" i="13"/>
  <c r="F342" i="13" s="1"/>
  <c r="F341" i="13"/>
  <c r="F359" i="13"/>
  <c r="E360" i="13"/>
  <c r="F422" i="13"/>
  <c r="E423" i="13"/>
  <c r="F423" i="13" s="1"/>
  <c r="F692" i="13"/>
  <c r="E693" i="13"/>
  <c r="G638" i="13"/>
  <c r="H637" i="13"/>
  <c r="H241" i="13"/>
  <c r="J241" i="13"/>
  <c r="N241" i="13" s="1"/>
  <c r="E783" i="13"/>
  <c r="F782" i="13"/>
  <c r="G674" i="13"/>
  <c r="H673" i="13"/>
  <c r="J673" i="13"/>
  <c r="F710" i="13"/>
  <c r="E711" i="13"/>
  <c r="F791" i="13"/>
  <c r="E792" i="13"/>
  <c r="H718" i="13"/>
  <c r="G719" i="13"/>
  <c r="E261" i="13"/>
  <c r="F261" i="13" s="1"/>
  <c r="F260" i="13"/>
  <c r="H259" i="13"/>
  <c r="G260" i="13"/>
  <c r="J259" i="13"/>
  <c r="F800" i="13"/>
  <c r="E801" i="13"/>
  <c r="H520" i="13"/>
  <c r="G521" i="13"/>
  <c r="J520" i="13"/>
  <c r="G773" i="13"/>
  <c r="H772" i="13"/>
  <c r="J772" i="13"/>
  <c r="F530" i="13"/>
  <c r="E531" i="13"/>
  <c r="E594" i="13"/>
  <c r="F593" i="13"/>
  <c r="H331" i="13"/>
  <c r="G332" i="13"/>
  <c r="J331" i="13"/>
  <c r="H628" i="13"/>
  <c r="G629" i="13"/>
  <c r="J628" i="13"/>
  <c r="F548" i="13"/>
  <c r="E549" i="13"/>
  <c r="H601" i="13"/>
  <c r="G602" i="13"/>
  <c r="J601" i="13"/>
  <c r="H367" i="13"/>
  <c r="G368" i="13"/>
  <c r="J367" i="13"/>
  <c r="H682" i="13"/>
  <c r="G683" i="13"/>
  <c r="J682" i="13"/>
  <c r="G494" i="13"/>
  <c r="H493" i="13"/>
  <c r="J493" i="13"/>
  <c r="H763" i="13"/>
  <c r="G764" i="13"/>
  <c r="J763" i="13"/>
  <c r="E675" i="13"/>
  <c r="F674" i="13"/>
  <c r="F665" i="13"/>
  <c r="E666" i="13"/>
  <c r="F666" i="13" s="1"/>
  <c r="H448" i="13"/>
  <c r="G449" i="13"/>
  <c r="J448" i="13"/>
  <c r="B383" i="13"/>
  <c r="I385" i="13"/>
  <c r="K385" i="13" s="1"/>
  <c r="G593" i="13"/>
  <c r="H592" i="13"/>
  <c r="J592" i="13"/>
  <c r="H619" i="13"/>
  <c r="G620" i="13"/>
  <c r="J619" i="13"/>
  <c r="D756" i="13"/>
  <c r="D766" i="13" s="1"/>
  <c r="D776" i="13" s="1"/>
  <c r="D786" i="13" s="1"/>
  <c r="D796" i="13" s="1"/>
  <c r="D806" i="13" s="1"/>
  <c r="D816" i="13" s="1"/>
  <c r="D826" i="13" s="1"/>
  <c r="D747" i="13"/>
  <c r="D757" i="13" s="1"/>
  <c r="D767" i="13" s="1"/>
  <c r="D777" i="13" s="1"/>
  <c r="D787" i="13" s="1"/>
  <c r="D797" i="13" s="1"/>
  <c r="D807" i="13" s="1"/>
  <c r="D817" i="13" s="1"/>
  <c r="D827" i="13" s="1"/>
  <c r="G503" i="13"/>
  <c r="H502" i="13"/>
  <c r="J502" i="13"/>
  <c r="E639" i="13"/>
  <c r="F638" i="13"/>
  <c r="E684" i="13"/>
  <c r="F683" i="13"/>
  <c r="G548" i="13"/>
  <c r="H547" i="13"/>
  <c r="J547" i="13"/>
  <c r="H403" i="13"/>
  <c r="J403" i="13"/>
  <c r="N403" i="13" s="1"/>
  <c r="B204" i="13"/>
  <c r="I205" i="13"/>
  <c r="K205" i="13" s="1"/>
  <c r="I474" i="13"/>
  <c r="K474" i="13" s="1"/>
  <c r="B473" i="13"/>
  <c r="E810" i="13"/>
  <c r="F809" i="13"/>
  <c r="G809" i="13"/>
  <c r="G530" i="13"/>
  <c r="H529" i="13"/>
  <c r="J529" i="13"/>
  <c r="F440" i="13"/>
  <c r="E441" i="13"/>
  <c r="H790" i="13"/>
  <c r="G791" i="13"/>
  <c r="J790" i="13"/>
  <c r="F602" i="13"/>
  <c r="E603" i="13"/>
  <c r="G251" i="13"/>
  <c r="H250" i="13"/>
  <c r="J250" i="13"/>
  <c r="E819" i="13"/>
  <c r="F818" i="13"/>
  <c r="J818" i="13"/>
  <c r="H421" i="13"/>
  <c r="G422" i="13"/>
  <c r="J421" i="13"/>
  <c r="H439" i="13"/>
  <c r="G440" i="13"/>
  <c r="J439" i="13"/>
  <c r="G665" i="13"/>
  <c r="H664" i="13"/>
  <c r="J664" i="13"/>
  <c r="G431" i="13"/>
  <c r="H430" i="13"/>
  <c r="J430" i="13"/>
  <c r="H511" i="13"/>
  <c r="G512" i="13"/>
  <c r="J511" i="13"/>
  <c r="G710" i="13"/>
  <c r="H709" i="13"/>
  <c r="J709" i="13"/>
  <c r="F773" i="13"/>
  <c r="E774" i="13"/>
  <c r="G584" i="13"/>
  <c r="H583" i="13"/>
  <c r="J583" i="13"/>
  <c r="G413" i="13"/>
  <c r="H412" i="13"/>
  <c r="J412" i="13"/>
  <c r="G611" i="13"/>
  <c r="H610" i="13"/>
  <c r="J610" i="13"/>
  <c r="H691" i="13"/>
  <c r="G692" i="13"/>
  <c r="J691" i="13"/>
  <c r="F701" i="13"/>
  <c r="E702" i="13"/>
  <c r="G782" i="13"/>
  <c r="H781" i="13"/>
  <c r="J781" i="13"/>
  <c r="J809" i="13"/>
  <c r="J718" i="13"/>
  <c r="E459" i="13"/>
  <c r="F458" i="13"/>
  <c r="F620" i="13"/>
  <c r="E621" i="13"/>
  <c r="E720" i="13"/>
  <c r="F719" i="13"/>
  <c r="F764" i="13"/>
  <c r="E765" i="13"/>
  <c r="E369" i="13"/>
  <c r="F368" i="13"/>
  <c r="B651" i="13"/>
  <c r="I652" i="13"/>
  <c r="K652" i="13" s="1"/>
  <c r="H349" i="13"/>
  <c r="G350" i="13"/>
  <c r="J349" i="13"/>
  <c r="F431" i="13"/>
  <c r="E432" i="13"/>
  <c r="H322" i="13"/>
  <c r="J322" i="13"/>
  <c r="N322" i="13" s="1"/>
  <c r="F539" i="13"/>
  <c r="E540" i="13"/>
  <c r="G747" i="13"/>
  <c r="H746" i="13"/>
  <c r="J746" i="13"/>
  <c r="H700" i="13"/>
  <c r="G701" i="13"/>
  <c r="J700" i="13"/>
  <c r="C747" i="13"/>
  <c r="C748" i="13" s="1"/>
  <c r="C749" i="13" s="1"/>
  <c r="C750" i="13" s="1"/>
  <c r="C751" i="13" s="1"/>
  <c r="C752" i="13" s="1"/>
  <c r="C753" i="13" s="1"/>
  <c r="C754" i="13" s="1"/>
  <c r="C755" i="13" s="1"/>
  <c r="C756" i="13" s="1"/>
  <c r="C757" i="13" s="1"/>
  <c r="C758" i="13" s="1"/>
  <c r="C759" i="13" s="1"/>
  <c r="C760" i="13" s="1"/>
  <c r="C761" i="13" s="1"/>
  <c r="C762" i="13" s="1"/>
  <c r="C763" i="13" s="1"/>
  <c r="C764" i="13" s="1"/>
  <c r="C765" i="13" s="1"/>
  <c r="C766" i="13" s="1"/>
  <c r="C767" i="13" s="1"/>
  <c r="C768" i="13" s="1"/>
  <c r="E747" i="13"/>
  <c r="F747" i="13" s="1"/>
  <c r="I125" i="13"/>
  <c r="K125" i="13" s="1"/>
  <c r="B124" i="13"/>
  <c r="H457" i="13"/>
  <c r="G458" i="13"/>
  <c r="J457" i="13"/>
  <c r="G656" i="13"/>
  <c r="H655" i="13"/>
  <c r="J655" i="13"/>
  <c r="E630" i="13"/>
  <c r="F629" i="13"/>
  <c r="I35" i="13"/>
  <c r="K35" i="13" s="1"/>
  <c r="B34" i="13"/>
  <c r="E279" i="13"/>
  <c r="F278" i="13"/>
  <c r="G755" i="13"/>
  <c r="H754" i="13"/>
  <c r="J754" i="13"/>
  <c r="H538" i="13"/>
  <c r="G539" i="13"/>
  <c r="J538" i="13"/>
  <c r="F269" i="13"/>
  <c r="E270" i="13"/>
  <c r="H574" i="13"/>
  <c r="G575" i="13"/>
  <c r="J574" i="13"/>
  <c r="E729" i="13"/>
  <c r="G728" i="13"/>
  <c r="J728" i="13" s="1"/>
  <c r="F728" i="13"/>
  <c r="E793" i="13" l="1"/>
  <c r="F792" i="13"/>
  <c r="F612" i="13"/>
  <c r="E613" i="13"/>
  <c r="F765" i="13"/>
  <c r="E766" i="13"/>
  <c r="G693" i="13"/>
  <c r="H692" i="13"/>
  <c r="J692" i="13"/>
  <c r="H413" i="13"/>
  <c r="J413" i="13"/>
  <c r="N413" i="13" s="1"/>
  <c r="H710" i="13"/>
  <c r="G711" i="13"/>
  <c r="J710" i="13"/>
  <c r="H494" i="13"/>
  <c r="J494" i="13"/>
  <c r="N494" i="13" s="1"/>
  <c r="H260" i="13"/>
  <c r="G261" i="13"/>
  <c r="J260" i="13"/>
  <c r="E712" i="13"/>
  <c r="F711" i="13"/>
  <c r="B741" i="13"/>
  <c r="I742" i="13"/>
  <c r="K742" i="13" s="1"/>
  <c r="F279" i="13"/>
  <c r="E280" i="13"/>
  <c r="H368" i="13"/>
  <c r="G369" i="13"/>
  <c r="J368" i="13"/>
  <c r="H539" i="13"/>
  <c r="G540" i="13"/>
  <c r="J539" i="13"/>
  <c r="E433" i="13"/>
  <c r="F433" i="13" s="1"/>
  <c r="F432" i="13"/>
  <c r="E460" i="13"/>
  <c r="F459" i="13"/>
  <c r="G423" i="13"/>
  <c r="H422" i="13"/>
  <c r="J422" i="13"/>
  <c r="E442" i="13"/>
  <c r="F441" i="13"/>
  <c r="E352" i="13"/>
  <c r="F352" i="13" s="1"/>
  <c r="F351" i="13"/>
  <c r="I476" i="13"/>
  <c r="K476" i="13" s="1"/>
  <c r="B474" i="13"/>
  <c r="G549" i="13"/>
  <c r="H548" i="13"/>
  <c r="J548" i="13"/>
  <c r="H503" i="13"/>
  <c r="G504" i="13"/>
  <c r="J503" i="13"/>
  <c r="G594" i="13"/>
  <c r="H593" i="13"/>
  <c r="J593" i="13"/>
  <c r="H602" i="13"/>
  <c r="G603" i="13"/>
  <c r="J602" i="13"/>
  <c r="H332" i="13"/>
  <c r="J332" i="13"/>
  <c r="N332" i="13" s="1"/>
  <c r="H773" i="13"/>
  <c r="G774" i="13"/>
  <c r="J773" i="13"/>
  <c r="E361" i="13"/>
  <c r="F360" i="13"/>
  <c r="G801" i="13"/>
  <c r="H800" i="13"/>
  <c r="J800" i="13"/>
  <c r="H251" i="13"/>
  <c r="J251" i="13"/>
  <c r="N251" i="13" s="1"/>
  <c r="B563" i="13"/>
  <c r="I564" i="13"/>
  <c r="K564" i="13" s="1"/>
  <c r="E631" i="13"/>
  <c r="F630" i="13"/>
  <c r="B125" i="13"/>
  <c r="I126" i="13"/>
  <c r="K126" i="13" s="1"/>
  <c r="H747" i="13"/>
  <c r="J747" i="13"/>
  <c r="N747" i="13" s="1"/>
  <c r="G351" i="13"/>
  <c r="H350" i="13"/>
  <c r="J350" i="13"/>
  <c r="H512" i="13"/>
  <c r="G513" i="13"/>
  <c r="J512" i="13"/>
  <c r="H665" i="13"/>
  <c r="G666" i="13"/>
  <c r="J665" i="13"/>
  <c r="I386" i="13"/>
  <c r="K386" i="13" s="1"/>
  <c r="B385" i="13"/>
  <c r="F675" i="13"/>
  <c r="E676" i="13"/>
  <c r="F676" i="13" s="1"/>
  <c r="E451" i="13"/>
  <c r="F450" i="13"/>
  <c r="F522" i="13"/>
  <c r="E523" i="13"/>
  <c r="H341" i="13"/>
  <c r="G342" i="13"/>
  <c r="J341" i="13"/>
  <c r="E640" i="13"/>
  <c r="F639" i="13"/>
  <c r="G630" i="13"/>
  <c r="H629" i="13"/>
  <c r="J629" i="13"/>
  <c r="G459" i="13"/>
  <c r="H458" i="13"/>
  <c r="J458" i="13"/>
  <c r="F603" i="13"/>
  <c r="E604" i="13"/>
  <c r="E811" i="13"/>
  <c r="F810" i="13"/>
  <c r="F783" i="13"/>
  <c r="E784" i="13"/>
  <c r="I36" i="13"/>
  <c r="K36" i="13" s="1"/>
  <c r="B35" i="13"/>
  <c r="E541" i="13"/>
  <c r="F540" i="13"/>
  <c r="G585" i="13"/>
  <c r="H584" i="13"/>
  <c r="J584" i="13"/>
  <c r="G819" i="13"/>
  <c r="J819" i="13" s="1"/>
  <c r="F819" i="13"/>
  <c r="E820" i="13"/>
  <c r="I206" i="13"/>
  <c r="K206" i="13" s="1"/>
  <c r="B205" i="13"/>
  <c r="F684" i="13"/>
  <c r="E685" i="13"/>
  <c r="G684" i="13"/>
  <c r="H683" i="13"/>
  <c r="J683" i="13"/>
  <c r="F549" i="13"/>
  <c r="E550" i="13"/>
  <c r="H521" i="13"/>
  <c r="G522" i="13"/>
  <c r="J521" i="13"/>
  <c r="G639" i="13"/>
  <c r="H638" i="13"/>
  <c r="J638" i="13"/>
  <c r="H728" i="13"/>
  <c r="G729" i="13"/>
  <c r="E730" i="13"/>
  <c r="F729" i="13"/>
  <c r="F720" i="13"/>
  <c r="E721" i="13"/>
  <c r="F270" i="13"/>
  <c r="E271" i="13"/>
  <c r="F271" i="13" s="1"/>
  <c r="G756" i="13"/>
  <c r="H755" i="13"/>
  <c r="J755" i="13"/>
  <c r="C769" i="13"/>
  <c r="C770" i="13" s="1"/>
  <c r="C771" i="13" s="1"/>
  <c r="C772" i="13" s="1"/>
  <c r="C773" i="13" s="1"/>
  <c r="C774" i="13" s="1"/>
  <c r="C775" i="13" s="1"/>
  <c r="C776" i="13" s="1"/>
  <c r="C777" i="13" s="1"/>
  <c r="C778" i="13"/>
  <c r="I653" i="13"/>
  <c r="K653" i="13" s="1"/>
  <c r="B652" i="13"/>
  <c r="F621" i="13"/>
  <c r="E622" i="13"/>
  <c r="G783" i="13"/>
  <c r="H782" i="13"/>
  <c r="J782" i="13"/>
  <c r="E775" i="13"/>
  <c r="F774" i="13"/>
  <c r="G441" i="13"/>
  <c r="H440" i="13"/>
  <c r="J440" i="13"/>
  <c r="H530" i="13"/>
  <c r="G531" i="13"/>
  <c r="J530" i="13"/>
  <c r="H764" i="13"/>
  <c r="G765" i="13"/>
  <c r="J764" i="13"/>
  <c r="E595" i="13"/>
  <c r="F595" i="13" s="1"/>
  <c r="F594" i="13"/>
  <c r="H719" i="13"/>
  <c r="G720" i="13"/>
  <c r="J719" i="13"/>
  <c r="H674" i="13"/>
  <c r="G675" i="13"/>
  <c r="J674" i="13"/>
  <c r="F693" i="13"/>
  <c r="E694" i="13"/>
  <c r="H278" i="13"/>
  <c r="G279" i="13"/>
  <c r="J278" i="13"/>
  <c r="G270" i="13"/>
  <c r="H269" i="13"/>
  <c r="J269" i="13"/>
  <c r="F513" i="13"/>
  <c r="E514" i="13"/>
  <c r="F514" i="13" s="1"/>
  <c r="K818" i="13"/>
  <c r="G702" i="13"/>
  <c r="H701" i="13"/>
  <c r="J701" i="13"/>
  <c r="G360" i="13"/>
  <c r="H359" i="13"/>
  <c r="J359" i="13"/>
  <c r="F369" i="13"/>
  <c r="E370" i="13"/>
  <c r="G432" i="13"/>
  <c r="H431" i="13"/>
  <c r="J431" i="13"/>
  <c r="E757" i="13"/>
  <c r="F757" i="13" s="1"/>
  <c r="F756" i="13"/>
  <c r="H575" i="13"/>
  <c r="J575" i="13"/>
  <c r="N575" i="13" s="1"/>
  <c r="H656" i="13"/>
  <c r="J656" i="13"/>
  <c r="N656" i="13" s="1"/>
  <c r="E703" i="13"/>
  <c r="F702" i="13"/>
  <c r="H611" i="13"/>
  <c r="G612" i="13"/>
  <c r="J611" i="13"/>
  <c r="H791" i="13"/>
  <c r="G792" i="13"/>
  <c r="J791" i="13"/>
  <c r="H809" i="13"/>
  <c r="G810" i="13"/>
  <c r="H620" i="13"/>
  <c r="G621" i="13"/>
  <c r="J620" i="13"/>
  <c r="H449" i="13"/>
  <c r="G450" i="13"/>
  <c r="J449" i="13"/>
  <c r="F531" i="13"/>
  <c r="E532" i="13"/>
  <c r="E802" i="13"/>
  <c r="F801" i="13"/>
  <c r="I296" i="13"/>
  <c r="K296" i="13" s="1"/>
  <c r="B295" i="13"/>
  <c r="B206" i="13" l="1"/>
  <c r="I207" i="13"/>
  <c r="K207" i="13" s="1"/>
  <c r="F451" i="13"/>
  <c r="E452" i="13"/>
  <c r="E695" i="13"/>
  <c r="F694" i="13"/>
  <c r="E533" i="13"/>
  <c r="F532" i="13"/>
  <c r="E623" i="13"/>
  <c r="F622" i="13"/>
  <c r="E821" i="13"/>
  <c r="F820" i="13"/>
  <c r="H504" i="13"/>
  <c r="J504" i="13"/>
  <c r="N504" i="13" s="1"/>
  <c r="H675" i="13"/>
  <c r="G676" i="13"/>
  <c r="J675" i="13"/>
  <c r="G766" i="13"/>
  <c r="H765" i="13"/>
  <c r="J765" i="13"/>
  <c r="H441" i="13"/>
  <c r="G442" i="13"/>
  <c r="J441" i="13"/>
  <c r="G802" i="13"/>
  <c r="H801" i="13"/>
  <c r="J801" i="13"/>
  <c r="H369" i="13"/>
  <c r="G370" i="13"/>
  <c r="J369" i="13"/>
  <c r="F613" i="13"/>
  <c r="E614" i="13"/>
  <c r="E812" i="13"/>
  <c r="F811" i="13"/>
  <c r="B476" i="13"/>
  <c r="I477" i="13"/>
  <c r="K477" i="13" s="1"/>
  <c r="H621" i="13"/>
  <c r="G622" i="13"/>
  <c r="J621" i="13"/>
  <c r="E605" i="13"/>
  <c r="F605" i="13" s="1"/>
  <c r="F604" i="13"/>
  <c r="H711" i="13"/>
  <c r="G712" i="13"/>
  <c r="J711" i="13"/>
  <c r="F640" i="13"/>
  <c r="E641" i="13"/>
  <c r="G811" i="13"/>
  <c r="H810" i="13"/>
  <c r="J810" i="13"/>
  <c r="H360" i="13"/>
  <c r="G361" i="13"/>
  <c r="J360" i="13"/>
  <c r="F703" i="13"/>
  <c r="E704" i="13"/>
  <c r="H270" i="13"/>
  <c r="G271" i="13"/>
  <c r="J270" i="13"/>
  <c r="B653" i="13"/>
  <c r="I654" i="13"/>
  <c r="K654" i="13" s="1"/>
  <c r="F721" i="13"/>
  <c r="E722" i="13"/>
  <c r="H819" i="13"/>
  <c r="G820" i="13"/>
  <c r="I37" i="13"/>
  <c r="K37" i="13" s="1"/>
  <c r="B36" i="13"/>
  <c r="H342" i="13"/>
  <c r="J342" i="13"/>
  <c r="N342" i="13" s="1"/>
  <c r="E632" i="13"/>
  <c r="F631" i="13"/>
  <c r="H603" i="13"/>
  <c r="G604" i="13"/>
  <c r="J603" i="13"/>
  <c r="F460" i="13"/>
  <c r="E461" i="13"/>
  <c r="H261" i="13"/>
  <c r="J261" i="13"/>
  <c r="N261" i="13" s="1"/>
  <c r="H630" i="13"/>
  <c r="G631" i="13"/>
  <c r="J630" i="13"/>
  <c r="G514" i="13"/>
  <c r="H513" i="13"/>
  <c r="J513" i="13"/>
  <c r="E713" i="13"/>
  <c r="F712" i="13"/>
  <c r="F775" i="13"/>
  <c r="E776" i="13"/>
  <c r="C779" i="13"/>
  <c r="C780" i="13" s="1"/>
  <c r="C781" i="13" s="1"/>
  <c r="C782" i="13" s="1"/>
  <c r="C783" i="13" s="1"/>
  <c r="C784" i="13" s="1"/>
  <c r="C785" i="13" s="1"/>
  <c r="C786" i="13" s="1"/>
  <c r="C787" i="13" s="1"/>
  <c r="C788" i="13"/>
  <c r="H639" i="13"/>
  <c r="G640" i="13"/>
  <c r="J639" i="13"/>
  <c r="H684" i="13"/>
  <c r="G685" i="13"/>
  <c r="J684" i="13"/>
  <c r="E785" i="13"/>
  <c r="F784" i="13"/>
  <c r="H459" i="13"/>
  <c r="G460" i="13"/>
  <c r="J459" i="13"/>
  <c r="I387" i="13"/>
  <c r="K387" i="13" s="1"/>
  <c r="B386" i="13"/>
  <c r="B564" i="13"/>
  <c r="I565" i="13"/>
  <c r="K565" i="13" s="1"/>
  <c r="F361" i="13"/>
  <c r="E362" i="13"/>
  <c r="F362" i="13" s="1"/>
  <c r="E281" i="13"/>
  <c r="F281" i="13" s="1"/>
  <c r="F280" i="13"/>
  <c r="H783" i="13"/>
  <c r="G784" i="13"/>
  <c r="J783" i="13"/>
  <c r="H612" i="13"/>
  <c r="G613" i="13"/>
  <c r="J612" i="13"/>
  <c r="F550" i="13"/>
  <c r="E551" i="13"/>
  <c r="E767" i="13"/>
  <c r="F767" i="13" s="1"/>
  <c r="F766" i="13"/>
  <c r="E542" i="13"/>
  <c r="F541" i="13"/>
  <c r="G703" i="13"/>
  <c r="H702" i="13"/>
  <c r="J702" i="13"/>
  <c r="H279" i="13"/>
  <c r="G280" i="13"/>
  <c r="J279" i="13"/>
  <c r="H720" i="13"/>
  <c r="G721" i="13"/>
  <c r="J720" i="13"/>
  <c r="H531" i="13"/>
  <c r="G532" i="13"/>
  <c r="J531" i="13"/>
  <c r="E686" i="13"/>
  <c r="F686" i="13" s="1"/>
  <c r="F685" i="13"/>
  <c r="E524" i="13"/>
  <c r="F524" i="13" s="1"/>
  <c r="F523" i="13"/>
  <c r="G352" i="13"/>
  <c r="H351" i="13"/>
  <c r="J351" i="13"/>
  <c r="H549" i="13"/>
  <c r="G550" i="13"/>
  <c r="J549" i="13"/>
  <c r="E794" i="13"/>
  <c r="F793" i="13"/>
  <c r="F802" i="13"/>
  <c r="E803" i="13"/>
  <c r="H729" i="13"/>
  <c r="G730" i="13"/>
  <c r="J729" i="13"/>
  <c r="G595" i="13"/>
  <c r="H594" i="13"/>
  <c r="J594" i="13"/>
  <c r="G541" i="13"/>
  <c r="H540" i="13"/>
  <c r="J540" i="13"/>
  <c r="H756" i="13"/>
  <c r="G757" i="13"/>
  <c r="J756" i="13"/>
  <c r="I127" i="13"/>
  <c r="K127" i="13" s="1"/>
  <c r="B126" i="13"/>
  <c r="H423" i="13"/>
  <c r="J423" i="13"/>
  <c r="N423" i="13" s="1"/>
  <c r="I297" i="13"/>
  <c r="K297" i="13" s="1"/>
  <c r="B296" i="13"/>
  <c r="G451" i="13"/>
  <c r="H450" i="13"/>
  <c r="J450" i="13"/>
  <c r="H792" i="13"/>
  <c r="G793" i="13"/>
  <c r="J792" i="13"/>
  <c r="H432" i="13"/>
  <c r="G433" i="13"/>
  <c r="J432" i="13"/>
  <c r="F370" i="13"/>
  <c r="E371" i="13"/>
  <c r="E731" i="13"/>
  <c r="F730" i="13"/>
  <c r="H522" i="13"/>
  <c r="G523" i="13"/>
  <c r="J522" i="13"/>
  <c r="H585" i="13"/>
  <c r="J585" i="13"/>
  <c r="N585" i="13" s="1"/>
  <c r="H666" i="13"/>
  <c r="J666" i="13"/>
  <c r="N666" i="13" s="1"/>
  <c r="H774" i="13"/>
  <c r="G775" i="13"/>
  <c r="J774" i="13"/>
  <c r="E443" i="13"/>
  <c r="F443" i="13" s="1"/>
  <c r="F442" i="13"/>
  <c r="B742" i="13"/>
  <c r="I743" i="13"/>
  <c r="K743" i="13" s="1"/>
  <c r="H693" i="13"/>
  <c r="G694" i="13"/>
  <c r="J693" i="13"/>
  <c r="G722" i="13" l="1"/>
  <c r="H721" i="13"/>
  <c r="J721" i="13"/>
  <c r="E732" i="13"/>
  <c r="F731" i="13"/>
  <c r="H703" i="13"/>
  <c r="G704" i="13"/>
  <c r="J703" i="13"/>
  <c r="E462" i="13"/>
  <c r="F461" i="13"/>
  <c r="G767" i="13"/>
  <c r="H766" i="13"/>
  <c r="J766" i="13"/>
  <c r="F812" i="13"/>
  <c r="E813" i="13"/>
  <c r="H595" i="13"/>
  <c r="J595" i="13"/>
  <c r="N595" i="13" s="1"/>
  <c r="B565" i="13"/>
  <c r="I567" i="13"/>
  <c r="K567" i="13" s="1"/>
  <c r="E786" i="13"/>
  <c r="F785" i="13"/>
  <c r="I38" i="13"/>
  <c r="K38" i="13" s="1"/>
  <c r="B37" i="13"/>
  <c r="H271" i="13"/>
  <c r="J271" i="13"/>
  <c r="N271" i="13" s="1"/>
  <c r="E615" i="13"/>
  <c r="F615" i="13" s="1"/>
  <c r="F614" i="13"/>
  <c r="H676" i="13"/>
  <c r="J676" i="13"/>
  <c r="N676" i="13" s="1"/>
  <c r="E624" i="13"/>
  <c r="F623" i="13"/>
  <c r="F794" i="13"/>
  <c r="E795" i="13"/>
  <c r="H757" i="13"/>
  <c r="J757" i="13"/>
  <c r="N757" i="13" s="1"/>
  <c r="H550" i="13"/>
  <c r="G551" i="13"/>
  <c r="J550" i="13"/>
  <c r="E543" i="13"/>
  <c r="F542" i="13"/>
  <c r="E777" i="13"/>
  <c r="F777" i="13" s="1"/>
  <c r="F776" i="13"/>
  <c r="H604" i="13"/>
  <c r="G605" i="13"/>
  <c r="J604" i="13"/>
  <c r="H820" i="13"/>
  <c r="G821" i="13"/>
  <c r="J820" i="13"/>
  <c r="H811" i="13"/>
  <c r="G812" i="13"/>
  <c r="J811" i="13"/>
  <c r="G614" i="13"/>
  <c r="H613" i="13"/>
  <c r="J613" i="13"/>
  <c r="C789" i="13"/>
  <c r="C790" i="13" s="1"/>
  <c r="C791" i="13" s="1"/>
  <c r="C792" i="13" s="1"/>
  <c r="C793" i="13" s="1"/>
  <c r="C794" i="13" s="1"/>
  <c r="C795" i="13" s="1"/>
  <c r="C796" i="13" s="1"/>
  <c r="C797" i="13" s="1"/>
  <c r="C798" i="13"/>
  <c r="C799" i="13" s="1"/>
  <c r="G776" i="13"/>
  <c r="H775" i="13"/>
  <c r="J775" i="13"/>
  <c r="H433" i="13"/>
  <c r="J433" i="13"/>
  <c r="N433" i="13" s="1"/>
  <c r="H730" i="13"/>
  <c r="G731" i="13"/>
  <c r="J730" i="13"/>
  <c r="G281" i="13"/>
  <c r="H280" i="13"/>
  <c r="J280" i="13"/>
  <c r="G785" i="13"/>
  <c r="H784" i="13"/>
  <c r="J784" i="13"/>
  <c r="G686" i="13"/>
  <c r="H685" i="13"/>
  <c r="J685" i="13"/>
  <c r="G632" i="13"/>
  <c r="H631" i="13"/>
  <c r="J631" i="13"/>
  <c r="E705" i="13"/>
  <c r="F704" i="13"/>
  <c r="F641" i="13"/>
  <c r="E642" i="13"/>
  <c r="H622" i="13"/>
  <c r="G623" i="13"/>
  <c r="J622" i="13"/>
  <c r="G443" i="13"/>
  <c r="H442" i="13"/>
  <c r="J442" i="13"/>
  <c r="E534" i="13"/>
  <c r="F534" i="13" s="1"/>
  <c r="F533" i="13"/>
  <c r="E372" i="13"/>
  <c r="F372" i="13" s="1"/>
  <c r="F371" i="13"/>
  <c r="B207" i="13"/>
  <c r="I208" i="13"/>
  <c r="K208" i="13" s="1"/>
  <c r="H694" i="13"/>
  <c r="G695" i="13"/>
  <c r="J694" i="13"/>
  <c r="H523" i="13"/>
  <c r="G524" i="13"/>
  <c r="J523" i="13"/>
  <c r="I298" i="13"/>
  <c r="K298" i="13" s="1"/>
  <c r="B297" i="13"/>
  <c r="B387" i="13"/>
  <c r="I388" i="13"/>
  <c r="K388" i="13" s="1"/>
  <c r="E723" i="13"/>
  <c r="F722" i="13"/>
  <c r="G371" i="13"/>
  <c r="H370" i="13"/>
  <c r="J370" i="13"/>
  <c r="B127" i="13"/>
  <c r="I128" i="13"/>
  <c r="K128" i="13" s="1"/>
  <c r="H514" i="13"/>
  <c r="J514" i="13"/>
  <c r="N514" i="13" s="1"/>
  <c r="G803" i="13"/>
  <c r="H802" i="13"/>
  <c r="J802" i="13"/>
  <c r="G452" i="13"/>
  <c r="H451" i="13"/>
  <c r="J451" i="13"/>
  <c r="G533" i="13"/>
  <c r="H532" i="13"/>
  <c r="J532" i="13"/>
  <c r="E552" i="13"/>
  <c r="F551" i="13"/>
  <c r="F713" i="13"/>
  <c r="E714" i="13"/>
  <c r="F632" i="13"/>
  <c r="E633" i="13"/>
  <c r="B477" i="13"/>
  <c r="I478" i="13"/>
  <c r="K478" i="13" s="1"/>
  <c r="F695" i="13"/>
  <c r="E696" i="13"/>
  <c r="F696" i="13" s="1"/>
  <c r="E804" i="13"/>
  <c r="F803" i="13"/>
  <c r="I744" i="13"/>
  <c r="K744" i="13" s="1"/>
  <c r="B743" i="13"/>
  <c r="H793" i="13"/>
  <c r="G794" i="13"/>
  <c r="J793" i="13"/>
  <c r="H541" i="13"/>
  <c r="G542" i="13"/>
  <c r="J541" i="13"/>
  <c r="H352" i="13"/>
  <c r="J352" i="13"/>
  <c r="N352" i="13" s="1"/>
  <c r="G461" i="13"/>
  <c r="H460" i="13"/>
  <c r="J460" i="13"/>
  <c r="G641" i="13"/>
  <c r="H640" i="13"/>
  <c r="J640" i="13"/>
  <c r="I655" i="13"/>
  <c r="K655" i="13" s="1"/>
  <c r="B654" i="13"/>
  <c r="G362" i="13"/>
  <c r="H361" i="13"/>
  <c r="J361" i="13"/>
  <c r="H712" i="13"/>
  <c r="G713" i="13"/>
  <c r="J712" i="13"/>
  <c r="F821" i="13"/>
  <c r="E822" i="13"/>
  <c r="F452" i="13"/>
  <c r="E453" i="13"/>
  <c r="F453" i="13" s="1"/>
  <c r="H713" i="13" l="1"/>
  <c r="G714" i="13"/>
  <c r="J713" i="13"/>
  <c r="F804" i="13"/>
  <c r="E805" i="13"/>
  <c r="I129" i="13"/>
  <c r="K129" i="13" s="1"/>
  <c r="B128" i="13"/>
  <c r="G822" i="13"/>
  <c r="H821" i="13"/>
  <c r="J821" i="13"/>
  <c r="F462" i="13"/>
  <c r="E463" i="13"/>
  <c r="F463" i="13" s="1"/>
  <c r="C809" i="13"/>
  <c r="C819" i="13" s="1"/>
  <c r="C800" i="13"/>
  <c r="E796" i="13"/>
  <c r="F795" i="13"/>
  <c r="F714" i="13"/>
  <c r="E715" i="13"/>
  <c r="G642" i="13"/>
  <c r="H641" i="13"/>
  <c r="J641" i="13"/>
  <c r="B208" i="13"/>
  <c r="I209" i="13"/>
  <c r="K209" i="13" s="1"/>
  <c r="E706" i="13"/>
  <c r="F706" i="13" s="1"/>
  <c r="F705" i="13"/>
  <c r="F543" i="13"/>
  <c r="E544" i="13"/>
  <c r="F544" i="13" s="1"/>
  <c r="G723" i="13"/>
  <c r="H722" i="13"/>
  <c r="J722" i="13"/>
  <c r="H533" i="13"/>
  <c r="G534" i="13"/>
  <c r="J533" i="13"/>
  <c r="G453" i="13"/>
  <c r="H452" i="13"/>
  <c r="J452" i="13"/>
  <c r="B298" i="13"/>
  <c r="I299" i="13"/>
  <c r="K299" i="13" s="1"/>
  <c r="H443" i="13"/>
  <c r="J443" i="13"/>
  <c r="N443" i="13" s="1"/>
  <c r="G786" i="13"/>
  <c r="H785" i="13"/>
  <c r="J785" i="13"/>
  <c r="E625" i="13"/>
  <c r="F625" i="13" s="1"/>
  <c r="F624" i="13"/>
  <c r="B38" i="13"/>
  <c r="I39" i="13"/>
  <c r="K39" i="13" s="1"/>
  <c r="E814" i="13"/>
  <c r="F813" i="13"/>
  <c r="G705" i="13"/>
  <c r="H704" i="13"/>
  <c r="J704" i="13"/>
  <c r="H695" i="13"/>
  <c r="G696" i="13"/>
  <c r="J695" i="13"/>
  <c r="H542" i="13"/>
  <c r="G543" i="13"/>
  <c r="J542" i="13"/>
  <c r="G795" i="13"/>
  <c r="H794" i="13"/>
  <c r="J794" i="13"/>
  <c r="E553" i="13"/>
  <c r="F552" i="13"/>
  <c r="G615" i="13"/>
  <c r="H614" i="13"/>
  <c r="J614" i="13"/>
  <c r="H605" i="13"/>
  <c r="J605" i="13"/>
  <c r="N605" i="13" s="1"/>
  <c r="H551" i="13"/>
  <c r="G552" i="13"/>
  <c r="J551" i="13"/>
  <c r="B388" i="13"/>
  <c r="I389" i="13"/>
  <c r="K389" i="13" s="1"/>
  <c r="H686" i="13"/>
  <c r="J686" i="13"/>
  <c r="N686" i="13" s="1"/>
  <c r="H362" i="13"/>
  <c r="J362" i="13"/>
  <c r="N362" i="13" s="1"/>
  <c r="G462" i="13"/>
  <c r="H461" i="13"/>
  <c r="J461" i="13"/>
  <c r="B478" i="13"/>
  <c r="I479" i="13"/>
  <c r="K479" i="13" s="1"/>
  <c r="H371" i="13"/>
  <c r="G372" i="13"/>
  <c r="J371" i="13"/>
  <c r="H524" i="13"/>
  <c r="J524" i="13"/>
  <c r="N524" i="13" s="1"/>
  <c r="G624" i="13"/>
  <c r="H623" i="13"/>
  <c r="J623" i="13"/>
  <c r="G633" i="13"/>
  <c r="H632" i="13"/>
  <c r="J632" i="13"/>
  <c r="E787" i="13"/>
  <c r="F787" i="13" s="1"/>
  <c r="F786" i="13"/>
  <c r="F822" i="13"/>
  <c r="E823" i="13"/>
  <c r="G804" i="13"/>
  <c r="H803" i="13"/>
  <c r="J803" i="13"/>
  <c r="H281" i="13"/>
  <c r="J281" i="13"/>
  <c r="N281" i="13" s="1"/>
  <c r="N282" i="13" s="1"/>
  <c r="O282" i="13" s="1"/>
  <c r="G777" i="13"/>
  <c r="H776" i="13"/>
  <c r="J776" i="13"/>
  <c r="G813" i="13"/>
  <c r="H812" i="13"/>
  <c r="J812" i="13"/>
  <c r="B567" i="13"/>
  <c r="I568" i="13"/>
  <c r="K568" i="13" s="1"/>
  <c r="G732" i="13"/>
  <c r="H731" i="13"/>
  <c r="J731" i="13"/>
  <c r="B655" i="13"/>
  <c r="I656" i="13"/>
  <c r="K656" i="13" s="1"/>
  <c r="B744" i="13"/>
  <c r="I745" i="13"/>
  <c r="K745" i="13" s="1"/>
  <c r="F633" i="13"/>
  <c r="E634" i="13"/>
  <c r="F723" i="13"/>
  <c r="E724" i="13"/>
  <c r="E643" i="13"/>
  <c r="F642" i="13"/>
  <c r="H767" i="13"/>
  <c r="J767" i="13"/>
  <c r="N767" i="13" s="1"/>
  <c r="F732" i="13"/>
  <c r="E733" i="13"/>
  <c r="I746" i="13" l="1"/>
  <c r="K746" i="13" s="1"/>
  <c r="B745" i="13"/>
  <c r="H534" i="13"/>
  <c r="J534" i="13"/>
  <c r="N534" i="13" s="1"/>
  <c r="I658" i="13"/>
  <c r="K658" i="13" s="1"/>
  <c r="B656" i="13"/>
  <c r="H372" i="13"/>
  <c r="J372" i="13"/>
  <c r="N372" i="13" s="1"/>
  <c r="N373" i="13" s="1"/>
  <c r="O373" i="13" s="1"/>
  <c r="F553" i="13"/>
  <c r="E554" i="13"/>
  <c r="F554" i="13" s="1"/>
  <c r="H696" i="13"/>
  <c r="J696" i="13"/>
  <c r="N696" i="13" s="1"/>
  <c r="I300" i="13"/>
  <c r="K300" i="13" s="1"/>
  <c r="B299" i="13"/>
  <c r="B209" i="13"/>
  <c r="I210" i="13"/>
  <c r="K210" i="13" s="1"/>
  <c r="F796" i="13"/>
  <c r="E797" i="13"/>
  <c r="F797" i="13" s="1"/>
  <c r="C810" i="13"/>
  <c r="C820" i="13" s="1"/>
  <c r="C801" i="13"/>
  <c r="B129" i="13"/>
  <c r="I130" i="13"/>
  <c r="K130" i="13" s="1"/>
  <c r="H462" i="13"/>
  <c r="G463" i="13"/>
  <c r="J462" i="13"/>
  <c r="E815" i="13"/>
  <c r="F814" i="13"/>
  <c r="G553" i="13"/>
  <c r="H552" i="13"/>
  <c r="J552" i="13"/>
  <c r="H813" i="13"/>
  <c r="G814" i="13"/>
  <c r="J813" i="13"/>
  <c r="G805" i="13"/>
  <c r="H804" i="13"/>
  <c r="J804" i="13"/>
  <c r="B479" i="13"/>
  <c r="I480" i="13"/>
  <c r="K480" i="13" s="1"/>
  <c r="E806" i="13"/>
  <c r="F805" i="13"/>
  <c r="B389" i="13"/>
  <c r="I390" i="13"/>
  <c r="K390" i="13" s="1"/>
  <c r="G796" i="13"/>
  <c r="H795" i="13"/>
  <c r="J795" i="13"/>
  <c r="H723" i="13"/>
  <c r="G724" i="13"/>
  <c r="J723" i="13"/>
  <c r="F724" i="13"/>
  <c r="E725" i="13"/>
  <c r="E824" i="13"/>
  <c r="F823" i="13"/>
  <c r="E635" i="13"/>
  <c r="F635" i="13" s="1"/>
  <c r="F634" i="13"/>
  <c r="H624" i="13"/>
  <c r="G625" i="13"/>
  <c r="J624" i="13"/>
  <c r="H705" i="13"/>
  <c r="G706" i="13"/>
  <c r="J705" i="13"/>
  <c r="H453" i="13"/>
  <c r="J453" i="13"/>
  <c r="N453" i="13" s="1"/>
  <c r="G643" i="13"/>
  <c r="H642" i="13"/>
  <c r="J642" i="13"/>
  <c r="B39" i="13"/>
  <c r="I41" i="13"/>
  <c r="K41" i="13" s="1"/>
  <c r="G823" i="13"/>
  <c r="H822" i="13"/>
  <c r="J822" i="13"/>
  <c r="F643" i="13"/>
  <c r="E644" i="13"/>
  <c r="G634" i="13"/>
  <c r="H633" i="13"/>
  <c r="J633" i="13"/>
  <c r="E734" i="13"/>
  <c r="F733" i="13"/>
  <c r="H732" i="13"/>
  <c r="G733" i="13"/>
  <c r="J732" i="13"/>
  <c r="B568" i="13"/>
  <c r="I569" i="13"/>
  <c r="K569" i="13" s="1"/>
  <c r="H777" i="13"/>
  <c r="J777" i="13"/>
  <c r="N777" i="13" s="1"/>
  <c r="H615" i="13"/>
  <c r="J615" i="13"/>
  <c r="N615" i="13" s="1"/>
  <c r="G544" i="13"/>
  <c r="H543" i="13"/>
  <c r="J543" i="13"/>
  <c r="H786" i="13"/>
  <c r="G787" i="13"/>
  <c r="J786" i="13"/>
  <c r="F715" i="13"/>
  <c r="E716" i="13"/>
  <c r="F716" i="13" s="1"/>
  <c r="H714" i="13"/>
  <c r="G715" i="13"/>
  <c r="J714" i="13"/>
  <c r="H463" i="13" l="1"/>
  <c r="J463" i="13"/>
  <c r="N463" i="13" s="1"/>
  <c r="N464" i="13" s="1"/>
  <c r="O464" i="13" s="1"/>
  <c r="H544" i="13"/>
  <c r="J544" i="13"/>
  <c r="N544" i="13" s="1"/>
  <c r="G734" i="13"/>
  <c r="H733" i="13"/>
  <c r="J733" i="13"/>
  <c r="H643" i="13"/>
  <c r="G644" i="13"/>
  <c r="J643" i="13"/>
  <c r="H724" i="13"/>
  <c r="G725" i="13"/>
  <c r="J724" i="13"/>
  <c r="F806" i="13"/>
  <c r="E807" i="13"/>
  <c r="F807" i="13" s="1"/>
  <c r="I481" i="13"/>
  <c r="K481" i="13" s="1"/>
  <c r="B480" i="13"/>
  <c r="B130" i="13"/>
  <c r="I132" i="13"/>
  <c r="K132" i="13" s="1"/>
  <c r="G815" i="13"/>
  <c r="H814" i="13"/>
  <c r="J814" i="13"/>
  <c r="B300" i="13"/>
  <c r="I301" i="13"/>
  <c r="K301" i="13" s="1"/>
  <c r="G635" i="13"/>
  <c r="H634" i="13"/>
  <c r="J634" i="13"/>
  <c r="F644" i="13"/>
  <c r="E645" i="13"/>
  <c r="F645" i="13" s="1"/>
  <c r="H625" i="13"/>
  <c r="J625" i="13"/>
  <c r="N625" i="13" s="1"/>
  <c r="I211" i="13"/>
  <c r="K211" i="13" s="1"/>
  <c r="B210" i="13"/>
  <c r="G554" i="13"/>
  <c r="H553" i="13"/>
  <c r="J553" i="13"/>
  <c r="C802" i="13"/>
  <c r="C811" i="13"/>
  <c r="C821" i="13" s="1"/>
  <c r="B658" i="13"/>
  <c r="I659" i="13"/>
  <c r="K659" i="13" s="1"/>
  <c r="H823" i="13"/>
  <c r="G824" i="13"/>
  <c r="J823" i="13"/>
  <c r="B41" i="13"/>
  <c r="I42" i="13"/>
  <c r="K42" i="13" s="1"/>
  <c r="H706" i="13"/>
  <c r="J706" i="13"/>
  <c r="N706" i="13" s="1"/>
  <c r="E825" i="13"/>
  <c r="F824" i="13"/>
  <c r="H796" i="13"/>
  <c r="G797" i="13"/>
  <c r="J796" i="13"/>
  <c r="G716" i="13"/>
  <c r="H715" i="13"/>
  <c r="J715" i="13"/>
  <c r="I747" i="13"/>
  <c r="K747" i="13" s="1"/>
  <c r="B746" i="13"/>
  <c r="F734" i="13"/>
  <c r="E735" i="13"/>
  <c r="H787" i="13"/>
  <c r="J787" i="13"/>
  <c r="N787" i="13" s="1"/>
  <c r="I570" i="13"/>
  <c r="K570" i="13" s="1"/>
  <c r="B569" i="13"/>
  <c r="F725" i="13"/>
  <c r="E726" i="13"/>
  <c r="F726" i="13" s="1"/>
  <c r="B390" i="13"/>
  <c r="I391" i="13"/>
  <c r="K391" i="13" s="1"/>
  <c r="H805" i="13"/>
  <c r="G806" i="13"/>
  <c r="J805" i="13"/>
  <c r="F815" i="13"/>
  <c r="E816" i="13"/>
  <c r="G825" i="13" l="1"/>
  <c r="H824" i="13"/>
  <c r="J824" i="13"/>
  <c r="B132" i="13"/>
  <c r="I133" i="13"/>
  <c r="K133" i="13" s="1"/>
  <c r="E817" i="13"/>
  <c r="F817" i="13" s="1"/>
  <c r="F816" i="13"/>
  <c r="B747" i="13"/>
  <c r="I749" i="13"/>
  <c r="K749" i="13" s="1"/>
  <c r="E826" i="13"/>
  <c r="F825" i="13"/>
  <c r="H635" i="13"/>
  <c r="J635" i="13"/>
  <c r="N635" i="13" s="1"/>
  <c r="G645" i="13"/>
  <c r="H644" i="13"/>
  <c r="J644" i="13"/>
  <c r="B659" i="13"/>
  <c r="I660" i="13"/>
  <c r="K660" i="13" s="1"/>
  <c r="I213" i="13"/>
  <c r="K213" i="13" s="1"/>
  <c r="B211" i="13"/>
  <c r="I302" i="13"/>
  <c r="K302" i="13" s="1"/>
  <c r="B301" i="13"/>
  <c r="B481" i="13"/>
  <c r="I482" i="13"/>
  <c r="K482" i="13" s="1"/>
  <c r="H554" i="13"/>
  <c r="J554" i="13"/>
  <c r="N554" i="13" s="1"/>
  <c r="N555" i="13" s="1"/>
  <c r="O555" i="13" s="1"/>
  <c r="I571" i="13"/>
  <c r="K571" i="13" s="1"/>
  <c r="B570" i="13"/>
  <c r="H716" i="13"/>
  <c r="J716" i="13"/>
  <c r="N716" i="13" s="1"/>
  <c r="I43" i="13"/>
  <c r="K43" i="13" s="1"/>
  <c r="B42" i="13"/>
  <c r="C812" i="13"/>
  <c r="C822" i="13" s="1"/>
  <c r="C803" i="13"/>
  <c r="G735" i="13"/>
  <c r="H734" i="13"/>
  <c r="J734" i="13"/>
  <c r="H806" i="13"/>
  <c r="G807" i="13"/>
  <c r="J806" i="13"/>
  <c r="B391" i="13"/>
  <c r="I392" i="13"/>
  <c r="K392" i="13" s="1"/>
  <c r="F735" i="13"/>
  <c r="E736" i="13"/>
  <c r="F736" i="13" s="1"/>
  <c r="H797" i="13"/>
  <c r="J797" i="13"/>
  <c r="N797" i="13" s="1"/>
  <c r="H815" i="13"/>
  <c r="G816" i="13"/>
  <c r="J815" i="13"/>
  <c r="H725" i="13"/>
  <c r="G726" i="13"/>
  <c r="J725" i="13"/>
  <c r="B213" i="13" l="1"/>
  <c r="I214" i="13"/>
  <c r="K214" i="13" s="1"/>
  <c r="H726" i="13"/>
  <c r="J726" i="13"/>
  <c r="N726" i="13" s="1"/>
  <c r="I661" i="13"/>
  <c r="K661" i="13" s="1"/>
  <c r="B660" i="13"/>
  <c r="E827" i="13"/>
  <c r="F827" i="13" s="1"/>
  <c r="F826" i="13"/>
  <c r="I393" i="13"/>
  <c r="K393" i="13" s="1"/>
  <c r="B392" i="13"/>
  <c r="B749" i="13"/>
  <c r="I750" i="13"/>
  <c r="K750" i="13" s="1"/>
  <c r="H825" i="13"/>
  <c r="G826" i="13"/>
  <c r="J825" i="13"/>
  <c r="I483" i="13"/>
  <c r="K483" i="13" s="1"/>
  <c r="B482" i="13"/>
  <c r="H807" i="13"/>
  <c r="J807" i="13"/>
  <c r="N807" i="13" s="1"/>
  <c r="B43" i="13"/>
  <c r="I44" i="13"/>
  <c r="K44" i="13" s="1"/>
  <c r="G736" i="13"/>
  <c r="H735" i="13"/>
  <c r="J735" i="13"/>
  <c r="C813" i="13"/>
  <c r="C823" i="13" s="1"/>
  <c r="C804" i="13"/>
  <c r="H816" i="13"/>
  <c r="G817" i="13"/>
  <c r="J816" i="13"/>
  <c r="H645" i="13"/>
  <c r="J645" i="13"/>
  <c r="N645" i="13" s="1"/>
  <c r="N646" i="13" s="1"/>
  <c r="O646" i="13" s="1"/>
  <c r="I572" i="13"/>
  <c r="K572" i="13" s="1"/>
  <c r="B571" i="13"/>
  <c r="B302" i="13"/>
  <c r="I304" i="13"/>
  <c r="K304" i="13" s="1"/>
  <c r="B133" i="13"/>
  <c r="I134" i="13"/>
  <c r="K134" i="13" s="1"/>
  <c r="I662" i="13" l="1"/>
  <c r="K662" i="13" s="1"/>
  <c r="B661" i="13"/>
  <c r="C805" i="13"/>
  <c r="C814" i="13"/>
  <c r="C824" i="13" s="1"/>
  <c r="B214" i="13"/>
  <c r="I215" i="13"/>
  <c r="K215" i="13" s="1"/>
  <c r="H817" i="13"/>
  <c r="J817" i="13"/>
  <c r="N817" i="13" s="1"/>
  <c r="B393" i="13"/>
  <c r="I395" i="13"/>
  <c r="K395" i="13" s="1"/>
  <c r="I135" i="13"/>
  <c r="K135" i="13" s="1"/>
  <c r="B134" i="13"/>
  <c r="I751" i="13"/>
  <c r="K751" i="13" s="1"/>
  <c r="B750" i="13"/>
  <c r="B572" i="13"/>
  <c r="I573" i="13"/>
  <c r="K573" i="13" s="1"/>
  <c r="B483" i="13"/>
  <c r="I484" i="13"/>
  <c r="K484" i="13" s="1"/>
  <c r="I45" i="13"/>
  <c r="K45" i="13" s="1"/>
  <c r="B44" i="13"/>
  <c r="B304" i="13"/>
  <c r="I305" i="13"/>
  <c r="K305" i="13" s="1"/>
  <c r="H736" i="13"/>
  <c r="J736" i="13"/>
  <c r="N736" i="13" s="1"/>
  <c r="N737" i="13" s="1"/>
  <c r="O737" i="13" s="1"/>
  <c r="H826" i="13"/>
  <c r="G827" i="13"/>
  <c r="J826" i="13"/>
  <c r="B305" i="13" l="1"/>
  <c r="I306" i="13"/>
  <c r="K306" i="13" s="1"/>
  <c r="B751" i="13"/>
  <c r="I752" i="13"/>
  <c r="K752" i="13" s="1"/>
  <c r="I136" i="13"/>
  <c r="K136" i="13" s="1"/>
  <c r="B135" i="13"/>
  <c r="C815" i="13"/>
  <c r="C825" i="13" s="1"/>
  <c r="C806" i="13"/>
  <c r="H827" i="13"/>
  <c r="J827" i="13"/>
  <c r="N827" i="13" s="1"/>
  <c r="N828" i="13" s="1"/>
  <c r="O828" i="13" s="1"/>
  <c r="B395" i="13"/>
  <c r="I396" i="13"/>
  <c r="K396" i="13" s="1"/>
  <c r="B662" i="13"/>
  <c r="I663" i="13"/>
  <c r="K663" i="13" s="1"/>
  <c r="B573" i="13"/>
  <c r="I574" i="13"/>
  <c r="K574" i="13" s="1"/>
  <c r="I216" i="13"/>
  <c r="K216" i="13" s="1"/>
  <c r="B215" i="13"/>
  <c r="I46" i="13"/>
  <c r="K46" i="13" s="1"/>
  <c r="B45" i="13"/>
  <c r="B484" i="13"/>
  <c r="I486" i="13"/>
  <c r="K486" i="13" s="1"/>
  <c r="B486" i="13" l="1"/>
  <c r="I487" i="13"/>
  <c r="K487" i="13" s="1"/>
  <c r="I397" i="13"/>
  <c r="K397" i="13" s="1"/>
  <c r="B396" i="13"/>
  <c r="B136" i="13"/>
  <c r="I137" i="13"/>
  <c r="K137" i="13" s="1"/>
  <c r="I47" i="13"/>
  <c r="K47" i="13" s="1"/>
  <c r="B46" i="13"/>
  <c r="I307" i="13"/>
  <c r="K307" i="13" s="1"/>
  <c r="B306" i="13"/>
  <c r="I664" i="13"/>
  <c r="K664" i="13" s="1"/>
  <c r="B663" i="13"/>
  <c r="I753" i="13"/>
  <c r="K753" i="13" s="1"/>
  <c r="B752" i="13"/>
  <c r="I217" i="13"/>
  <c r="K217" i="13" s="1"/>
  <c r="B216" i="13"/>
  <c r="B574" i="13"/>
  <c r="I575" i="13"/>
  <c r="K575" i="13" s="1"/>
  <c r="C807" i="13"/>
  <c r="C816" i="13"/>
  <c r="C826" i="13" s="1"/>
  <c r="B397" i="13" l="1"/>
  <c r="I398" i="13"/>
  <c r="K398" i="13" s="1"/>
  <c r="B47" i="13"/>
  <c r="I48" i="13"/>
  <c r="K48" i="13" s="1"/>
  <c r="I754" i="13"/>
  <c r="K754" i="13" s="1"/>
  <c r="B753" i="13"/>
  <c r="C808" i="13"/>
  <c r="C817" i="13"/>
  <c r="I488" i="13"/>
  <c r="K488" i="13" s="1"/>
  <c r="B487" i="13"/>
  <c r="I218" i="13"/>
  <c r="K218" i="13" s="1"/>
  <c r="B217" i="13"/>
  <c r="I138" i="13"/>
  <c r="K138" i="13" s="1"/>
  <c r="B137" i="13"/>
  <c r="I665" i="13"/>
  <c r="K665" i="13" s="1"/>
  <c r="B664" i="13"/>
  <c r="B575" i="13"/>
  <c r="I577" i="13"/>
  <c r="K577" i="13" s="1"/>
  <c r="B307" i="13"/>
  <c r="I308" i="13"/>
  <c r="K308" i="13" s="1"/>
  <c r="B665" i="13" l="1"/>
  <c r="I666" i="13"/>
  <c r="K666" i="13" s="1"/>
  <c r="B754" i="13"/>
  <c r="I755" i="13"/>
  <c r="K755" i="13" s="1"/>
  <c r="I139" i="13"/>
  <c r="K139" i="13" s="1"/>
  <c r="B138" i="13"/>
  <c r="I309" i="13"/>
  <c r="K309" i="13" s="1"/>
  <c r="B308" i="13"/>
  <c r="I578" i="13"/>
  <c r="K578" i="13" s="1"/>
  <c r="B577" i="13"/>
  <c r="B398" i="13"/>
  <c r="I399" i="13"/>
  <c r="K399" i="13" s="1"/>
  <c r="C818" i="13"/>
  <c r="C827" i="13"/>
  <c r="B48" i="13"/>
  <c r="I49" i="13"/>
  <c r="K49" i="13" s="1"/>
  <c r="I219" i="13"/>
  <c r="K219" i="13" s="1"/>
  <c r="B218" i="13"/>
  <c r="I489" i="13"/>
  <c r="K489" i="13" s="1"/>
  <c r="B488" i="13"/>
  <c r="I51" i="13" l="1"/>
  <c r="K51" i="13" s="1"/>
  <c r="B49" i="13"/>
  <c r="B139" i="13"/>
  <c r="I140" i="13"/>
  <c r="K140" i="13" s="1"/>
  <c r="B399" i="13"/>
  <c r="I400" i="13"/>
  <c r="K400" i="13" s="1"/>
  <c r="I756" i="13"/>
  <c r="K756" i="13" s="1"/>
  <c r="B755" i="13"/>
  <c r="I668" i="13"/>
  <c r="B666" i="13"/>
  <c r="B309" i="13"/>
  <c r="I310" i="13"/>
  <c r="K310" i="13" s="1"/>
  <c r="B489" i="13"/>
  <c r="I490" i="13"/>
  <c r="K490" i="13" s="1"/>
  <c r="I220" i="13"/>
  <c r="K220" i="13" s="1"/>
  <c r="B219" i="13"/>
  <c r="B578" i="13"/>
  <c r="I579" i="13"/>
  <c r="K579" i="13" s="1"/>
  <c r="I221" i="13" l="1"/>
  <c r="K221" i="13" s="1"/>
  <c r="B220" i="13"/>
  <c r="I401" i="13"/>
  <c r="K401" i="13" s="1"/>
  <c r="B400" i="13"/>
  <c r="B490" i="13"/>
  <c r="I491" i="13"/>
  <c r="K491" i="13" s="1"/>
  <c r="I311" i="13"/>
  <c r="K311" i="13" s="1"/>
  <c r="B310" i="13"/>
  <c r="I580" i="13"/>
  <c r="K580" i="13" s="1"/>
  <c r="B579" i="13"/>
  <c r="B756" i="13"/>
  <c r="I757" i="13"/>
  <c r="K757" i="13" s="1"/>
  <c r="I142" i="13"/>
  <c r="K142" i="13" s="1"/>
  <c r="B140" i="13"/>
  <c r="B668" i="13"/>
  <c r="K668" i="13"/>
  <c r="I669" i="13" s="1"/>
  <c r="I52" i="13"/>
  <c r="K52" i="13" s="1"/>
  <c r="B51" i="13"/>
  <c r="K669" i="13" l="1"/>
  <c r="I670" i="13" s="1"/>
  <c r="B669" i="13"/>
  <c r="B401" i="13"/>
  <c r="I402" i="13"/>
  <c r="K402" i="13" s="1"/>
  <c r="B311" i="13"/>
  <c r="I312" i="13"/>
  <c r="K312" i="13" s="1"/>
  <c r="I143" i="13"/>
  <c r="K143" i="13" s="1"/>
  <c r="B142" i="13"/>
  <c r="I492" i="13"/>
  <c r="K492" i="13" s="1"/>
  <c r="B491" i="13"/>
  <c r="B757" i="13"/>
  <c r="I759" i="13"/>
  <c r="K759" i="13" s="1"/>
  <c r="B52" i="13"/>
  <c r="I53" i="13"/>
  <c r="K53" i="13" s="1"/>
  <c r="I581" i="13"/>
  <c r="K581" i="13" s="1"/>
  <c r="B580" i="13"/>
  <c r="I223" i="13"/>
  <c r="K223" i="13" s="1"/>
  <c r="B221" i="13"/>
  <c r="I144" i="13" l="1"/>
  <c r="K144" i="13" s="1"/>
  <c r="B143" i="13"/>
  <c r="I582" i="13"/>
  <c r="K582" i="13" s="1"/>
  <c r="B581" i="13"/>
  <c r="I314" i="13"/>
  <c r="K314" i="13" s="1"/>
  <c r="B312" i="13"/>
  <c r="B402" i="13"/>
  <c r="I403" i="13"/>
  <c r="K403" i="13" s="1"/>
  <c r="B53" i="13"/>
  <c r="I54" i="13"/>
  <c r="K54" i="13" s="1"/>
  <c r="B759" i="13"/>
  <c r="I760" i="13"/>
  <c r="K760" i="13" s="1"/>
  <c r="I224" i="13"/>
  <c r="K224" i="13" s="1"/>
  <c r="B223" i="13"/>
  <c r="B492" i="13"/>
  <c r="I493" i="13"/>
  <c r="K493" i="13" s="1"/>
  <c r="K670" i="13"/>
  <c r="I671" i="13" s="1"/>
  <c r="B670" i="13"/>
  <c r="B403" i="13" l="1"/>
  <c r="I405" i="13"/>
  <c r="K405" i="13" s="1"/>
  <c r="I494" i="13"/>
  <c r="K494" i="13" s="1"/>
  <c r="B493" i="13"/>
  <c r="B224" i="13"/>
  <c r="I225" i="13"/>
  <c r="K225" i="13" s="1"/>
  <c r="B582" i="13"/>
  <c r="I583" i="13"/>
  <c r="K583" i="13" s="1"/>
  <c r="B760" i="13"/>
  <c r="I761" i="13"/>
  <c r="K761" i="13" s="1"/>
  <c r="B54" i="13"/>
  <c r="I55" i="13"/>
  <c r="K55" i="13" s="1"/>
  <c r="B314" i="13"/>
  <c r="I315" i="13"/>
  <c r="K315" i="13" s="1"/>
  <c r="K671" i="13"/>
  <c r="I672" i="13" s="1"/>
  <c r="B671" i="13"/>
  <c r="B144" i="13"/>
  <c r="I145" i="13"/>
  <c r="K145" i="13" s="1"/>
  <c r="I584" i="13" l="1"/>
  <c r="K584" i="13" s="1"/>
  <c r="B583" i="13"/>
  <c r="I316" i="13"/>
  <c r="K316" i="13" s="1"/>
  <c r="B315" i="13"/>
  <c r="B494" i="13"/>
  <c r="I496" i="13"/>
  <c r="K496" i="13" s="1"/>
  <c r="B672" i="13"/>
  <c r="K672" i="13"/>
  <c r="I673" i="13" s="1"/>
  <c r="B145" i="13"/>
  <c r="I146" i="13"/>
  <c r="K146" i="13" s="1"/>
  <c r="B405" i="13"/>
  <c r="I406" i="13"/>
  <c r="K406" i="13" s="1"/>
  <c r="B225" i="13"/>
  <c r="I226" i="13"/>
  <c r="K226" i="13" s="1"/>
  <c r="B55" i="13"/>
  <c r="I56" i="13"/>
  <c r="K56" i="13" s="1"/>
  <c r="B761" i="13"/>
  <c r="I762" i="13"/>
  <c r="K762" i="13" s="1"/>
  <c r="I57" i="13" l="1"/>
  <c r="K57" i="13" s="1"/>
  <c r="B56" i="13"/>
  <c r="K673" i="13"/>
  <c r="I674" i="13" s="1"/>
  <c r="B673" i="13"/>
  <c r="B496" i="13"/>
  <c r="I497" i="13"/>
  <c r="K497" i="13" s="1"/>
  <c r="B146" i="13"/>
  <c r="I147" i="13"/>
  <c r="K147" i="13" s="1"/>
  <c r="B226" i="13"/>
  <c r="I227" i="13"/>
  <c r="K227" i="13" s="1"/>
  <c r="I407" i="13"/>
  <c r="K407" i="13" s="1"/>
  <c r="B406" i="13"/>
  <c r="B316" i="13"/>
  <c r="I317" i="13"/>
  <c r="K317" i="13" s="1"/>
  <c r="B762" i="13"/>
  <c r="I763" i="13"/>
  <c r="K763" i="13" s="1"/>
  <c r="I585" i="13"/>
  <c r="K585" i="13" s="1"/>
  <c r="B584" i="13"/>
  <c r="B763" i="13" l="1"/>
  <c r="I764" i="13"/>
  <c r="K764" i="13" s="1"/>
  <c r="I408" i="13"/>
  <c r="K408" i="13" s="1"/>
  <c r="B407" i="13"/>
  <c r="B497" i="13"/>
  <c r="I498" i="13"/>
  <c r="K498" i="13" s="1"/>
  <c r="B227" i="13"/>
  <c r="I228" i="13"/>
  <c r="K228" i="13" s="1"/>
  <c r="I148" i="13"/>
  <c r="K148" i="13" s="1"/>
  <c r="B147" i="13"/>
  <c r="I318" i="13"/>
  <c r="K318" i="13" s="1"/>
  <c r="B317" i="13"/>
  <c r="B674" i="13"/>
  <c r="K674" i="13"/>
  <c r="I675" i="13" s="1"/>
  <c r="B585" i="13"/>
  <c r="I587" i="13"/>
  <c r="K587" i="13" s="1"/>
  <c r="B57" i="13"/>
  <c r="I58" i="13"/>
  <c r="K58" i="13" s="1"/>
  <c r="I588" i="13" l="1"/>
  <c r="K588" i="13" s="1"/>
  <c r="B587" i="13"/>
  <c r="I499" i="13"/>
  <c r="K499" i="13" s="1"/>
  <c r="B498" i="13"/>
  <c r="B408" i="13"/>
  <c r="I409" i="13"/>
  <c r="K409" i="13" s="1"/>
  <c r="I229" i="13"/>
  <c r="K229" i="13" s="1"/>
  <c r="B228" i="13"/>
  <c r="B675" i="13"/>
  <c r="K675" i="13"/>
  <c r="I676" i="13" s="1"/>
  <c r="B318" i="13"/>
  <c r="I319" i="13"/>
  <c r="K319" i="13" s="1"/>
  <c r="B764" i="13"/>
  <c r="I765" i="13"/>
  <c r="K765" i="13" s="1"/>
  <c r="B58" i="13"/>
  <c r="I59" i="13"/>
  <c r="K59" i="13" s="1"/>
  <c r="I149" i="13"/>
  <c r="K149" i="13" s="1"/>
  <c r="B148" i="13"/>
  <c r="B59" i="13" l="1"/>
  <c r="I61" i="13"/>
  <c r="K61" i="13" s="1"/>
  <c r="I410" i="13"/>
  <c r="K410" i="13" s="1"/>
  <c r="B409" i="13"/>
  <c r="I766" i="13"/>
  <c r="K766" i="13" s="1"/>
  <c r="B765" i="13"/>
  <c r="B319" i="13"/>
  <c r="I320" i="13"/>
  <c r="K320" i="13" s="1"/>
  <c r="K676" i="13"/>
  <c r="I678" i="13" s="1"/>
  <c r="B676" i="13"/>
  <c r="B229" i="13"/>
  <c r="I230" i="13"/>
  <c r="K230" i="13" s="1"/>
  <c r="B499" i="13"/>
  <c r="I500" i="13"/>
  <c r="K500" i="13" s="1"/>
  <c r="I150" i="13"/>
  <c r="K150" i="13" s="1"/>
  <c r="B149" i="13"/>
  <c r="I589" i="13"/>
  <c r="K589" i="13" s="1"/>
  <c r="B588" i="13"/>
  <c r="I321" i="13" l="1"/>
  <c r="K321" i="13" s="1"/>
  <c r="B320" i="13"/>
  <c r="B410" i="13"/>
  <c r="I411" i="13"/>
  <c r="K411" i="13" s="1"/>
  <c r="B500" i="13"/>
  <c r="I501" i="13"/>
  <c r="K501" i="13" s="1"/>
  <c r="I767" i="13"/>
  <c r="K767" i="13" s="1"/>
  <c r="B766" i="13"/>
  <c r="I62" i="13"/>
  <c r="K62" i="13" s="1"/>
  <c r="B61" i="13"/>
  <c r="B150" i="13"/>
  <c r="I152" i="13"/>
  <c r="K152" i="13" s="1"/>
  <c r="B230" i="13"/>
  <c r="I231" i="13"/>
  <c r="K231" i="13" s="1"/>
  <c r="B589" i="13"/>
  <c r="I590" i="13"/>
  <c r="K590" i="13" s="1"/>
  <c r="B678" i="13"/>
  <c r="K678" i="13"/>
  <c r="I679" i="13" s="1"/>
  <c r="B590" i="13" l="1"/>
  <c r="I591" i="13"/>
  <c r="K591" i="13" s="1"/>
  <c r="I233" i="13"/>
  <c r="K233" i="13" s="1"/>
  <c r="B231" i="13"/>
  <c r="B501" i="13"/>
  <c r="I502" i="13"/>
  <c r="K502" i="13" s="1"/>
  <c r="I153" i="13"/>
  <c r="K153" i="13" s="1"/>
  <c r="B152" i="13"/>
  <c r="B411" i="13"/>
  <c r="I412" i="13"/>
  <c r="K412" i="13" s="1"/>
  <c r="B679" i="13"/>
  <c r="K679" i="13"/>
  <c r="I680" i="13" s="1"/>
  <c r="B767" i="13"/>
  <c r="I769" i="13"/>
  <c r="K769" i="13" s="1"/>
  <c r="B62" i="13"/>
  <c r="I63" i="13"/>
  <c r="K63" i="13" s="1"/>
  <c r="B321" i="13"/>
  <c r="I322" i="13"/>
  <c r="K322" i="13" s="1"/>
  <c r="I154" i="13" l="1"/>
  <c r="K154" i="13" s="1"/>
  <c r="B153" i="13"/>
  <c r="I234" i="13"/>
  <c r="K234" i="13" s="1"/>
  <c r="B233" i="13"/>
  <c r="I64" i="13"/>
  <c r="K64" i="13" s="1"/>
  <c r="B63" i="13"/>
  <c r="I503" i="13"/>
  <c r="K503" i="13" s="1"/>
  <c r="B502" i="13"/>
  <c r="I592" i="13"/>
  <c r="K592" i="13" s="1"/>
  <c r="B591" i="13"/>
  <c r="B769" i="13"/>
  <c r="I770" i="13"/>
  <c r="K770" i="13" s="1"/>
  <c r="K680" i="13"/>
  <c r="I681" i="13" s="1"/>
  <c r="B680" i="13"/>
  <c r="I324" i="13"/>
  <c r="K324" i="13" s="1"/>
  <c r="B322" i="13"/>
  <c r="I413" i="13"/>
  <c r="K413" i="13" s="1"/>
  <c r="B412" i="13"/>
  <c r="B324" i="13" l="1"/>
  <c r="I325" i="13"/>
  <c r="K325" i="13" s="1"/>
  <c r="B681" i="13"/>
  <c r="K681" i="13"/>
  <c r="I682" i="13" s="1"/>
  <c r="I235" i="13"/>
  <c r="K235" i="13" s="1"/>
  <c r="B234" i="13"/>
  <c r="I504" i="13"/>
  <c r="K504" i="13" s="1"/>
  <c r="B503" i="13"/>
  <c r="B64" i="13"/>
  <c r="I65" i="13"/>
  <c r="K65" i="13" s="1"/>
  <c r="I771" i="13"/>
  <c r="K771" i="13" s="1"/>
  <c r="B770" i="13"/>
  <c r="I415" i="13"/>
  <c r="K415" i="13" s="1"/>
  <c r="B413" i="13"/>
  <c r="B592" i="13"/>
  <c r="I593" i="13"/>
  <c r="K593" i="13" s="1"/>
  <c r="I155" i="13"/>
  <c r="K155" i="13" s="1"/>
  <c r="B154" i="13"/>
  <c r="I506" i="13" l="1"/>
  <c r="K506" i="13" s="1"/>
  <c r="B504" i="13"/>
  <c r="B682" i="13"/>
  <c r="K682" i="13"/>
  <c r="I683" i="13" s="1"/>
  <c r="I594" i="13"/>
  <c r="K594" i="13" s="1"/>
  <c r="B593" i="13"/>
  <c r="B415" i="13"/>
  <c r="I416" i="13"/>
  <c r="K416" i="13" s="1"/>
  <c r="B65" i="13"/>
  <c r="I66" i="13"/>
  <c r="K66" i="13" s="1"/>
  <c r="I326" i="13"/>
  <c r="K326" i="13" s="1"/>
  <c r="B325" i="13"/>
  <c r="I236" i="13"/>
  <c r="K236" i="13" s="1"/>
  <c r="B235" i="13"/>
  <c r="I772" i="13"/>
  <c r="K772" i="13" s="1"/>
  <c r="B771" i="13"/>
  <c r="I156" i="13"/>
  <c r="K156" i="13" s="1"/>
  <c r="B155" i="13"/>
  <c r="I417" i="13" l="1"/>
  <c r="K417" i="13" s="1"/>
  <c r="B416" i="13"/>
  <c r="B326" i="13"/>
  <c r="I327" i="13"/>
  <c r="K327" i="13" s="1"/>
  <c r="I595" i="13"/>
  <c r="K595" i="13" s="1"/>
  <c r="B594" i="13"/>
  <c r="B66" i="13"/>
  <c r="I67" i="13"/>
  <c r="K67" i="13" s="1"/>
  <c r="I773" i="13"/>
  <c r="K773" i="13" s="1"/>
  <c r="B772" i="13"/>
  <c r="B236" i="13"/>
  <c r="I237" i="13"/>
  <c r="K237" i="13" s="1"/>
  <c r="K683" i="13"/>
  <c r="I684" i="13" s="1"/>
  <c r="B683" i="13"/>
  <c r="I157" i="13"/>
  <c r="K157" i="13" s="1"/>
  <c r="B156" i="13"/>
  <c r="B506" i="13"/>
  <c r="I507" i="13"/>
  <c r="K507" i="13" s="1"/>
  <c r="I158" i="13" l="1"/>
  <c r="K158" i="13" s="1"/>
  <c r="B157" i="13"/>
  <c r="I238" i="13"/>
  <c r="K238" i="13" s="1"/>
  <c r="B237" i="13"/>
  <c r="I68" i="13"/>
  <c r="K68" i="13" s="1"/>
  <c r="B67" i="13"/>
  <c r="K684" i="13"/>
  <c r="I685" i="13" s="1"/>
  <c r="B684" i="13"/>
  <c r="I328" i="13"/>
  <c r="K328" i="13" s="1"/>
  <c r="B327" i="13"/>
  <c r="B507" i="13"/>
  <c r="I508" i="13"/>
  <c r="K508" i="13" s="1"/>
  <c r="B595" i="13"/>
  <c r="I597" i="13"/>
  <c r="K597" i="13" s="1"/>
  <c r="B773" i="13"/>
  <c r="I774" i="13"/>
  <c r="K774" i="13" s="1"/>
  <c r="I418" i="13"/>
  <c r="K418" i="13" s="1"/>
  <c r="B417" i="13"/>
  <c r="K685" i="13" l="1"/>
  <c r="I686" i="13" s="1"/>
  <c r="B685" i="13"/>
  <c r="I598" i="13"/>
  <c r="K598" i="13" s="1"/>
  <c r="B597" i="13"/>
  <c r="B508" i="13"/>
  <c r="I509" i="13"/>
  <c r="K509" i="13" s="1"/>
  <c r="I239" i="13"/>
  <c r="K239" i="13" s="1"/>
  <c r="B238" i="13"/>
  <c r="B774" i="13"/>
  <c r="I775" i="13"/>
  <c r="K775" i="13" s="1"/>
  <c r="I69" i="13"/>
  <c r="K69" i="13" s="1"/>
  <c r="B68" i="13"/>
  <c r="I419" i="13"/>
  <c r="K419" i="13" s="1"/>
  <c r="B418" i="13"/>
  <c r="I329" i="13"/>
  <c r="K329" i="13" s="1"/>
  <c r="B328" i="13"/>
  <c r="B158" i="13"/>
  <c r="I159" i="13"/>
  <c r="K159" i="13" s="1"/>
  <c r="I330" i="13" l="1"/>
  <c r="K330" i="13" s="1"/>
  <c r="B329" i="13"/>
  <c r="B419" i="13"/>
  <c r="I420" i="13"/>
  <c r="K420" i="13" s="1"/>
  <c r="B509" i="13"/>
  <c r="I510" i="13"/>
  <c r="K510" i="13" s="1"/>
  <c r="B69" i="13"/>
  <c r="I71" i="13"/>
  <c r="K71" i="13" s="1"/>
  <c r="I776" i="13"/>
  <c r="K776" i="13" s="1"/>
  <c r="B775" i="13"/>
  <c r="I240" i="13"/>
  <c r="K240" i="13" s="1"/>
  <c r="B239" i="13"/>
  <c r="I599" i="13"/>
  <c r="K599" i="13" s="1"/>
  <c r="B598" i="13"/>
  <c r="B159" i="13"/>
  <c r="I160" i="13"/>
  <c r="K160" i="13" s="1"/>
  <c r="K686" i="13"/>
  <c r="I688" i="13" s="1"/>
  <c r="B686" i="13"/>
  <c r="B688" i="13" l="1"/>
  <c r="K688" i="13"/>
  <c r="I689" i="13" s="1"/>
  <c r="I72" i="13"/>
  <c r="K72" i="13" s="1"/>
  <c r="B71" i="13"/>
  <c r="I511" i="13"/>
  <c r="K511" i="13" s="1"/>
  <c r="B510" i="13"/>
  <c r="I162" i="13"/>
  <c r="K162" i="13" s="1"/>
  <c r="B160" i="13"/>
  <c r="I241" i="13"/>
  <c r="K241" i="13" s="1"/>
  <c r="B240" i="13"/>
  <c r="I421" i="13"/>
  <c r="K421" i="13" s="1"/>
  <c r="B420" i="13"/>
  <c r="B599" i="13"/>
  <c r="I600" i="13"/>
  <c r="K600" i="13" s="1"/>
  <c r="I777" i="13"/>
  <c r="K777" i="13" s="1"/>
  <c r="B776" i="13"/>
  <c r="B330" i="13"/>
  <c r="I331" i="13"/>
  <c r="K331" i="13" s="1"/>
  <c r="B162" i="13" l="1"/>
  <c r="I163" i="13"/>
  <c r="K163" i="13" s="1"/>
  <c r="B421" i="13"/>
  <c r="I422" i="13"/>
  <c r="K422" i="13" s="1"/>
  <c r="I512" i="13"/>
  <c r="K512" i="13" s="1"/>
  <c r="B511" i="13"/>
  <c r="B331" i="13"/>
  <c r="I332" i="13"/>
  <c r="K332" i="13" s="1"/>
  <c r="B72" i="13"/>
  <c r="I73" i="13"/>
  <c r="K73" i="13" s="1"/>
  <c r="B689" i="13"/>
  <c r="K689" i="13"/>
  <c r="I690" i="13" s="1"/>
  <c r="B777" i="13"/>
  <c r="I779" i="13"/>
  <c r="K779" i="13" s="1"/>
  <c r="B600" i="13"/>
  <c r="I601" i="13"/>
  <c r="K601" i="13" s="1"/>
  <c r="I243" i="13"/>
  <c r="K243" i="13" s="1"/>
  <c r="B241" i="13"/>
  <c r="I780" i="13" l="1"/>
  <c r="K780" i="13" s="1"/>
  <c r="B779" i="13"/>
  <c r="I513" i="13"/>
  <c r="K513" i="13" s="1"/>
  <c r="B512" i="13"/>
  <c r="B690" i="13"/>
  <c r="K690" i="13"/>
  <c r="I691" i="13" s="1"/>
  <c r="B422" i="13"/>
  <c r="I423" i="13"/>
  <c r="K423" i="13" s="1"/>
  <c r="B332" i="13"/>
  <c r="I334" i="13"/>
  <c r="K334" i="13" s="1"/>
  <c r="B73" i="13"/>
  <c r="I74" i="13"/>
  <c r="K74" i="13" s="1"/>
  <c r="I244" i="13"/>
  <c r="K244" i="13" s="1"/>
  <c r="B243" i="13"/>
  <c r="B163" i="13"/>
  <c r="I164" i="13"/>
  <c r="K164" i="13" s="1"/>
  <c r="B601" i="13"/>
  <c r="I602" i="13"/>
  <c r="K602" i="13" s="1"/>
  <c r="B244" i="13" l="1"/>
  <c r="I245" i="13"/>
  <c r="K245" i="13" s="1"/>
  <c r="B164" i="13"/>
  <c r="I165" i="13"/>
  <c r="K165" i="13" s="1"/>
  <c r="B423" i="13"/>
  <c r="I425" i="13"/>
  <c r="K425" i="13" s="1"/>
  <c r="B691" i="13"/>
  <c r="K691" i="13"/>
  <c r="I692" i="13" s="1"/>
  <c r="I75" i="13"/>
  <c r="K75" i="13" s="1"/>
  <c r="B74" i="13"/>
  <c r="B602" i="13"/>
  <c r="I603" i="13"/>
  <c r="K603" i="13" s="1"/>
  <c r="I514" i="13"/>
  <c r="K514" i="13" s="1"/>
  <c r="B513" i="13"/>
  <c r="B334" i="13"/>
  <c r="I335" i="13"/>
  <c r="K335" i="13" s="1"/>
  <c r="B780" i="13"/>
  <c r="I781" i="13"/>
  <c r="K781" i="13" s="1"/>
  <c r="K692" i="13" l="1"/>
  <c r="I693" i="13" s="1"/>
  <c r="B692" i="13"/>
  <c r="I426" i="13"/>
  <c r="K426" i="13" s="1"/>
  <c r="B425" i="13"/>
  <c r="B603" i="13"/>
  <c r="I604" i="13"/>
  <c r="K604" i="13" s="1"/>
  <c r="I166" i="13"/>
  <c r="K166" i="13" s="1"/>
  <c r="B165" i="13"/>
  <c r="B245" i="13"/>
  <c r="I246" i="13"/>
  <c r="K246" i="13" s="1"/>
  <c r="I516" i="13"/>
  <c r="K516" i="13" s="1"/>
  <c r="B514" i="13"/>
  <c r="B781" i="13"/>
  <c r="I782" i="13"/>
  <c r="K782" i="13" s="1"/>
  <c r="I336" i="13"/>
  <c r="K336" i="13" s="1"/>
  <c r="B335" i="13"/>
  <c r="I76" i="13"/>
  <c r="K76" i="13" s="1"/>
  <c r="B75" i="13"/>
  <c r="B604" i="13" l="1"/>
  <c r="I605" i="13"/>
  <c r="K605" i="13" s="1"/>
  <c r="I427" i="13"/>
  <c r="K427" i="13" s="1"/>
  <c r="B426" i="13"/>
  <c r="B782" i="13"/>
  <c r="I783" i="13"/>
  <c r="K783" i="13" s="1"/>
  <c r="B246" i="13"/>
  <c r="I247" i="13"/>
  <c r="K247" i="13" s="1"/>
  <c r="I167" i="13"/>
  <c r="K167" i="13" s="1"/>
  <c r="B166" i="13"/>
  <c r="I517" i="13"/>
  <c r="K517" i="13" s="1"/>
  <c r="B516" i="13"/>
  <c r="B76" i="13"/>
  <c r="I77" i="13"/>
  <c r="K77" i="13" s="1"/>
  <c r="B693" i="13"/>
  <c r="K693" i="13"/>
  <c r="I694" i="13" s="1"/>
  <c r="I337" i="13"/>
  <c r="K337" i="13" s="1"/>
  <c r="B336" i="13"/>
  <c r="B247" i="13" l="1"/>
  <c r="I248" i="13"/>
  <c r="K248" i="13" s="1"/>
  <c r="B783" i="13"/>
  <c r="I784" i="13"/>
  <c r="K784" i="13" s="1"/>
  <c r="B427" i="13"/>
  <c r="I428" i="13"/>
  <c r="K428" i="13" s="1"/>
  <c r="B77" i="13"/>
  <c r="I78" i="13"/>
  <c r="K78" i="13" s="1"/>
  <c r="I607" i="13"/>
  <c r="K607" i="13" s="1"/>
  <c r="B605" i="13"/>
  <c r="K694" i="13"/>
  <c r="I695" i="13" s="1"/>
  <c r="B694" i="13"/>
  <c r="I518" i="13"/>
  <c r="K518" i="13" s="1"/>
  <c r="B517" i="13"/>
  <c r="I338" i="13"/>
  <c r="K338" i="13" s="1"/>
  <c r="B337" i="13"/>
  <c r="B167" i="13"/>
  <c r="I168" i="13"/>
  <c r="K168" i="13" s="1"/>
  <c r="B338" i="13" l="1"/>
  <c r="I339" i="13"/>
  <c r="K339" i="13" s="1"/>
  <c r="B428" i="13"/>
  <c r="I429" i="13"/>
  <c r="K429" i="13" s="1"/>
  <c r="K695" i="13"/>
  <c r="I696" i="13" s="1"/>
  <c r="B695" i="13"/>
  <c r="I785" i="13"/>
  <c r="K785" i="13" s="1"/>
  <c r="B784" i="13"/>
  <c r="I249" i="13"/>
  <c r="K249" i="13" s="1"/>
  <c r="B248" i="13"/>
  <c r="B78" i="13"/>
  <c r="I79" i="13"/>
  <c r="K79" i="13" s="1"/>
  <c r="I519" i="13"/>
  <c r="K519" i="13" s="1"/>
  <c r="B518" i="13"/>
  <c r="B168" i="13"/>
  <c r="I169" i="13"/>
  <c r="K169" i="13" s="1"/>
  <c r="I608" i="13"/>
  <c r="K608" i="13" s="1"/>
  <c r="B607" i="13"/>
  <c r="B785" i="13" l="1"/>
  <c r="I786" i="13"/>
  <c r="K786" i="13" s="1"/>
  <c r="K696" i="13"/>
  <c r="I698" i="13" s="1"/>
  <c r="B696" i="13"/>
  <c r="I170" i="13"/>
  <c r="K170" i="13" s="1"/>
  <c r="B169" i="13"/>
  <c r="I520" i="13"/>
  <c r="K520" i="13" s="1"/>
  <c r="B519" i="13"/>
  <c r="B429" i="13"/>
  <c r="I430" i="13"/>
  <c r="K430" i="13" s="1"/>
  <c r="B339" i="13"/>
  <c r="I340" i="13"/>
  <c r="K340" i="13" s="1"/>
  <c r="I81" i="13"/>
  <c r="K81" i="13" s="1"/>
  <c r="B79" i="13"/>
  <c r="I609" i="13"/>
  <c r="K609" i="13" s="1"/>
  <c r="B608" i="13"/>
  <c r="B249" i="13"/>
  <c r="I250" i="13"/>
  <c r="K250" i="13" s="1"/>
  <c r="I610" i="13" l="1"/>
  <c r="K610" i="13" s="1"/>
  <c r="B609" i="13"/>
  <c r="B340" i="13"/>
  <c r="I341" i="13"/>
  <c r="K341" i="13" s="1"/>
  <c r="B81" i="13"/>
  <c r="I82" i="13"/>
  <c r="K82" i="13" s="1"/>
  <c r="I431" i="13"/>
  <c r="K431" i="13" s="1"/>
  <c r="B430" i="13"/>
  <c r="I787" i="13"/>
  <c r="K787" i="13" s="1"/>
  <c r="B786" i="13"/>
  <c r="B520" i="13"/>
  <c r="I521" i="13"/>
  <c r="K521" i="13" s="1"/>
  <c r="I172" i="13"/>
  <c r="K172" i="13" s="1"/>
  <c r="B170" i="13"/>
  <c r="B698" i="13"/>
  <c r="K698" i="13"/>
  <c r="I699" i="13" s="1"/>
  <c r="I251" i="13"/>
  <c r="K251" i="13" s="1"/>
  <c r="B250" i="13"/>
  <c r="B431" i="13" l="1"/>
  <c r="I432" i="13"/>
  <c r="K432" i="13" s="1"/>
  <c r="B172" i="13"/>
  <c r="I173" i="13"/>
  <c r="K173" i="13" s="1"/>
  <c r="B341" i="13"/>
  <c r="I342" i="13"/>
  <c r="K342" i="13" s="1"/>
  <c r="K699" i="13"/>
  <c r="I700" i="13" s="1"/>
  <c r="B699" i="13"/>
  <c r="B82" i="13"/>
  <c r="I83" i="13"/>
  <c r="K83" i="13" s="1"/>
  <c r="I522" i="13"/>
  <c r="K522" i="13" s="1"/>
  <c r="B521" i="13"/>
  <c r="B251" i="13"/>
  <c r="I253" i="13"/>
  <c r="K253" i="13" s="1"/>
  <c r="B787" i="13"/>
  <c r="I789" i="13"/>
  <c r="K789" i="13" s="1"/>
  <c r="B610" i="13"/>
  <c r="I611" i="13"/>
  <c r="K611" i="13" s="1"/>
  <c r="B700" i="13" l="1"/>
  <c r="K700" i="13"/>
  <c r="I701" i="13" s="1"/>
  <c r="B522" i="13"/>
  <c r="I523" i="13"/>
  <c r="K523" i="13" s="1"/>
  <c r="B789" i="13"/>
  <c r="I790" i="13"/>
  <c r="K790" i="13" s="1"/>
  <c r="I344" i="13"/>
  <c r="K344" i="13" s="1"/>
  <c r="B342" i="13"/>
  <c r="B611" i="13"/>
  <c r="I612" i="13"/>
  <c r="K612" i="13" s="1"/>
  <c r="I433" i="13"/>
  <c r="K433" i="13" s="1"/>
  <c r="B432" i="13"/>
  <c r="I254" i="13"/>
  <c r="K254" i="13" s="1"/>
  <c r="B253" i="13"/>
  <c r="I174" i="13"/>
  <c r="K174" i="13" s="1"/>
  <c r="B173" i="13"/>
  <c r="I84" i="13"/>
  <c r="K84" i="13" s="1"/>
  <c r="B83" i="13"/>
  <c r="I345" i="13" l="1"/>
  <c r="K345" i="13" s="1"/>
  <c r="B344" i="13"/>
  <c r="B433" i="13"/>
  <c r="I435" i="13"/>
  <c r="K435" i="13" s="1"/>
  <c r="B174" i="13"/>
  <c r="I175" i="13"/>
  <c r="K175" i="13" s="1"/>
  <c r="I791" i="13"/>
  <c r="K791" i="13" s="1"/>
  <c r="B790" i="13"/>
  <c r="K701" i="13"/>
  <c r="I702" i="13" s="1"/>
  <c r="B701" i="13"/>
  <c r="B254" i="13"/>
  <c r="I255" i="13"/>
  <c r="K255" i="13" s="1"/>
  <c r="B523" i="13"/>
  <c r="I524" i="13"/>
  <c r="K524" i="13" s="1"/>
  <c r="I613" i="13"/>
  <c r="K613" i="13" s="1"/>
  <c r="B612" i="13"/>
  <c r="B84" i="13"/>
  <c r="I85" i="13"/>
  <c r="K85" i="13" s="1"/>
  <c r="I614" i="13" l="1"/>
  <c r="K614" i="13" s="1"/>
  <c r="B613" i="13"/>
  <c r="I176" i="13"/>
  <c r="K176" i="13" s="1"/>
  <c r="B175" i="13"/>
  <c r="I792" i="13"/>
  <c r="K792" i="13" s="1"/>
  <c r="B791" i="13"/>
  <c r="B435" i="13"/>
  <c r="I436" i="13"/>
  <c r="K436" i="13" s="1"/>
  <c r="I526" i="13"/>
  <c r="K526" i="13" s="1"/>
  <c r="B524" i="13"/>
  <c r="I256" i="13"/>
  <c r="K256" i="13" s="1"/>
  <c r="B255" i="13"/>
  <c r="B85" i="13"/>
  <c r="I86" i="13"/>
  <c r="K86" i="13" s="1"/>
  <c r="B702" i="13"/>
  <c r="K702" i="13"/>
  <c r="I703" i="13" s="1"/>
  <c r="B345" i="13"/>
  <c r="I346" i="13"/>
  <c r="K346" i="13" s="1"/>
  <c r="B703" i="13" l="1"/>
  <c r="K703" i="13"/>
  <c r="I704" i="13" s="1"/>
  <c r="B86" i="13"/>
  <c r="B843" i="13" s="1"/>
  <c r="C843" i="13" s="1"/>
  <c r="I87" i="13"/>
  <c r="K87" i="13" s="1"/>
  <c r="B176" i="13"/>
  <c r="I177" i="13"/>
  <c r="K177" i="13" s="1"/>
  <c r="I437" i="13"/>
  <c r="K437" i="13" s="1"/>
  <c r="B436" i="13"/>
  <c r="I793" i="13"/>
  <c r="K793" i="13" s="1"/>
  <c r="B792" i="13"/>
  <c r="B256" i="13"/>
  <c r="I257" i="13"/>
  <c r="K257" i="13" s="1"/>
  <c r="I347" i="13"/>
  <c r="K347" i="13" s="1"/>
  <c r="B346" i="13"/>
  <c r="B526" i="13"/>
  <c r="I527" i="13"/>
  <c r="K527" i="13" s="1"/>
  <c r="B614" i="13"/>
  <c r="I615" i="13"/>
  <c r="K615" i="13" s="1"/>
  <c r="B527" i="13" l="1"/>
  <c r="I528" i="13"/>
  <c r="K528" i="13" s="1"/>
  <c r="C844" i="13"/>
  <c r="B844" i="13"/>
  <c r="D844" i="13"/>
  <c r="B347" i="13"/>
  <c r="I348" i="13"/>
  <c r="K348" i="13" s="1"/>
  <c r="I258" i="13"/>
  <c r="K258" i="13" s="1"/>
  <c r="B257" i="13"/>
  <c r="B704" i="13"/>
  <c r="K704" i="13"/>
  <c r="I705" i="13" s="1"/>
  <c r="I438" i="13"/>
  <c r="K438" i="13" s="1"/>
  <c r="B437" i="13"/>
  <c r="B177" i="13"/>
  <c r="I178" i="13"/>
  <c r="K178" i="13" s="1"/>
  <c r="I88" i="13"/>
  <c r="K88" i="13" s="1"/>
  <c r="B87" i="13"/>
  <c r="B615" i="13"/>
  <c r="I617" i="13"/>
  <c r="K617" i="13" s="1"/>
  <c r="B793" i="13"/>
  <c r="I794" i="13"/>
  <c r="K794" i="13" s="1"/>
  <c r="K2" i="2" l="1"/>
  <c r="H2" i="13"/>
  <c r="B258" i="13"/>
  <c r="I259" i="13"/>
  <c r="K259" i="13" s="1"/>
  <c r="B348" i="13"/>
  <c r="I349" i="13"/>
  <c r="K349" i="13" s="1"/>
  <c r="I795" i="13"/>
  <c r="K795" i="13" s="1"/>
  <c r="B794" i="13"/>
  <c r="I89" i="13"/>
  <c r="K89" i="13" s="1"/>
  <c r="B88" i="13"/>
  <c r="I179" i="13"/>
  <c r="K179" i="13" s="1"/>
  <c r="B178" i="13"/>
  <c r="B438" i="13"/>
  <c r="I439" i="13"/>
  <c r="K439" i="13" s="1"/>
  <c r="B705" i="13"/>
  <c r="K705" i="13"/>
  <c r="I706" i="13" s="1"/>
  <c r="F2" i="13"/>
  <c r="G2" i="2"/>
  <c r="I618" i="13"/>
  <c r="K618" i="13" s="1"/>
  <c r="B617" i="13"/>
  <c r="B528" i="13"/>
  <c r="I529" i="13"/>
  <c r="K529" i="13" s="1"/>
  <c r="G2" i="13"/>
  <c r="I2" i="2"/>
  <c r="K2" i="7"/>
  <c r="G2" i="7"/>
  <c r="I2" i="7"/>
  <c r="B706" i="13" l="1"/>
  <c r="K706" i="13"/>
  <c r="I708" i="13" s="1"/>
  <c r="I440" i="13"/>
  <c r="K440" i="13" s="1"/>
  <c r="B439" i="13"/>
  <c r="B349" i="13"/>
  <c r="I350" i="13"/>
  <c r="K350" i="13" s="1"/>
  <c r="B259" i="13"/>
  <c r="I260" i="13"/>
  <c r="K260" i="13" s="1"/>
  <c r="I530" i="13"/>
  <c r="K530" i="13" s="1"/>
  <c r="B529" i="13"/>
  <c r="I619" i="13"/>
  <c r="K619" i="13" s="1"/>
  <c r="B618" i="13"/>
  <c r="I180" i="13"/>
  <c r="K180" i="13" s="1"/>
  <c r="B179" i="13"/>
  <c r="I796" i="13"/>
  <c r="K796" i="13" s="1"/>
  <c r="B795" i="13"/>
  <c r="B89" i="13"/>
  <c r="I91" i="13"/>
  <c r="K91" i="13" s="1"/>
  <c r="B260" i="13" l="1"/>
  <c r="I261" i="13"/>
  <c r="K261" i="13" s="1"/>
  <c r="B180" i="13"/>
  <c r="I182" i="13"/>
  <c r="K182" i="13" s="1"/>
  <c r="I441" i="13"/>
  <c r="K441" i="13" s="1"/>
  <c r="B440" i="13"/>
  <c r="B796" i="13"/>
  <c r="I797" i="13"/>
  <c r="K797" i="13" s="1"/>
  <c r="B619" i="13"/>
  <c r="I620" i="13"/>
  <c r="K620" i="13" s="1"/>
  <c r="I351" i="13"/>
  <c r="K351" i="13" s="1"/>
  <c r="B350" i="13"/>
  <c r="B91" i="13"/>
  <c r="I92" i="13"/>
  <c r="K92" i="13" s="1"/>
  <c r="K708" i="13"/>
  <c r="I709" i="13" s="1"/>
  <c r="K709" i="13" s="1"/>
  <c r="B708" i="13"/>
  <c r="B530" i="13"/>
  <c r="I531" i="13"/>
  <c r="K531" i="13" s="1"/>
  <c r="I710" i="13" l="1"/>
  <c r="K710" i="13" s="1"/>
  <c r="B709" i="13"/>
  <c r="B351" i="13"/>
  <c r="I352" i="13"/>
  <c r="K352" i="13" s="1"/>
  <c r="B92" i="13"/>
  <c r="I93" i="13"/>
  <c r="K93" i="13" s="1"/>
  <c r="B182" i="13"/>
  <c r="I183" i="13"/>
  <c r="K183" i="13" s="1"/>
  <c r="I621" i="13"/>
  <c r="K621" i="13" s="1"/>
  <c r="B620" i="13"/>
  <c r="I263" i="13"/>
  <c r="K263" i="13" s="1"/>
  <c r="B261" i="13"/>
  <c r="I799" i="13"/>
  <c r="K799" i="13" s="1"/>
  <c r="B797" i="13"/>
  <c r="B441" i="13"/>
  <c r="I442" i="13"/>
  <c r="K442" i="13" s="1"/>
  <c r="B531" i="13"/>
  <c r="I532" i="13"/>
  <c r="K532" i="13" s="1"/>
  <c r="B442" i="13" l="1"/>
  <c r="I443" i="13"/>
  <c r="K443" i="13" s="1"/>
  <c r="I184" i="13"/>
  <c r="K184" i="13" s="1"/>
  <c r="B183" i="13"/>
  <c r="B799" i="13"/>
  <c r="I800" i="13"/>
  <c r="K800" i="13" s="1"/>
  <c r="B93" i="13"/>
  <c r="I94" i="13"/>
  <c r="K94" i="13" s="1"/>
  <c r="I264" i="13"/>
  <c r="K264" i="13" s="1"/>
  <c r="B263" i="13"/>
  <c r="I354" i="13"/>
  <c r="K354" i="13" s="1"/>
  <c r="B352" i="13"/>
  <c r="I533" i="13"/>
  <c r="K533" i="13" s="1"/>
  <c r="B532" i="13"/>
  <c r="I622" i="13"/>
  <c r="K622" i="13" s="1"/>
  <c r="B621" i="13"/>
  <c r="I711" i="13"/>
  <c r="K711" i="13" s="1"/>
  <c r="B710" i="13"/>
  <c r="B533" i="13" l="1"/>
  <c r="I534" i="13"/>
  <c r="K534" i="13" s="1"/>
  <c r="B354" i="13"/>
  <c r="I355" i="13"/>
  <c r="K355" i="13" s="1"/>
  <c r="B622" i="13"/>
  <c r="I623" i="13"/>
  <c r="K623" i="13" s="1"/>
  <c r="I445" i="13"/>
  <c r="K445" i="13" s="1"/>
  <c r="B443" i="13"/>
  <c r="B94" i="13"/>
  <c r="I95" i="13"/>
  <c r="K95" i="13" s="1"/>
  <c r="I801" i="13"/>
  <c r="K801" i="13" s="1"/>
  <c r="B800" i="13"/>
  <c r="I185" i="13"/>
  <c r="K185" i="13" s="1"/>
  <c r="B184" i="13"/>
  <c r="I712" i="13"/>
  <c r="K712" i="13" s="1"/>
  <c r="B711" i="13"/>
  <c r="B264" i="13"/>
  <c r="I265" i="13"/>
  <c r="K265" i="13" s="1"/>
  <c r="B355" i="13" l="1"/>
  <c r="I356" i="13"/>
  <c r="K356" i="13" s="1"/>
  <c r="B712" i="13"/>
  <c r="I713" i="13"/>
  <c r="K713" i="13" s="1"/>
  <c r="B801" i="13"/>
  <c r="I802" i="13"/>
  <c r="K802" i="13" s="1"/>
  <c r="B445" i="13"/>
  <c r="I446" i="13"/>
  <c r="K446" i="13" s="1"/>
  <c r="I186" i="13"/>
  <c r="K186" i="13" s="1"/>
  <c r="B185" i="13"/>
  <c r="B265" i="13"/>
  <c r="I266" i="13"/>
  <c r="K266" i="13" s="1"/>
  <c r="B95" i="13"/>
  <c r="I96" i="13"/>
  <c r="K96" i="13" s="1"/>
  <c r="I536" i="13"/>
  <c r="K536" i="13" s="1"/>
  <c r="B534" i="13"/>
  <c r="B623" i="13"/>
  <c r="I624" i="13"/>
  <c r="K624" i="13" s="1"/>
  <c r="I537" i="13" l="1"/>
  <c r="K537" i="13" s="1"/>
  <c r="B536" i="13"/>
  <c r="B266" i="13"/>
  <c r="I267" i="13"/>
  <c r="K267" i="13" s="1"/>
  <c r="B802" i="13"/>
  <c r="I803" i="13"/>
  <c r="K803" i="13" s="1"/>
  <c r="B713" i="13"/>
  <c r="I714" i="13"/>
  <c r="K714" i="13" s="1"/>
  <c r="I447" i="13"/>
  <c r="K447" i="13" s="1"/>
  <c r="B446" i="13"/>
  <c r="B624" i="13"/>
  <c r="I625" i="13"/>
  <c r="K625" i="13" s="1"/>
  <c r="I357" i="13"/>
  <c r="K357" i="13" s="1"/>
  <c r="B356" i="13"/>
  <c r="I97" i="13"/>
  <c r="K97" i="13" s="1"/>
  <c r="B96" i="13"/>
  <c r="I187" i="13"/>
  <c r="K187" i="13" s="1"/>
  <c r="B186" i="13"/>
  <c r="I627" i="13" l="1"/>
  <c r="K627" i="13" s="1"/>
  <c r="B625" i="13"/>
  <c r="I804" i="13"/>
  <c r="K804" i="13" s="1"/>
  <c r="B803" i="13"/>
  <c r="I98" i="13"/>
  <c r="K98" i="13" s="1"/>
  <c r="B97" i="13"/>
  <c r="B267" i="13"/>
  <c r="I268" i="13"/>
  <c r="K268" i="13" s="1"/>
  <c r="I715" i="13"/>
  <c r="K715" i="13" s="1"/>
  <c r="B714" i="13"/>
  <c r="I358" i="13"/>
  <c r="K358" i="13" s="1"/>
  <c r="B357" i="13"/>
  <c r="I188" i="13"/>
  <c r="K188" i="13" s="1"/>
  <c r="B187" i="13"/>
  <c r="B447" i="13"/>
  <c r="I448" i="13"/>
  <c r="K448" i="13" s="1"/>
  <c r="B537" i="13"/>
  <c r="I538" i="13"/>
  <c r="K538" i="13" s="1"/>
  <c r="AB7" i="20" l="1"/>
  <c r="AC7" i="20" s="1"/>
  <c r="B268" i="13"/>
  <c r="I269" i="13"/>
  <c r="K269" i="13" s="1"/>
  <c r="B358" i="13"/>
  <c r="I359" i="13"/>
  <c r="K359" i="13" s="1"/>
  <c r="I449" i="13"/>
  <c r="K449" i="13" s="1"/>
  <c r="B448" i="13"/>
  <c r="B188" i="13"/>
  <c r="I189" i="13"/>
  <c r="K189" i="13" s="1"/>
  <c r="B98" i="13"/>
  <c r="I99" i="13"/>
  <c r="K99" i="13" s="1"/>
  <c r="I805" i="13"/>
  <c r="K805" i="13" s="1"/>
  <c r="B804" i="13"/>
  <c r="B538" i="13"/>
  <c r="I539" i="13"/>
  <c r="K539" i="13" s="1"/>
  <c r="I716" i="13"/>
  <c r="K716" i="13" s="1"/>
  <c r="B715" i="13"/>
  <c r="B627" i="13"/>
  <c r="I628" i="13"/>
  <c r="K628" i="13" s="1"/>
  <c r="Q7" i="20" l="1"/>
  <c r="Y7" i="20" s="1"/>
  <c r="R7" i="20"/>
  <c r="Z7" i="20" s="1"/>
  <c r="P7" i="20"/>
  <c r="X7" i="20" s="1"/>
  <c r="I540" i="13"/>
  <c r="K540" i="13" s="1"/>
  <c r="B539" i="13"/>
  <c r="I806" i="13"/>
  <c r="K806" i="13" s="1"/>
  <c r="B805" i="13"/>
  <c r="I360" i="13"/>
  <c r="K360" i="13" s="1"/>
  <c r="B359" i="13"/>
  <c r="I629" i="13"/>
  <c r="K629" i="13" s="1"/>
  <c r="B628" i="13"/>
  <c r="I270" i="13"/>
  <c r="K270" i="13" s="1"/>
  <c r="B269" i="13"/>
  <c r="I190" i="13"/>
  <c r="K190" i="13" s="1"/>
  <c r="B189" i="13"/>
  <c r="I450" i="13"/>
  <c r="K450" i="13" s="1"/>
  <c r="B449" i="13"/>
  <c r="B99" i="13"/>
  <c r="P100" i="13"/>
  <c r="B716" i="13"/>
  <c r="I718" i="13"/>
  <c r="K718" i="13" s="1"/>
  <c r="T7" i="20" l="1"/>
  <c r="O7" i="20"/>
  <c r="I451" i="13"/>
  <c r="K451" i="13" s="1"/>
  <c r="B450" i="13"/>
  <c r="B806" i="13"/>
  <c r="I807" i="13"/>
  <c r="K807" i="13" s="1"/>
  <c r="B629" i="13"/>
  <c r="I630" i="13"/>
  <c r="K630" i="13" s="1"/>
  <c r="I361" i="13"/>
  <c r="K361" i="13" s="1"/>
  <c r="B360" i="13"/>
  <c r="P191" i="13"/>
  <c r="B190" i="13"/>
  <c r="I719" i="13"/>
  <c r="K719" i="13" s="1"/>
  <c r="B718" i="13"/>
  <c r="I271" i="13"/>
  <c r="K271" i="13" s="1"/>
  <c r="B270" i="13"/>
  <c r="B540" i="13"/>
  <c r="I541" i="13"/>
  <c r="K541" i="13" s="1"/>
  <c r="B271" i="13" l="1"/>
  <c r="I273" i="13"/>
  <c r="K273" i="13" s="1"/>
  <c r="B630" i="13"/>
  <c r="I631" i="13"/>
  <c r="K631" i="13" s="1"/>
  <c r="B807" i="13"/>
  <c r="I809" i="13"/>
  <c r="K809" i="13" s="1"/>
  <c r="I452" i="13"/>
  <c r="K452" i="13" s="1"/>
  <c r="B451" i="13"/>
  <c r="I362" i="13"/>
  <c r="K362" i="13" s="1"/>
  <c r="B361" i="13"/>
  <c r="I720" i="13"/>
  <c r="K720" i="13" s="1"/>
  <c r="B719" i="13"/>
  <c r="B541" i="13"/>
  <c r="I542" i="13"/>
  <c r="K542" i="13" s="1"/>
  <c r="B542" i="13" l="1"/>
  <c r="I543" i="13"/>
  <c r="K543" i="13" s="1"/>
  <c r="B631" i="13"/>
  <c r="I632" i="13"/>
  <c r="K632" i="13" s="1"/>
  <c r="I810" i="13"/>
  <c r="K810" i="13" s="1"/>
  <c r="B809" i="13"/>
  <c r="B452" i="13"/>
  <c r="I453" i="13"/>
  <c r="K453" i="13" s="1"/>
  <c r="I721" i="13"/>
  <c r="K721" i="13" s="1"/>
  <c r="B720" i="13"/>
  <c r="B273" i="13"/>
  <c r="I274" i="13"/>
  <c r="K274" i="13" s="1"/>
  <c r="I364" i="13"/>
  <c r="K364" i="13" s="1"/>
  <c r="B362" i="13"/>
  <c r="I455" i="13" l="1"/>
  <c r="K455" i="13" s="1"/>
  <c r="B453" i="13"/>
  <c r="I811" i="13"/>
  <c r="K811" i="13" s="1"/>
  <c r="B810" i="13"/>
  <c r="I275" i="13"/>
  <c r="K275" i="13" s="1"/>
  <c r="B274" i="13"/>
  <c r="I544" i="13"/>
  <c r="K544" i="13" s="1"/>
  <c r="B543" i="13"/>
  <c r="I365" i="13"/>
  <c r="K365" i="13" s="1"/>
  <c r="B364" i="13"/>
  <c r="I633" i="13"/>
  <c r="K633" i="13" s="1"/>
  <c r="B632" i="13"/>
  <c r="B721" i="13"/>
  <c r="I722" i="13"/>
  <c r="K722" i="13" s="1"/>
  <c r="B544" i="13" l="1"/>
  <c r="I546" i="13"/>
  <c r="K546" i="13" s="1"/>
  <c r="B722" i="13"/>
  <c r="I723" i="13"/>
  <c r="K723" i="13" s="1"/>
  <c r="B633" i="13"/>
  <c r="I634" i="13"/>
  <c r="K634" i="13" s="1"/>
  <c r="I276" i="13"/>
  <c r="K276" i="13" s="1"/>
  <c r="B275" i="13"/>
  <c r="B811" i="13"/>
  <c r="I812" i="13"/>
  <c r="K812" i="13" s="1"/>
  <c r="B365" i="13"/>
  <c r="I366" i="13"/>
  <c r="K366" i="13" s="1"/>
  <c r="I456" i="13"/>
  <c r="K456" i="13" s="1"/>
  <c r="B455" i="13"/>
  <c r="B456" i="13" l="1"/>
  <c r="I457" i="13"/>
  <c r="K457" i="13" s="1"/>
  <c r="B634" i="13"/>
  <c r="I635" i="13"/>
  <c r="K635" i="13" s="1"/>
  <c r="I367" i="13"/>
  <c r="K367" i="13" s="1"/>
  <c r="B366" i="13"/>
  <c r="AB111" i="20" s="1"/>
  <c r="AC111" i="20" s="1"/>
  <c r="I547" i="13"/>
  <c r="K547" i="13" s="1"/>
  <c r="B546" i="13"/>
  <c r="AB21" i="20" s="1"/>
  <c r="AC21" i="20" s="1"/>
  <c r="I277" i="13"/>
  <c r="K277" i="13" s="1"/>
  <c r="B276" i="13"/>
  <c r="B840" i="13" s="1"/>
  <c r="C840" i="13" s="1"/>
  <c r="I724" i="13"/>
  <c r="K724" i="13" s="1"/>
  <c r="B723" i="13"/>
  <c r="B812" i="13"/>
  <c r="I813" i="13"/>
  <c r="K813" i="13" s="1"/>
  <c r="Q111" i="20" l="1"/>
  <c r="Y111" i="20" s="1"/>
  <c r="R111" i="20"/>
  <c r="Z111" i="20" s="1"/>
  <c r="P111" i="20"/>
  <c r="X111" i="20" s="1"/>
  <c r="P21" i="20"/>
  <c r="X21" i="20" s="1"/>
  <c r="R21" i="20"/>
  <c r="Z21" i="20" s="1"/>
  <c r="Q21" i="20"/>
  <c r="Y21" i="20" s="1"/>
  <c r="B813" i="13"/>
  <c r="I814" i="13"/>
  <c r="K814" i="13" s="1"/>
  <c r="B547" i="13"/>
  <c r="I548" i="13"/>
  <c r="K548" i="13" s="1"/>
  <c r="I637" i="13"/>
  <c r="K637" i="13" s="1"/>
  <c r="B635" i="13"/>
  <c r="B367" i="13"/>
  <c r="I368" i="13"/>
  <c r="K368" i="13" s="1"/>
  <c r="I725" i="13"/>
  <c r="K725" i="13" s="1"/>
  <c r="B724" i="13"/>
  <c r="I458" i="13"/>
  <c r="K458" i="13" s="1"/>
  <c r="B457" i="13"/>
  <c r="B841" i="13"/>
  <c r="D841" i="13"/>
  <c r="C841" i="13"/>
  <c r="I278" i="13"/>
  <c r="K278" i="13" s="1"/>
  <c r="B277" i="13"/>
  <c r="T111" i="20" l="1"/>
  <c r="O111" i="20"/>
  <c r="O21" i="20"/>
  <c r="T21" i="20"/>
  <c r="B278" i="13"/>
  <c r="I279" i="13"/>
  <c r="K279" i="13" s="1"/>
  <c r="I369" i="13"/>
  <c r="K369" i="13" s="1"/>
  <c r="B368" i="13"/>
  <c r="F3" i="13"/>
  <c r="G2" i="9"/>
  <c r="I459" i="13"/>
  <c r="K459" i="13" s="1"/>
  <c r="B458" i="13"/>
  <c r="I2" i="9"/>
  <c r="G3" i="13"/>
  <c r="I638" i="13"/>
  <c r="K638" i="13" s="1"/>
  <c r="B637" i="13"/>
  <c r="K2" i="9"/>
  <c r="H3" i="13"/>
  <c r="B548" i="13"/>
  <c r="I549" i="13"/>
  <c r="K549" i="13" s="1"/>
  <c r="I815" i="13"/>
  <c r="K815" i="13" s="1"/>
  <c r="B814" i="13"/>
  <c r="I726" i="13"/>
  <c r="K726" i="13" s="1"/>
  <c r="B725" i="13"/>
  <c r="I460" i="13" l="1"/>
  <c r="K460" i="13" s="1"/>
  <c r="B459" i="13"/>
  <c r="I550" i="13"/>
  <c r="K550" i="13" s="1"/>
  <c r="B549" i="13"/>
  <c r="B638" i="13"/>
  <c r="I639" i="13"/>
  <c r="K639" i="13" s="1"/>
  <c r="I370" i="13"/>
  <c r="K370" i="13" s="1"/>
  <c r="B369" i="13"/>
  <c r="B279" i="13"/>
  <c r="I280" i="13"/>
  <c r="K280" i="13" s="1"/>
  <c r="B726" i="13"/>
  <c r="I728" i="13"/>
  <c r="K728" i="13" s="1"/>
  <c r="I816" i="13"/>
  <c r="K816" i="13" s="1"/>
  <c r="B815" i="13"/>
  <c r="B816" i="13" l="1"/>
  <c r="I817" i="13"/>
  <c r="K817" i="13" s="1"/>
  <c r="I640" i="13"/>
  <c r="K640" i="13" s="1"/>
  <c r="B639" i="13"/>
  <c r="I281" i="13"/>
  <c r="K281" i="13" s="1"/>
  <c r="B280" i="13"/>
  <c r="B370" i="13"/>
  <c r="I371" i="13"/>
  <c r="K371" i="13" s="1"/>
  <c r="I729" i="13"/>
  <c r="K729" i="13" s="1"/>
  <c r="B728" i="13"/>
  <c r="I551" i="13"/>
  <c r="K551" i="13" s="1"/>
  <c r="B550" i="13"/>
  <c r="B460" i="13"/>
  <c r="I461" i="13"/>
  <c r="K461" i="13" s="1"/>
  <c r="I462" i="13" l="1"/>
  <c r="K462" i="13" s="1"/>
  <c r="B461" i="13"/>
  <c r="I552" i="13"/>
  <c r="K552" i="13" s="1"/>
  <c r="B551" i="13"/>
  <c r="I372" i="13"/>
  <c r="K372" i="13" s="1"/>
  <c r="B371" i="13"/>
  <c r="B817" i="13"/>
  <c r="I819" i="13"/>
  <c r="K819" i="13" s="1"/>
  <c r="P282" i="13"/>
  <c r="B281" i="13"/>
  <c r="I641" i="13"/>
  <c r="K641" i="13" s="1"/>
  <c r="B640" i="13"/>
  <c r="B729" i="13"/>
  <c r="I730" i="13"/>
  <c r="K730" i="13" s="1"/>
  <c r="P373" i="13" l="1"/>
  <c r="B372" i="13"/>
  <c r="I731" i="13"/>
  <c r="K731" i="13" s="1"/>
  <c r="B730" i="13"/>
  <c r="I553" i="13"/>
  <c r="K553" i="13" s="1"/>
  <c r="B552" i="13"/>
  <c r="I642" i="13"/>
  <c r="K642" i="13" s="1"/>
  <c r="B641" i="13"/>
  <c r="I820" i="13"/>
  <c r="K820" i="13" s="1"/>
  <c r="B819" i="13"/>
  <c r="I463" i="13"/>
  <c r="K463" i="13" s="1"/>
  <c r="B462" i="13"/>
  <c r="I643" i="13" l="1"/>
  <c r="K643" i="13" s="1"/>
  <c r="B642" i="13"/>
  <c r="P464" i="13"/>
  <c r="B463" i="13"/>
  <c r="I554" i="13"/>
  <c r="K554" i="13" s="1"/>
  <c r="B553" i="13"/>
  <c r="B731" i="13"/>
  <c r="I732" i="13"/>
  <c r="K732" i="13" s="1"/>
  <c r="I821" i="13"/>
  <c r="K821" i="13" s="1"/>
  <c r="B820" i="13"/>
  <c r="I733" i="13" l="1"/>
  <c r="K733" i="13" s="1"/>
  <c r="B732" i="13"/>
  <c r="P555" i="13"/>
  <c r="B554" i="13"/>
  <c r="B821" i="13"/>
  <c r="I822" i="13"/>
  <c r="K822" i="13" s="1"/>
  <c r="B643" i="13"/>
  <c r="I644" i="13"/>
  <c r="K644" i="13" s="1"/>
  <c r="B822" i="13" l="1"/>
  <c r="I823" i="13"/>
  <c r="K823" i="13" s="1"/>
  <c r="I645" i="13"/>
  <c r="K645" i="13" s="1"/>
  <c r="B644" i="13"/>
  <c r="B733" i="13"/>
  <c r="I734" i="13"/>
  <c r="K734" i="13" s="1"/>
  <c r="I735" i="13" l="1"/>
  <c r="K735" i="13" s="1"/>
  <c r="B734" i="13"/>
  <c r="B645" i="13"/>
  <c r="P646" i="13"/>
  <c r="I824" i="13"/>
  <c r="K824" i="13" s="1"/>
  <c r="B823" i="13"/>
  <c r="I825" i="13" l="1"/>
  <c r="K825" i="13" s="1"/>
  <c r="B824" i="13"/>
  <c r="B735" i="13"/>
  <c r="I736" i="13"/>
  <c r="K736" i="13" s="1"/>
  <c r="P737" i="13" l="1"/>
  <c r="B736" i="13"/>
  <c r="B825" i="13"/>
  <c r="I826" i="13"/>
  <c r="K826" i="13" s="1"/>
  <c r="I827" i="13" l="1"/>
  <c r="K827" i="13" s="1"/>
  <c r="B826" i="13"/>
  <c r="B827" i="13" l="1"/>
  <c r="P828" i="13"/>
  <c r="P7" i="13" s="1"/>
</calcChain>
</file>

<file path=xl/comments1.xml><?xml version="1.0" encoding="utf-8"?>
<comments xmlns="http://schemas.openxmlformats.org/spreadsheetml/2006/main">
  <authors>
    <author>Prithwis Mukerjee</author>
  </authors>
  <commentList>
    <comment ref="C26" authorId="0" shapeId="0">
      <text>
        <r>
          <rPr>
            <b/>
            <sz val="9"/>
            <color indexed="81"/>
            <rFont val="Tahoma"/>
            <family val="2"/>
          </rPr>
          <t>Prithwis Mukerjee:</t>
        </r>
        <r>
          <rPr>
            <sz val="9"/>
            <color indexed="81"/>
            <rFont val="Tahoma"/>
            <family val="2"/>
          </rPr>
          <t xml:space="preserve">
Place RASHI numbers here : 1 for Aries, .. 12 for Pisces etc … in this row</t>
        </r>
      </text>
    </comment>
  </commentList>
</comments>
</file>

<file path=xl/comments2.xml><?xml version="1.0" encoding="utf-8"?>
<comments xmlns="http://schemas.openxmlformats.org/spreadsheetml/2006/main">
  <authors>
    <author>Prithwis Mukerjee</author>
  </authors>
  <commentList>
    <comment ref="C26" authorId="0" shapeId="0">
      <text>
        <r>
          <rPr>
            <b/>
            <sz val="9"/>
            <color indexed="81"/>
            <rFont val="Tahoma"/>
            <family val="2"/>
          </rPr>
          <t>Prithwis Mukerjee:</t>
        </r>
        <r>
          <rPr>
            <sz val="9"/>
            <color indexed="81"/>
            <rFont val="Tahoma"/>
            <family val="2"/>
          </rPr>
          <t xml:space="preserve">
Place RASHI numbers here : 1 for Aries, .. 12 for Pisces etc … in this row</t>
        </r>
      </text>
    </comment>
  </commentList>
</comments>
</file>

<file path=xl/comments3.xml><?xml version="1.0" encoding="utf-8"?>
<comments xmlns="http://schemas.openxmlformats.org/spreadsheetml/2006/main">
  <authors>
    <author>Prithwis Mukerjee</author>
  </authors>
  <commentList>
    <comment ref="C26" authorId="0" shapeId="0">
      <text>
        <r>
          <rPr>
            <b/>
            <sz val="9"/>
            <color indexed="81"/>
            <rFont val="Tahoma"/>
            <family val="2"/>
          </rPr>
          <t>Prithwis Mukerjee:</t>
        </r>
        <r>
          <rPr>
            <sz val="9"/>
            <color indexed="81"/>
            <rFont val="Tahoma"/>
            <family val="2"/>
          </rPr>
          <t xml:space="preserve">
Place RASHI numbers here : 1 for Aries, .. 12 for Pisces etc … in this row</t>
        </r>
      </text>
    </comment>
  </commentList>
</comments>
</file>

<file path=xl/sharedStrings.xml><?xml version="1.0" encoding="utf-8"?>
<sst xmlns="http://schemas.openxmlformats.org/spreadsheetml/2006/main" count="2109" uniqueCount="632">
  <si>
    <t>Name</t>
  </si>
  <si>
    <t>Position</t>
  </si>
  <si>
    <t>Lagna</t>
  </si>
  <si>
    <t>Sun</t>
  </si>
  <si>
    <t>Moon</t>
  </si>
  <si>
    <t>Mercury</t>
  </si>
  <si>
    <t>Venus</t>
  </si>
  <si>
    <t>Mars</t>
  </si>
  <si>
    <t>Jupiter</t>
  </si>
  <si>
    <t>Saturn</t>
  </si>
  <si>
    <t>Rahu</t>
  </si>
  <si>
    <t>Ketu</t>
  </si>
  <si>
    <t>Grahas</t>
  </si>
  <si>
    <t>Lords</t>
  </si>
  <si>
    <t>Bhava</t>
  </si>
  <si>
    <t>&lt;= FactID</t>
  </si>
  <si>
    <t>lagna</t>
  </si>
  <si>
    <t>sun</t>
  </si>
  <si>
    <t>moon</t>
  </si>
  <si>
    <t>mercury</t>
  </si>
  <si>
    <t>venus</t>
  </si>
  <si>
    <t>mars</t>
  </si>
  <si>
    <t>jupiter</t>
  </si>
  <si>
    <t>saturn</t>
  </si>
  <si>
    <t>rahu</t>
  </si>
  <si>
    <t>ketu</t>
  </si>
  <si>
    <t>first lord</t>
  </si>
  <si>
    <t>second lord</t>
  </si>
  <si>
    <t>third lord</t>
  </si>
  <si>
    <t>fourth lord</t>
  </si>
  <si>
    <t>fifth lord</t>
  </si>
  <si>
    <t>sixth lord</t>
  </si>
  <si>
    <t>seventh lord</t>
  </si>
  <si>
    <t>eighth lord</t>
  </si>
  <si>
    <t>ninth lord</t>
  </si>
  <si>
    <t>tenth lord</t>
  </si>
  <si>
    <t>eleventh lord</t>
  </si>
  <si>
    <t>twelveth lord</t>
  </si>
  <si>
    <t>first bhava</t>
  </si>
  <si>
    <t>second bhava</t>
  </si>
  <si>
    <t>third bhava</t>
  </si>
  <si>
    <t>fourth bhava</t>
  </si>
  <si>
    <t>fifth bhava</t>
  </si>
  <si>
    <t>sixth bhava</t>
  </si>
  <si>
    <t>seventh bhava</t>
  </si>
  <si>
    <t>eighth bhava</t>
  </si>
  <si>
    <t>ninth bhava</t>
  </si>
  <si>
    <t>tenth bhava</t>
  </si>
  <si>
    <t>eleventh bhava</t>
  </si>
  <si>
    <t>twelveth bhava</t>
  </si>
  <si>
    <t>+</t>
  </si>
  <si>
    <t>ObjectID =&gt;</t>
  </si>
  <si>
    <t>X00</t>
  </si>
  <si>
    <t>X11</t>
  </si>
  <si>
    <t>X12</t>
  </si>
  <si>
    <t>X13</t>
  </si>
  <si>
    <t>X14</t>
  </si>
  <si>
    <t>X15</t>
  </si>
  <si>
    <t>X16</t>
  </si>
  <si>
    <t>X17</t>
  </si>
  <si>
    <t>X18</t>
  </si>
  <si>
    <t>X19</t>
  </si>
  <si>
    <t>X21</t>
  </si>
  <si>
    <t>X22</t>
  </si>
  <si>
    <t>X23</t>
  </si>
  <si>
    <t>X24</t>
  </si>
  <si>
    <t>X25</t>
  </si>
  <si>
    <t>X26</t>
  </si>
  <si>
    <t>X27</t>
  </si>
  <si>
    <t>X28</t>
  </si>
  <si>
    <t>X29</t>
  </si>
  <si>
    <t>X30</t>
  </si>
  <si>
    <t>X31</t>
  </si>
  <si>
    <t>X32</t>
  </si>
  <si>
    <t>X41</t>
  </si>
  <si>
    <t>X42</t>
  </si>
  <si>
    <t>X43</t>
  </si>
  <si>
    <t>X44</t>
  </si>
  <si>
    <t>X46</t>
  </si>
  <si>
    <t>X47</t>
  </si>
  <si>
    <t>X48</t>
  </si>
  <si>
    <t>X49</t>
  </si>
  <si>
    <t>X50</t>
  </si>
  <si>
    <t>X51</t>
  </si>
  <si>
    <t>X52</t>
  </si>
  <si>
    <t>Location</t>
  </si>
  <si>
    <t>Y00</t>
  </si>
  <si>
    <t>Rashi where Resident</t>
  </si>
  <si>
    <t>Y01</t>
  </si>
  <si>
    <t xml:space="preserve">Longitude </t>
  </si>
  <si>
    <t>Y02</t>
  </si>
  <si>
    <t>Nakshatra Number</t>
  </si>
  <si>
    <t>Rashi check</t>
  </si>
  <si>
    <t>Y03</t>
  </si>
  <si>
    <t>Bhava where resident</t>
  </si>
  <si>
    <t>Y04</t>
  </si>
  <si>
    <t>Bhava where this graha is lord</t>
  </si>
  <si>
    <t>Y05</t>
  </si>
  <si>
    <t>Y06</t>
  </si>
  <si>
    <t>Graha corresponding to this Lord</t>
  </si>
  <si>
    <t>Y11</t>
  </si>
  <si>
    <t>is</t>
  </si>
  <si>
    <t>exalted</t>
  </si>
  <si>
    <t>Y12</t>
  </si>
  <si>
    <t>debilitated</t>
  </si>
  <si>
    <t>Y13</t>
  </si>
  <si>
    <t>at moolatrikona</t>
  </si>
  <si>
    <t>Y14</t>
  </si>
  <si>
    <t xml:space="preserve">in own house </t>
  </si>
  <si>
    <t>Y15</t>
  </si>
  <si>
    <t>in friendly house</t>
  </si>
  <si>
    <t>Y16</t>
  </si>
  <si>
    <t>in hostile house</t>
  </si>
  <si>
    <t>Y17</t>
  </si>
  <si>
    <t>in neutral house</t>
  </si>
  <si>
    <t>Y18</t>
  </si>
  <si>
    <t>retrograde</t>
  </si>
  <si>
    <t>Aspects</t>
  </si>
  <si>
    <t>Y21</t>
  </si>
  <si>
    <t>aspected by</t>
  </si>
  <si>
    <t>Y22</t>
  </si>
  <si>
    <t>Y23</t>
  </si>
  <si>
    <t>Y24</t>
  </si>
  <si>
    <t>Y25</t>
  </si>
  <si>
    <t>Y26</t>
  </si>
  <si>
    <t>Y27</t>
  </si>
  <si>
    <t>Y28</t>
  </si>
  <si>
    <t>Y29</t>
  </si>
  <si>
    <t>Y31</t>
  </si>
  <si>
    <t>Y32</t>
  </si>
  <si>
    <t>Y33</t>
  </si>
  <si>
    <t>Y34</t>
  </si>
  <si>
    <t>Y35</t>
  </si>
  <si>
    <t>Y36</t>
  </si>
  <si>
    <t>Y37</t>
  </si>
  <si>
    <t>Y38</t>
  </si>
  <si>
    <t>Y39</t>
  </si>
  <si>
    <t>Y40</t>
  </si>
  <si>
    <t>Y41</t>
  </si>
  <si>
    <t>Y42</t>
  </si>
  <si>
    <t>Conjunctions</t>
  </si>
  <si>
    <t>Y51</t>
  </si>
  <si>
    <t>conjunct with</t>
  </si>
  <si>
    <t>Y52</t>
  </si>
  <si>
    <t xml:space="preserve">moon </t>
  </si>
  <si>
    <t>Y53</t>
  </si>
  <si>
    <t>Y54</t>
  </si>
  <si>
    <t>Y55</t>
  </si>
  <si>
    <t>Y56</t>
  </si>
  <si>
    <t>Y57</t>
  </si>
  <si>
    <t>Y58</t>
  </si>
  <si>
    <t>Y59</t>
  </si>
  <si>
    <t>Y61</t>
  </si>
  <si>
    <t>Y62</t>
  </si>
  <si>
    <t>Y63</t>
  </si>
  <si>
    <t>Y64</t>
  </si>
  <si>
    <t>Y65</t>
  </si>
  <si>
    <t>Y66</t>
  </si>
  <si>
    <t>Y67</t>
  </si>
  <si>
    <t>Y68</t>
  </si>
  <si>
    <t>Y69</t>
  </si>
  <si>
    <t>Y70</t>
  </si>
  <si>
    <t>Y71</t>
  </si>
  <si>
    <t>Y72</t>
  </si>
  <si>
    <t>Residency</t>
  </si>
  <si>
    <t>YAA</t>
  </si>
  <si>
    <t>resident in</t>
  </si>
  <si>
    <t>aries</t>
  </si>
  <si>
    <t>YAB</t>
  </si>
  <si>
    <t>taurus</t>
  </si>
  <si>
    <t>YAC</t>
  </si>
  <si>
    <t>gemini</t>
  </si>
  <si>
    <t>YAD</t>
  </si>
  <si>
    <t>cancer</t>
  </si>
  <si>
    <t>YAE</t>
  </si>
  <si>
    <t>leo</t>
  </si>
  <si>
    <t>YAF</t>
  </si>
  <si>
    <t>virgo</t>
  </si>
  <si>
    <t>YAG</t>
  </si>
  <si>
    <t>libra</t>
  </si>
  <si>
    <t>YAH</t>
  </si>
  <si>
    <t>scorpio</t>
  </si>
  <si>
    <t>YAI</t>
  </si>
  <si>
    <t>sagitarrius</t>
  </si>
  <si>
    <t>YAJ</t>
  </si>
  <si>
    <t>capricorn</t>
  </si>
  <si>
    <t>YAK</t>
  </si>
  <si>
    <t>aquarius</t>
  </si>
  <si>
    <t>YAL</t>
  </si>
  <si>
    <t>pisces</t>
  </si>
  <si>
    <t>YAM</t>
  </si>
  <si>
    <t>YAN</t>
  </si>
  <si>
    <t>YAO</t>
  </si>
  <si>
    <t>YAP</t>
  </si>
  <si>
    <t>YAQ</t>
  </si>
  <si>
    <t>YAR</t>
  </si>
  <si>
    <t>YAS</t>
  </si>
  <si>
    <t>YAT</t>
  </si>
  <si>
    <t>YAU</t>
  </si>
  <si>
    <t>YAV</t>
  </si>
  <si>
    <t>YAW</t>
  </si>
  <si>
    <t>YAX</t>
  </si>
  <si>
    <t>1=&gt;</t>
  </si>
  <si>
    <t>&lt;=1</t>
  </si>
  <si>
    <t>Retro</t>
  </si>
  <si>
    <t>South India Style</t>
  </si>
  <si>
    <t>East India Style</t>
  </si>
  <si>
    <t>Quasi North India Style</t>
  </si>
  <si>
    <t>rule template =&gt;</t>
  </si>
  <si>
    <t>Stack of Rules : maximum 12</t>
  </si>
  <si>
    <t>object</t>
  </si>
  <si>
    <t>fact</t>
  </si>
  <si>
    <t>no rule above the line</t>
  </si>
  <si>
    <t>no rule below the line</t>
  </si>
  <si>
    <t>Positions -- Basic</t>
  </si>
  <si>
    <t>'))</t>
  </si>
  <si>
    <t>old rule template =&gt;</t>
  </si>
  <si>
    <t>select chartid from pac where obid = nkode('</t>
  </si>
  <si>
    <t>') and factid = nkode('</t>
  </si>
  <si>
    <t>output</t>
  </si>
  <si>
    <t xml:space="preserve">    </t>
  </si>
  <si>
    <t>BirthDate</t>
  </si>
  <si>
    <t>Day-dd</t>
  </si>
  <si>
    <t>Month-mm</t>
  </si>
  <si>
    <t>Year-yyyy</t>
  </si>
  <si>
    <t>Hour-hh</t>
  </si>
  <si>
    <t>Min-mm</t>
  </si>
  <si>
    <t>BirthTime - UT</t>
  </si>
  <si>
    <t>Deg</t>
  </si>
  <si>
    <t>Min</t>
  </si>
  <si>
    <t>Long</t>
  </si>
  <si>
    <t>Lat</t>
  </si>
  <si>
    <t>Extra Params</t>
  </si>
  <si>
    <t>Final Param</t>
  </si>
  <si>
    <t>Ayanamsa</t>
  </si>
  <si>
    <t>Location of Birth</t>
  </si>
  <si>
    <t>Longitude</t>
  </si>
  <si>
    <t>East</t>
  </si>
  <si>
    <t>West</t>
  </si>
  <si>
    <t>E or W</t>
  </si>
  <si>
    <t>Latitude</t>
  </si>
  <si>
    <t>N or S</t>
  </si>
  <si>
    <t>North</t>
  </si>
  <si>
    <t>South</t>
  </si>
  <si>
    <t>Time Diff with UT</t>
  </si>
  <si>
    <t>Hours</t>
  </si>
  <si>
    <t>Mins</t>
  </si>
  <si>
    <t>Universal Time</t>
  </si>
  <si>
    <t>Corrected UT</t>
  </si>
  <si>
    <t>Birth Date</t>
  </si>
  <si>
    <t>Day</t>
  </si>
  <si>
    <t>Month</t>
  </si>
  <si>
    <t>Year</t>
  </si>
  <si>
    <t xml:space="preserve"> -edir. -fPsl  -house  -g,   -head -p0123456mt </t>
  </si>
  <si>
    <t xml:space="preserve">Moon </t>
  </si>
  <si>
    <t>House</t>
  </si>
  <si>
    <t>:</t>
  </si>
  <si>
    <t>D</t>
  </si>
  <si>
    <t>M</t>
  </si>
  <si>
    <t xml:space="preserve">Birth Time </t>
  </si>
  <si>
    <t>Retro ?</t>
  </si>
  <si>
    <t>stop</t>
  </si>
  <si>
    <t>Patterns that are of interest</t>
  </si>
  <si>
    <t>Dhana Yoga</t>
  </si>
  <si>
    <t>Raja Yoga</t>
  </si>
  <si>
    <t>d10</t>
  </si>
  <si>
    <t>d11</t>
  </si>
  <si>
    <t>d01</t>
  </si>
  <si>
    <t>d02</t>
  </si>
  <si>
    <t>d03</t>
  </si>
  <si>
    <t>d04</t>
  </si>
  <si>
    <t>d05</t>
  </si>
  <si>
    <t>d06</t>
  </si>
  <si>
    <t>d07</t>
  </si>
  <si>
    <t>d08</t>
  </si>
  <si>
    <t>d09</t>
  </si>
  <si>
    <t>password = parashar in all sheets</t>
  </si>
  <si>
    <t>Natal</t>
  </si>
  <si>
    <t>Source Sheet</t>
  </si>
  <si>
    <t>dhana yoga</t>
  </si>
  <si>
    <t>raja yoga</t>
  </si>
  <si>
    <t>found ?</t>
  </si>
  <si>
    <t>print ?</t>
  </si>
  <si>
    <t>c01</t>
  </si>
  <si>
    <t>c02</t>
  </si>
  <si>
    <t>r01</t>
  </si>
  <si>
    <t>r02</t>
  </si>
  <si>
    <t>r03</t>
  </si>
  <si>
    <t>r04</t>
  </si>
  <si>
    <t>r05</t>
  </si>
  <si>
    <t>r06</t>
  </si>
  <si>
    <t>r07</t>
  </si>
  <si>
    <t>r08</t>
  </si>
  <si>
    <t>r09</t>
  </si>
  <si>
    <t>r10</t>
  </si>
  <si>
    <t>Composite Rule 001</t>
  </si>
  <si>
    <t>Composite Rule 002</t>
  </si>
  <si>
    <t>Implication of Composite Rule 001</t>
  </si>
  <si>
    <t>Implication of Composite Rule 002</t>
  </si>
  <si>
    <t>Y19</t>
  </si>
  <si>
    <t>Y20</t>
  </si>
  <si>
    <t>malefic</t>
  </si>
  <si>
    <t>benefic</t>
  </si>
  <si>
    <t>Y</t>
  </si>
  <si>
    <t>is malefic</t>
  </si>
  <si>
    <t>is benefic</t>
  </si>
  <si>
    <t>Calcutta</t>
  </si>
  <si>
    <t>P</t>
  </si>
  <si>
    <t>natal</t>
  </si>
  <si>
    <t>Current</t>
  </si>
  <si>
    <t xml:space="preserve"> </t>
  </si>
  <si>
    <t>Calculated</t>
  </si>
  <si>
    <t>natal moon</t>
  </si>
  <si>
    <t>chart</t>
  </si>
  <si>
    <t>Direct</t>
  </si>
  <si>
    <t>Natal Positions</t>
  </si>
  <si>
    <t>Experimental Pattern Templates</t>
  </si>
  <si>
    <t>g01</t>
  </si>
  <si>
    <t>Testing House Distance Between Two Objects</t>
  </si>
  <si>
    <t>2</t>
  </si>
  <si>
    <t>houses gap</t>
  </si>
  <si>
    <t>specific</t>
  </si>
  <si>
    <t>*</t>
  </si>
  <si>
    <t>--- end of report -----</t>
  </si>
  <si>
    <t>Moon Long</t>
  </si>
  <si>
    <t>Nak</t>
  </si>
  <si>
    <t>Remainder</t>
  </si>
  <si>
    <t>First Dasha</t>
  </si>
  <si>
    <t>Full Dasha</t>
  </si>
  <si>
    <t>Consumed</t>
  </si>
  <si>
    <t>Specific</t>
  </si>
  <si>
    <t>Dasha</t>
  </si>
  <si>
    <t>Antardasha</t>
  </si>
  <si>
    <t>Dasha and Antardasha Cycles</t>
  </si>
  <si>
    <t>Specific Date</t>
  </si>
  <si>
    <t>natal lords</t>
  </si>
  <si>
    <t>Positions : Aspects : Conjuncts in</t>
  </si>
  <si>
    <t>@ = lagna or ascendant</t>
  </si>
  <si>
    <t xml:space="preserve"># = rashi or natal moon </t>
  </si>
  <si>
    <t>'</t>
  </si>
  <si>
    <t>select chartid from pac2 where kause = '</t>
  </si>
  <si>
    <t>X99</t>
  </si>
  <si>
    <t>with Chart ID</t>
  </si>
  <si>
    <t>for AstrologerID</t>
  </si>
  <si>
    <t>Parashar21 explores correlations between relative positions of astronomical bodies and critical events in the life of an individual. Since it is difficult to establish that planets cause events  Parashar21 is indifferent to causality but seeks to use mathematics and algorithms to seek and establish correlation between patterns in the sky and patterns here on the planet earth.</t>
  </si>
  <si>
    <t>Life Events</t>
  </si>
  <si>
    <t>Break in Education</t>
  </si>
  <si>
    <t>Profession</t>
  </si>
  <si>
    <t>Marriage</t>
  </si>
  <si>
    <t>Childbirth</t>
  </si>
  <si>
    <t>Foreign Travel</t>
  </si>
  <si>
    <t>Siblings</t>
  </si>
  <si>
    <t>Graduate</t>
  </si>
  <si>
    <t>Post Graduate</t>
  </si>
  <si>
    <t>Change in Profession</t>
  </si>
  <si>
    <t>Head of  Business</t>
  </si>
  <si>
    <t>Head of Organisation</t>
  </si>
  <si>
    <t>Father</t>
  </si>
  <si>
    <t>Mother</t>
  </si>
  <si>
    <t>Brother</t>
  </si>
  <si>
    <t>Sister</t>
  </si>
  <si>
    <t>Illness</t>
  </si>
  <si>
    <t>Suicide</t>
  </si>
  <si>
    <t>Murdered</t>
  </si>
  <si>
    <t>Others</t>
  </si>
  <si>
    <t>Road</t>
  </si>
  <si>
    <t>Rail</t>
  </si>
  <si>
    <t>Air</t>
  </si>
  <si>
    <t>Fire</t>
  </si>
  <si>
    <t>Metal</t>
  </si>
  <si>
    <t>Water</t>
  </si>
  <si>
    <t>Son</t>
  </si>
  <si>
    <t>Daughter</t>
  </si>
  <si>
    <t>No marriage</t>
  </si>
  <si>
    <t>Transfer + promotion</t>
  </si>
  <si>
    <t>Education</t>
  </si>
  <si>
    <t>Accident</t>
  </si>
  <si>
    <t>Disease</t>
  </si>
  <si>
    <t>Job Change</t>
  </si>
  <si>
    <t>Before Age X</t>
  </si>
  <si>
    <t>X operations</t>
  </si>
  <si>
    <t>X times in Y years</t>
  </si>
  <si>
    <t>Y07</t>
  </si>
  <si>
    <t>Number of Graha in Bhava</t>
  </si>
  <si>
    <t>pac</t>
  </si>
  <si>
    <t>PAC Query</t>
  </si>
  <si>
    <t>Generic Main Event</t>
  </si>
  <si>
    <t>Generic Sub Event</t>
  </si>
  <si>
    <t>p1</t>
  </si>
  <si>
    <t>p2</t>
  </si>
  <si>
    <t>p3</t>
  </si>
  <si>
    <t>code</t>
  </si>
  <si>
    <t>N</t>
  </si>
  <si>
    <t>insert into events values ("</t>
  </si>
  <si>
    <t>","</t>
  </si>
  <si>
    <t>Birth</t>
  </si>
  <si>
    <t>Science</t>
  </si>
  <si>
    <t>Arts</t>
  </si>
  <si>
    <t>Commerce</t>
  </si>
  <si>
    <t>Engineering</t>
  </si>
  <si>
    <t>Medicine</t>
  </si>
  <si>
    <t>Law</t>
  </si>
  <si>
    <t>Money Matters</t>
  </si>
  <si>
    <t>Technical</t>
  </si>
  <si>
    <t>Commercial</t>
  </si>
  <si>
    <t>Legal</t>
  </si>
  <si>
    <t>Medical</t>
  </si>
  <si>
    <t>Academic</t>
  </si>
  <si>
    <t>Administration</t>
  </si>
  <si>
    <t>Security</t>
  </si>
  <si>
    <t>Diff. from Education</t>
  </si>
  <si>
    <t>Transfer</t>
  </si>
  <si>
    <t>Transfer + relocation</t>
  </si>
  <si>
    <t>Media</t>
  </si>
  <si>
    <t>Entertainment</t>
  </si>
  <si>
    <t>Promotion</t>
  </si>
  <si>
    <t>Head of Department</t>
  </si>
  <si>
    <t>First job within age X</t>
  </si>
  <si>
    <t>X jobs in Y years</t>
  </si>
  <si>
    <t>Job</t>
  </si>
  <si>
    <t>Change : disagreement</t>
  </si>
  <si>
    <t>Change : better salary</t>
  </si>
  <si>
    <t>Change : better position</t>
  </si>
  <si>
    <t>Change : VRS</t>
  </si>
  <si>
    <t>Demotion / Removal</t>
  </si>
  <si>
    <t>Integrity / Disciplinary</t>
  </si>
  <si>
    <t>Politics, Rivalry</t>
  </si>
  <si>
    <t>Before age X</t>
  </si>
  <si>
    <t>Multiple marriage X</t>
  </si>
  <si>
    <t>Different marriage</t>
  </si>
  <si>
    <t>Parents of X children</t>
  </si>
  <si>
    <t>Parents of only girls</t>
  </si>
  <si>
    <t>Parents of only boys</t>
  </si>
  <si>
    <t>Adopted children</t>
  </si>
  <si>
    <t>Divorce</t>
  </si>
  <si>
    <t>X Divorces</t>
  </si>
  <si>
    <t>Spouse also divorcee</t>
  </si>
  <si>
    <t>Spouce not divorcee</t>
  </si>
  <si>
    <t>X siblings</t>
  </si>
  <si>
    <t>Eldest Child</t>
  </si>
  <si>
    <t>Youngest Child</t>
  </si>
  <si>
    <t>Bereavement</t>
  </si>
  <si>
    <t xml:space="preserve">Other </t>
  </si>
  <si>
    <t>Death - Self</t>
  </si>
  <si>
    <t>To Be Specified</t>
  </si>
  <si>
    <t>Surgery</t>
  </si>
  <si>
    <t>Business</t>
  </si>
  <si>
    <t>Sudden Profit</t>
  </si>
  <si>
    <t>Sudden Loss</t>
  </si>
  <si>
    <t>Business Expansion</t>
  </si>
  <si>
    <t>Business Difficulty</t>
  </si>
  <si>
    <t>Has Travelled</t>
  </si>
  <si>
    <t>New Main Event</t>
  </si>
  <si>
    <t>New Sub Event</t>
  </si>
  <si>
    <t>000D</t>
  </si>
  <si>
    <t>110A</t>
  </si>
  <si>
    <t>120A</t>
  </si>
  <si>
    <t>130A</t>
  </si>
  <si>
    <t>140A</t>
  </si>
  <si>
    <t>150A</t>
  </si>
  <si>
    <t>160A</t>
  </si>
  <si>
    <t>170A</t>
  </si>
  <si>
    <t>180A</t>
  </si>
  <si>
    <t>220A</t>
  </si>
  <si>
    <t>230A</t>
  </si>
  <si>
    <t>240A</t>
  </si>
  <si>
    <t>250A</t>
  </si>
  <si>
    <t>310A</t>
  </si>
  <si>
    <t>320A</t>
  </si>
  <si>
    <t>330A</t>
  </si>
  <si>
    <t>340A</t>
  </si>
  <si>
    <t>350A</t>
  </si>
  <si>
    <t>360A</t>
  </si>
  <si>
    <t>370A</t>
  </si>
  <si>
    <t>380A</t>
  </si>
  <si>
    <t>390A</t>
  </si>
  <si>
    <t>3A0A</t>
  </si>
  <si>
    <t>3B0D</t>
  </si>
  <si>
    <t>3C0D</t>
  </si>
  <si>
    <t>3D0D</t>
  </si>
  <si>
    <t>3E0D</t>
  </si>
  <si>
    <t>410B</t>
  </si>
  <si>
    <t>420C</t>
  </si>
  <si>
    <t>430A</t>
  </si>
  <si>
    <t>440D</t>
  </si>
  <si>
    <t>450D</t>
  </si>
  <si>
    <t>460D</t>
  </si>
  <si>
    <t>470D</t>
  </si>
  <si>
    <t>510C</t>
  </si>
  <si>
    <t>520A</t>
  </si>
  <si>
    <t>530A</t>
  </si>
  <si>
    <t>540A</t>
  </si>
  <si>
    <t>550A</t>
  </si>
  <si>
    <t>560A</t>
  </si>
  <si>
    <t>570A</t>
  </si>
  <si>
    <t>580A</t>
  </si>
  <si>
    <t>610B</t>
  </si>
  <si>
    <t>620A</t>
  </si>
  <si>
    <t>630B</t>
  </si>
  <si>
    <t>640A</t>
  </si>
  <si>
    <t>650A</t>
  </si>
  <si>
    <t>710B</t>
  </si>
  <si>
    <t>720A</t>
  </si>
  <si>
    <t>730A</t>
  </si>
  <si>
    <t>740A</t>
  </si>
  <si>
    <t>810B</t>
  </si>
  <si>
    <t>820A</t>
  </si>
  <si>
    <t>830A</t>
  </si>
  <si>
    <t>910B</t>
  </si>
  <si>
    <t>920A</t>
  </si>
  <si>
    <t>930A</t>
  </si>
  <si>
    <t>A10D</t>
  </si>
  <si>
    <t>A20D</t>
  </si>
  <si>
    <t>A30D</t>
  </si>
  <si>
    <t>A40D</t>
  </si>
  <si>
    <t>A50D</t>
  </si>
  <si>
    <t>A60D</t>
  </si>
  <si>
    <t>A70D</t>
  </si>
  <si>
    <t>B10B</t>
  </si>
  <si>
    <t>B20D</t>
  </si>
  <si>
    <t>B30D</t>
  </si>
  <si>
    <t>B40D</t>
  </si>
  <si>
    <t>B50D</t>
  </si>
  <si>
    <t>B60D</t>
  </si>
  <si>
    <t>C10D</t>
  </si>
  <si>
    <t>C20D</t>
  </si>
  <si>
    <t>C30D</t>
  </si>
  <si>
    <t>C40D</t>
  </si>
  <si>
    <t>C50D</t>
  </si>
  <si>
    <t>C60D</t>
  </si>
  <si>
    <t>C70D</t>
  </si>
  <si>
    <t>D10A</t>
  </si>
  <si>
    <t>D20A</t>
  </si>
  <si>
    <t>D30A</t>
  </si>
  <si>
    <t>D40A</t>
  </si>
  <si>
    <t>D50A</t>
  </si>
  <si>
    <t>E10B</t>
  </si>
  <si>
    <t>E20B</t>
  </si>
  <si>
    <t>F10D</t>
  </si>
  <si>
    <t>F20D</t>
  </si>
  <si>
    <t>F30D</t>
  </si>
  <si>
    <t>F40D</t>
  </si>
  <si>
    <t>F50A</t>
  </si>
  <si>
    <t>G10A</t>
  </si>
  <si>
    <t>G20A</t>
  </si>
  <si>
    <t>G30A</t>
  </si>
  <si>
    <t>G40A</t>
  </si>
  <si>
    <t>G50A</t>
  </si>
  <si>
    <t>pq0A</t>
  </si>
  <si>
    <t>Z10A</t>
  </si>
  <si>
    <t>Z20B</t>
  </si>
  <si>
    <t>Z30C</t>
  </si>
  <si>
    <t>Z40D</t>
  </si>
  <si>
    <t>Pratyantantardasha</t>
  </si>
  <si>
    <t>error</t>
  </si>
  <si>
    <t>210D</t>
  </si>
  <si>
    <t>p4</t>
  </si>
  <si>
    <t>141A</t>
  </si>
  <si>
    <t>142A</t>
  </si>
  <si>
    <t>143A</t>
  </si>
  <si>
    <t>144A</t>
  </si>
  <si>
    <t>145A</t>
  </si>
  <si>
    <t>Mech</t>
  </si>
  <si>
    <t>Chem</t>
  </si>
  <si>
    <t>Electrical</t>
  </si>
  <si>
    <t>Aero</t>
  </si>
  <si>
    <t>Computer</t>
  </si>
  <si>
    <t xml:space="preserve">Event </t>
  </si>
  <si>
    <t>Sub Event</t>
  </si>
  <si>
    <t>Sub-Sub</t>
  </si>
  <si>
    <t>Antar</t>
  </si>
  <si>
    <t>Pratyantar</t>
  </si>
  <si>
    <t>Age</t>
  </si>
  <si>
    <t>Code</t>
  </si>
  <si>
    <t>cumulative error</t>
  </si>
  <si>
    <t>,</t>
  </si>
  <si>
    <t>",</t>
  </si>
  <si>
    <t>pq0D</t>
  </si>
  <si>
    <t>retrieved chart</t>
  </si>
  <si>
    <t>,"</t>
  </si>
  <si>
    <t>");</t>
  </si>
  <si>
    <t>select chartid from pac2 where kause = 'X13Y51'</t>
  </si>
  <si>
    <t>Events</t>
  </si>
  <si>
    <t>);</t>
  </si>
  <si>
    <t>Life Events Query</t>
  </si>
  <si>
    <t>.</t>
  </si>
  <si>
    <t>;</t>
  </si>
  <si>
    <t>select distinct(chartid) from events where ecode in (</t>
  </si>
  <si>
    <t xml:space="preserve">select distinct(chartid) from events where </t>
  </si>
  <si>
    <t>select distinct(chartid) from events where ecode =</t>
  </si>
  <si>
    <t>@</t>
  </si>
  <si>
    <t>and chartid in ( @)</t>
  </si>
  <si>
    <t>it under the terms of the GNU General Public License as published by</t>
  </si>
  <si>
    <t>the Free Software Foundation, either version 3 of the License, or</t>
  </si>
  <si>
    <t>any later version.</t>
  </si>
  <si>
    <t>but WITHOUT ANY WARRANTY; without even the implied warranty of</t>
  </si>
  <si>
    <t>MERCHANTABILITY or FITNESS FOR A PARTICULAR PURPOSE.  See the</t>
  </si>
  <si>
    <t>GNU General Public License for more details.</t>
  </si>
  <si>
    <t>You should have received a copy of the GNU General Public License</t>
  </si>
  <si>
    <t>Parashar21 is free software: you can redistribute it and/or modify</t>
  </si>
  <si>
    <t>Parashar21 is distributed in the hope that it will be useful,</t>
  </si>
  <si>
    <t>Documentation of this software is available at http://parashar21.wiki.zoho.com/</t>
  </si>
  <si>
    <t>For more details about Parashar21 see http://parashar21.yantrajaal.com</t>
  </si>
  <si>
    <t>This Excel spreadsheet is a part of Parashar21</t>
  </si>
  <si>
    <t>along with this spreadsheet.  If not, see &lt;http://www.gnu.org/licenses/&gt;.</t>
  </si>
  <si>
    <t>Male</t>
  </si>
  <si>
    <t>NDM</t>
  </si>
  <si>
    <t>Sun            ,  0.9758299, 173.6995024</t>
  </si>
  <si>
    <t>Moon           , 14.3814947, 241.0780509</t>
  </si>
  <si>
    <t>Mercury        , -1.0471780, 174.0188780</t>
  </si>
  <si>
    <t>Venus          ,  1.2385331, 158.7786082</t>
  </si>
  <si>
    <t>Mars           ,  0.6792019, 234.0560338</t>
  </si>
  <si>
    <t>Jupiter        , -0.1090416, 329.7703330</t>
  </si>
  <si>
    <t>Saturn         ,  0.1249357, 172.8123050</t>
  </si>
  <si>
    <t>mean Node      , -0.0529361, 358.3894525</t>
  </si>
  <si>
    <t>true Node      ,  0.0055948, 358.3791531</t>
  </si>
  <si>
    <t>house  1       , 321.2234275, 214.5303570</t>
  </si>
  <si>
    <t>house  2       , 323.6567357, 243.6740321</t>
  </si>
  <si>
    <t>house  3       , 333.1558782, 274.0909360</t>
  </si>
  <si>
    <t>house  4       , 352.4441646, 305.7515217</t>
  </si>
  <si>
    <t>house  5       , 362.8514058, 337.7299018</t>
  </si>
  <si>
    <t>house  6       , 348.2472725,  7.8469694</t>
  </si>
  <si>
    <t>house  7       , 321.2234275, 34.5303570</t>
  </si>
  <si>
    <t>house  8       , 323.6567357, 63.6740321</t>
  </si>
  <si>
    <t>house  9       , 333.1558782, 94.0909360</t>
  </si>
  <si>
    <t>house 10       , 352.4441646, 125.7515217</t>
  </si>
  <si>
    <t>house 11       , 362.8514058, 157.7299018</t>
  </si>
  <si>
    <t>house 12       , 348.2472725, 187.8469694</t>
  </si>
  <si>
    <t>Ascendant      , 321.2234275, 214.5303570</t>
  </si>
  <si>
    <t>MC             , 352.4441646, 125.7515217</t>
  </si>
  <si>
    <t>ARMC           , 360.9856473, 128.1227666</t>
  </si>
  <si>
    <t>Vertex         , 181.2012850, 106.2966751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</si>
</sst>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84" formatCode="d\ mmm\ yy"/>
    <numFmt numFmtId="187" formatCode="0.0"/>
    <numFmt numFmtId="193" formatCode="[$-F800]dddd\,\ mmmm\ dd\,\ yyyy"/>
    <numFmt numFmtId="194" formatCode="[$-F400]h:mm:ss\ AM/PM"/>
  </numFmts>
  <fonts count="56">
    <font>
      <sz val="10"/>
      <name val="Arial"/>
    </font>
    <font>
      <sz val="8"/>
      <name val="Arial"/>
      <family val="2"/>
    </font>
    <font>
      <b/>
      <sz val="12"/>
      <name val="Arial"/>
      <family val="2"/>
    </font>
    <font>
      <sz val="8"/>
      <name val="Arial"/>
      <family val="2"/>
    </font>
    <font>
      <sz val="9"/>
      <name val="Arial"/>
      <family val="2"/>
    </font>
    <font>
      <b/>
      <sz val="12"/>
      <color indexed="9"/>
      <name val="Arial"/>
      <family val="2"/>
    </font>
    <font>
      <b/>
      <sz val="10"/>
      <color indexed="9"/>
      <name val="Arial"/>
      <family val="2"/>
    </font>
    <font>
      <b/>
      <sz val="9"/>
      <color indexed="81"/>
      <name val="Tahoma"/>
      <family val="2"/>
    </font>
    <font>
      <sz val="9"/>
      <color indexed="81"/>
      <name val="Tahoma"/>
      <family val="2"/>
    </font>
    <font>
      <sz val="7"/>
      <name val="Arial"/>
      <family val="2"/>
    </font>
    <font>
      <b/>
      <sz val="10"/>
      <name val="Arial"/>
      <family val="2"/>
    </font>
    <font>
      <sz val="10"/>
      <color indexed="9"/>
      <name val="Arial"/>
      <family val="2"/>
    </font>
    <font>
      <b/>
      <sz val="14"/>
      <color indexed="9"/>
      <name val="Arial"/>
      <family val="2"/>
    </font>
    <font>
      <i/>
      <sz val="8"/>
      <name val="Arial"/>
      <family val="2"/>
    </font>
    <font>
      <sz val="6"/>
      <name val="Arial"/>
      <family val="2"/>
    </font>
    <font>
      <sz val="5"/>
      <name val="Arial"/>
      <family val="2"/>
    </font>
    <font>
      <sz val="10"/>
      <color indexed="10"/>
      <name val="Arial"/>
      <family val="2"/>
    </font>
    <font>
      <b/>
      <sz val="8"/>
      <color indexed="10"/>
      <name val="Arial"/>
      <family val="2"/>
    </font>
    <font>
      <b/>
      <sz val="10"/>
      <color indexed="10"/>
      <name val="Arial"/>
      <family val="2"/>
    </font>
    <font>
      <sz val="8"/>
      <color indexed="9"/>
      <name val="Arial"/>
      <family val="2"/>
    </font>
    <font>
      <sz val="10"/>
      <name val="Arial"/>
      <family val="2"/>
    </font>
    <font>
      <sz val="8"/>
      <name val="Arial"/>
      <family val="2"/>
    </font>
    <font>
      <b/>
      <sz val="8"/>
      <color indexed="9"/>
      <name val="Arial"/>
      <family val="2"/>
    </font>
    <font>
      <b/>
      <sz val="8"/>
      <name val="Arial"/>
      <family val="2"/>
    </font>
    <font>
      <i/>
      <sz val="10"/>
      <name val="Arial"/>
      <family val="2"/>
    </font>
    <font>
      <b/>
      <i/>
      <sz val="12"/>
      <name val="Arial"/>
      <family val="2"/>
    </font>
    <font>
      <sz val="12"/>
      <name val="Arial"/>
      <family val="2"/>
    </font>
    <font>
      <b/>
      <sz val="9"/>
      <name val="Arial"/>
      <family val="2"/>
    </font>
    <font>
      <sz val="9"/>
      <color indexed="10"/>
      <name val="Arial"/>
      <family val="2"/>
    </font>
    <font>
      <b/>
      <sz val="7"/>
      <color indexed="9"/>
      <name val="Arial"/>
      <family val="2"/>
    </font>
    <font>
      <sz val="8"/>
      <color indexed="10"/>
      <name val="Arial"/>
      <family val="2"/>
    </font>
    <font>
      <sz val="16"/>
      <name val="Arial"/>
      <family val="2"/>
    </font>
    <font>
      <sz val="9"/>
      <name val="Arial Unicode MS"/>
      <family val="2"/>
    </font>
    <font>
      <sz val="8"/>
      <color indexed="9"/>
      <name val="Arial"/>
      <family val="2"/>
    </font>
    <font>
      <sz val="10"/>
      <color indexed="9"/>
      <name val="Arial"/>
      <family val="2"/>
    </font>
    <font>
      <sz val="10"/>
      <color indexed="40"/>
      <name val="Arial"/>
      <family val="2"/>
    </font>
    <font>
      <b/>
      <sz val="10"/>
      <color indexed="9"/>
      <name val="Arial"/>
      <family val="2"/>
    </font>
    <font>
      <b/>
      <sz val="14"/>
      <color indexed="9"/>
      <name val="Arial"/>
      <family val="2"/>
    </font>
    <font>
      <sz val="10"/>
      <color indexed="10"/>
      <name val="Arial"/>
      <family val="2"/>
    </font>
    <font>
      <sz val="8"/>
      <color indexed="10"/>
      <name val="Arial"/>
      <family val="2"/>
    </font>
    <font>
      <b/>
      <sz val="10"/>
      <color indexed="10"/>
      <name val="Arial"/>
      <family val="2"/>
    </font>
    <font>
      <sz val="9"/>
      <color indexed="9"/>
      <name val="Arial"/>
      <family val="2"/>
    </font>
    <font>
      <sz val="8"/>
      <color indexed="53"/>
      <name val="Arial"/>
      <family val="2"/>
    </font>
    <font>
      <sz val="8"/>
      <color indexed="29"/>
      <name val="Arial"/>
      <family val="2"/>
    </font>
    <font>
      <sz val="8"/>
      <color indexed="57"/>
      <name val="Arial"/>
      <family val="2"/>
    </font>
    <font>
      <sz val="8"/>
      <color indexed="49"/>
      <name val="Arial"/>
      <family val="2"/>
    </font>
    <font>
      <b/>
      <sz val="8"/>
      <color indexed="53"/>
      <name val="Arial"/>
      <family val="2"/>
    </font>
    <font>
      <sz val="9"/>
      <color indexed="10"/>
      <name val="Arial"/>
      <family val="2"/>
    </font>
    <font>
      <sz val="9"/>
      <color indexed="8"/>
      <name val="Arial"/>
      <family val="2"/>
    </font>
    <font>
      <b/>
      <sz val="18"/>
      <color indexed="9"/>
      <name val="Arial"/>
      <family val="2"/>
    </font>
    <font>
      <sz val="8"/>
      <color indexed="17"/>
      <name val="Arial"/>
      <family val="2"/>
    </font>
    <font>
      <sz val="9"/>
      <color indexed="17"/>
      <name val="Arial"/>
      <family val="2"/>
    </font>
    <font>
      <b/>
      <sz val="8"/>
      <color indexed="10"/>
      <name val="Arial"/>
      <family val="2"/>
    </font>
    <font>
      <b/>
      <sz val="9"/>
      <color indexed="9"/>
      <name val="Arial"/>
      <family val="2"/>
    </font>
    <font>
      <b/>
      <sz val="16"/>
      <color indexed="9"/>
      <name val="Arial"/>
      <family val="2"/>
    </font>
    <font>
      <sz val="8"/>
      <name val="Arial"/>
      <family val="2"/>
    </font>
  </fonts>
  <fills count="33">
    <fill>
      <patternFill patternType="none"/>
    </fill>
    <fill>
      <patternFill patternType="gray125"/>
    </fill>
    <fill>
      <patternFill patternType="solid">
        <fgColor indexed="44"/>
        <bgColor indexed="64"/>
      </patternFill>
    </fill>
    <fill>
      <patternFill patternType="solid">
        <fgColor indexed="13"/>
        <bgColor indexed="34"/>
      </patternFill>
    </fill>
    <fill>
      <patternFill patternType="solid">
        <fgColor indexed="10"/>
        <bgColor indexed="60"/>
      </patternFill>
    </fill>
    <fill>
      <patternFill patternType="solid">
        <fgColor indexed="9"/>
        <bgColor indexed="26"/>
      </patternFill>
    </fill>
    <fill>
      <patternFill patternType="solid">
        <fgColor indexed="47"/>
        <bgColor indexed="64"/>
      </patternFill>
    </fill>
    <fill>
      <patternFill patternType="solid">
        <fgColor indexed="8"/>
        <bgColor indexed="58"/>
      </patternFill>
    </fill>
    <fill>
      <patternFill patternType="solid">
        <fgColor indexed="47"/>
        <bgColor indexed="9"/>
      </patternFill>
    </fill>
    <fill>
      <patternFill patternType="solid">
        <fgColor indexed="8"/>
        <bgColor indexed="64"/>
      </patternFill>
    </fill>
    <fill>
      <patternFill patternType="solid">
        <fgColor indexed="13"/>
        <bgColor indexed="64"/>
      </patternFill>
    </fill>
    <fill>
      <patternFill patternType="solid">
        <fgColor indexed="43"/>
        <bgColor indexed="64"/>
      </patternFill>
    </fill>
    <fill>
      <patternFill patternType="solid">
        <fgColor indexed="49"/>
        <bgColor indexed="64"/>
      </patternFill>
    </fill>
    <fill>
      <patternFill patternType="solid">
        <fgColor indexed="31"/>
        <bgColor indexed="64"/>
      </patternFill>
    </fill>
    <fill>
      <patternFill patternType="solid">
        <fgColor indexed="41"/>
        <bgColor indexed="64"/>
      </patternFill>
    </fill>
    <fill>
      <patternFill patternType="solid">
        <fgColor indexed="46"/>
        <bgColor indexed="64"/>
      </patternFill>
    </fill>
    <fill>
      <patternFill patternType="solid">
        <fgColor indexed="51"/>
        <bgColor indexed="64"/>
      </patternFill>
    </fill>
    <fill>
      <patternFill patternType="solid">
        <fgColor indexed="29"/>
        <bgColor indexed="64"/>
      </patternFill>
    </fill>
    <fill>
      <patternFill patternType="solid">
        <fgColor indexed="57"/>
        <bgColor indexed="64"/>
      </patternFill>
    </fill>
    <fill>
      <patternFill patternType="solid">
        <fgColor indexed="11"/>
        <bgColor indexed="64"/>
      </patternFill>
    </fill>
    <fill>
      <patternFill patternType="solid">
        <fgColor indexed="10"/>
        <bgColor indexed="64"/>
      </patternFill>
    </fill>
    <fill>
      <patternFill patternType="solid">
        <fgColor indexed="60"/>
        <bgColor indexed="61"/>
      </patternFill>
    </fill>
    <fill>
      <patternFill patternType="solid">
        <fgColor indexed="60"/>
        <bgColor indexed="64"/>
      </patternFill>
    </fill>
    <fill>
      <patternFill patternType="solid">
        <fgColor indexed="53"/>
        <bgColor indexed="64"/>
      </patternFill>
    </fill>
    <fill>
      <patternFill patternType="solid">
        <fgColor indexed="53"/>
        <bgColor indexed="34"/>
      </patternFill>
    </fill>
    <fill>
      <patternFill patternType="solid">
        <fgColor indexed="53"/>
        <bgColor indexed="58"/>
      </patternFill>
    </fill>
    <fill>
      <patternFill patternType="solid">
        <fgColor indexed="52"/>
        <bgColor indexed="64"/>
      </patternFill>
    </fill>
    <fill>
      <patternFill patternType="solid">
        <fgColor indexed="36"/>
        <bgColor indexed="64"/>
      </patternFill>
    </fill>
    <fill>
      <patternFill patternType="solid">
        <fgColor indexed="9"/>
        <bgColor indexed="64"/>
      </patternFill>
    </fill>
    <fill>
      <patternFill patternType="solid">
        <fgColor indexed="50"/>
        <bgColor indexed="64"/>
      </patternFill>
    </fill>
    <fill>
      <patternFill patternType="solid">
        <fgColor indexed="17"/>
        <bgColor indexed="64"/>
      </patternFill>
    </fill>
    <fill>
      <patternFill patternType="solid">
        <fgColor indexed="22"/>
        <bgColor indexed="64"/>
      </patternFill>
    </fill>
    <fill>
      <patternFill patternType="solid">
        <fgColor indexed="25"/>
        <bgColor indexed="61"/>
      </patternFill>
    </fill>
  </fills>
  <borders count="47">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8"/>
      </right>
      <top style="thin">
        <color indexed="8"/>
      </top>
      <bottom style="thin">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medium">
        <color indexed="64"/>
      </bottom>
      <diagonal/>
    </border>
    <border>
      <left/>
      <right/>
      <top style="thin">
        <color indexed="8"/>
      </top>
      <bottom style="medium">
        <color indexed="64"/>
      </bottom>
      <diagonal/>
    </border>
    <border>
      <left style="thin">
        <color indexed="8"/>
      </left>
      <right style="thin">
        <color indexed="8"/>
      </right>
      <top/>
      <bottom style="thin">
        <color indexed="8"/>
      </bottom>
      <diagonal/>
    </border>
    <border>
      <left/>
      <right/>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bottom/>
      <diagonal/>
    </border>
    <border>
      <left style="thin">
        <color indexed="64"/>
      </left>
      <right style="thin">
        <color indexed="64"/>
      </right>
      <top style="thin">
        <color indexed="64"/>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top/>
      <bottom style="medium">
        <color indexed="8"/>
      </bottom>
      <diagonal/>
    </border>
    <border>
      <left/>
      <right/>
      <top/>
      <bottom style="medium">
        <color indexed="8"/>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thick">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indexed="64"/>
      </left>
      <right/>
      <top/>
      <bottom/>
      <diagonal/>
    </border>
    <border>
      <left/>
      <right style="thin">
        <color indexed="8"/>
      </right>
      <top/>
      <bottom/>
      <diagonal/>
    </border>
    <border>
      <left style="thin">
        <color indexed="8"/>
      </left>
      <right/>
      <top/>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top/>
      <bottom style="double">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style="double">
        <color indexed="64"/>
      </bottom>
      <diagonal/>
    </border>
    <border>
      <left style="medium">
        <color indexed="64"/>
      </left>
      <right style="medium">
        <color indexed="64"/>
      </right>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8"/>
      </top>
      <bottom/>
      <diagonal/>
    </border>
    <border>
      <left style="thick">
        <color indexed="64"/>
      </left>
      <right/>
      <top/>
      <bottom style="medium">
        <color indexed="64"/>
      </bottom>
      <diagonal/>
    </border>
  </borders>
  <cellStyleXfs count="2">
    <xf numFmtId="0" fontId="0" fillId="0" borderId="0"/>
    <xf numFmtId="0" fontId="20" fillId="0" borderId="0"/>
  </cellStyleXfs>
  <cellXfs count="579">
    <xf numFmtId="0" fontId="0" fillId="0" borderId="0" xfId="0"/>
    <xf numFmtId="0" fontId="0" fillId="0" borderId="0" xfId="0" applyProtection="1"/>
    <xf numFmtId="0" fontId="3" fillId="0" borderId="0" xfId="0" applyFont="1" applyAlignment="1" applyProtection="1">
      <alignment horizontal="right"/>
    </xf>
    <xf numFmtId="0" fontId="3" fillId="0" borderId="0" xfId="0" applyFont="1" applyProtection="1"/>
    <xf numFmtId="0" fontId="0" fillId="0" borderId="0" xfId="0" applyAlignment="1" applyProtection="1">
      <alignment horizontal="center"/>
    </xf>
    <xf numFmtId="0" fontId="3" fillId="0" borderId="0" xfId="0" applyFont="1" applyAlignment="1" applyProtection="1">
      <alignment horizontal="left"/>
    </xf>
    <xf numFmtId="0" fontId="3" fillId="0" borderId="0" xfId="0" applyFont="1" applyAlignment="1" applyProtection="1">
      <alignment horizontal="center"/>
    </xf>
    <xf numFmtId="0" fontId="9" fillId="0" borderId="0" xfId="0" applyFont="1" applyAlignment="1" applyProtection="1">
      <alignment horizontal="center"/>
    </xf>
    <xf numFmtId="0" fontId="3" fillId="0" borderId="0" xfId="0" applyFont="1" applyFill="1" applyProtection="1"/>
    <xf numFmtId="0" fontId="10" fillId="0" borderId="0" xfId="0" applyFont="1" applyFill="1" applyProtection="1"/>
    <xf numFmtId="0" fontId="11" fillId="0" borderId="0" xfId="0" applyFont="1" applyFill="1" applyAlignment="1" applyProtection="1">
      <alignment horizontal="center"/>
    </xf>
    <xf numFmtId="0" fontId="6" fillId="0" borderId="0" xfId="0" applyFont="1" applyFill="1" applyAlignment="1" applyProtection="1">
      <alignment horizontal="center"/>
    </xf>
    <xf numFmtId="0" fontId="6" fillId="0" borderId="0" xfId="0" applyFont="1" applyFill="1" applyAlignment="1" applyProtection="1">
      <alignment horizontal="right"/>
    </xf>
    <xf numFmtId="0" fontId="0" fillId="0" borderId="0" xfId="0" applyFill="1" applyProtection="1"/>
    <xf numFmtId="0" fontId="0" fillId="0" borderId="0" xfId="0" applyFill="1" applyBorder="1" applyAlignment="1" applyProtection="1">
      <alignment horizontal="center"/>
    </xf>
    <xf numFmtId="0" fontId="0" fillId="0" borderId="0" xfId="0" applyFill="1" applyAlignment="1" applyProtection="1">
      <alignment horizontal="center"/>
    </xf>
    <xf numFmtId="0" fontId="13" fillId="0" borderId="0" xfId="0" applyFont="1" applyAlignment="1" applyProtection="1">
      <alignment horizontal="right"/>
    </xf>
    <xf numFmtId="0" fontId="0" fillId="2" borderId="1" xfId="0" applyFill="1" applyBorder="1" applyAlignment="1" applyProtection="1">
      <alignment horizontal="center"/>
    </xf>
    <xf numFmtId="0" fontId="3" fillId="3" borderId="1" xfId="0" applyFont="1" applyFill="1" applyBorder="1" applyAlignment="1" applyProtection="1">
      <alignment horizontal="center" textRotation="90"/>
    </xf>
    <xf numFmtId="0" fontId="0" fillId="2" borderId="2" xfId="0" applyFont="1" applyFill="1" applyBorder="1" applyAlignment="1" applyProtection="1">
      <alignment horizontal="center" textRotation="90"/>
    </xf>
    <xf numFmtId="0" fontId="0" fillId="2" borderId="2" xfId="0" applyFill="1" applyBorder="1" applyAlignment="1" applyProtection="1">
      <alignment horizontal="center" textRotation="90"/>
    </xf>
    <xf numFmtId="0" fontId="5" fillId="4" borderId="1" xfId="0" applyFont="1" applyFill="1" applyBorder="1" applyAlignment="1" applyProtection="1">
      <alignment horizontal="center"/>
    </xf>
    <xf numFmtId="0" fontId="3" fillId="3" borderId="3" xfId="0" applyFont="1" applyFill="1" applyBorder="1" applyAlignment="1" applyProtection="1">
      <alignment horizontal="center"/>
    </xf>
    <xf numFmtId="0" fontId="3" fillId="3" borderId="1" xfId="0" applyFont="1" applyFill="1" applyBorder="1" applyAlignment="1" applyProtection="1">
      <alignment horizontal="center"/>
    </xf>
    <xf numFmtId="0" fontId="3" fillId="0" borderId="1" xfId="0" applyFont="1" applyFill="1" applyBorder="1" applyAlignment="1" applyProtection="1">
      <alignment horizontal="center"/>
    </xf>
    <xf numFmtId="0" fontId="9" fillId="3" borderId="1" xfId="0" applyFont="1" applyFill="1" applyBorder="1" applyAlignment="1" applyProtection="1">
      <alignment horizontal="center"/>
    </xf>
    <xf numFmtId="0" fontId="2" fillId="0" borderId="4" xfId="0" applyFont="1" applyFill="1" applyBorder="1" applyAlignment="1" applyProtection="1">
      <alignment horizontal="center"/>
    </xf>
    <xf numFmtId="0" fontId="0" fillId="0" borderId="5" xfId="0" applyFill="1" applyBorder="1" applyProtection="1"/>
    <xf numFmtId="0" fontId="0" fillId="0" borderId="5" xfId="0" applyFill="1" applyBorder="1" applyAlignment="1" applyProtection="1">
      <alignment horizontal="center"/>
    </xf>
    <xf numFmtId="1" fontId="14" fillId="0" borderId="6" xfId="0" applyNumberFormat="1" applyFont="1" applyFill="1" applyBorder="1" applyAlignment="1" applyProtection="1">
      <alignment horizontal="center"/>
    </xf>
    <xf numFmtId="0" fontId="0" fillId="0" borderId="7" xfId="0" applyFill="1" applyBorder="1" applyAlignment="1" applyProtection="1">
      <alignment horizontal="center"/>
    </xf>
    <xf numFmtId="0" fontId="0" fillId="5" borderId="0" xfId="0" applyFill="1" applyProtection="1"/>
    <xf numFmtId="0" fontId="3" fillId="6" borderId="8" xfId="0" applyFont="1" applyFill="1" applyBorder="1" applyAlignment="1" applyProtection="1">
      <alignment horizontal="center"/>
    </xf>
    <xf numFmtId="0" fontId="3" fillId="7" borderId="9" xfId="0" applyFont="1" applyFill="1" applyBorder="1" applyAlignment="1" applyProtection="1">
      <alignment horizontal="center"/>
    </xf>
    <xf numFmtId="0" fontId="3" fillId="8" borderId="10" xfId="0" applyFont="1" applyFill="1" applyBorder="1" applyAlignment="1" applyProtection="1">
      <alignment horizontal="center"/>
    </xf>
    <xf numFmtId="0" fontId="3" fillId="7" borderId="0" xfId="0" applyFont="1" applyFill="1" applyAlignment="1" applyProtection="1">
      <alignment horizontal="center"/>
    </xf>
    <xf numFmtId="0" fontId="3" fillId="6" borderId="10" xfId="0" applyFont="1" applyFill="1" applyBorder="1" applyAlignment="1" applyProtection="1">
      <alignment horizontal="center"/>
    </xf>
    <xf numFmtId="0" fontId="13" fillId="0" borderId="0" xfId="0" applyFont="1" applyAlignment="1" applyProtection="1">
      <alignment horizontal="left"/>
    </xf>
    <xf numFmtId="187" fontId="15" fillId="6" borderId="11" xfId="0" applyNumberFormat="1" applyFont="1" applyFill="1" applyBorder="1" applyAlignment="1" applyProtection="1">
      <alignment horizontal="center"/>
    </xf>
    <xf numFmtId="0" fontId="0" fillId="7" borderId="0" xfId="0" applyFill="1" applyAlignment="1" applyProtection="1">
      <alignment horizontal="center"/>
    </xf>
    <xf numFmtId="187" fontId="15" fillId="8" borderId="12" xfId="0" applyNumberFormat="1" applyFont="1" applyFill="1" applyBorder="1" applyAlignment="1" applyProtection="1">
      <alignment horizontal="center"/>
    </xf>
    <xf numFmtId="2" fontId="3" fillId="0" borderId="0" xfId="0" applyNumberFormat="1" applyFont="1" applyProtection="1"/>
    <xf numFmtId="0" fontId="3" fillId="6" borderId="12" xfId="0" applyFont="1" applyFill="1" applyBorder="1" applyAlignment="1" applyProtection="1">
      <alignment horizontal="center"/>
    </xf>
    <xf numFmtId="0" fontId="3" fillId="8" borderId="12" xfId="0" applyFont="1" applyFill="1" applyBorder="1" applyAlignment="1" applyProtection="1">
      <alignment horizontal="center"/>
    </xf>
    <xf numFmtId="0" fontId="3" fillId="6" borderId="0" xfId="0" applyFont="1" applyFill="1" applyAlignment="1" applyProtection="1">
      <alignment horizontal="center"/>
    </xf>
    <xf numFmtId="0" fontId="3" fillId="9" borderId="13" xfId="0" applyFont="1" applyFill="1" applyBorder="1" applyAlignment="1" applyProtection="1">
      <alignment horizontal="center"/>
    </xf>
    <xf numFmtId="0" fontId="3" fillId="7" borderId="14" xfId="0" applyFont="1" applyFill="1" applyBorder="1" applyAlignment="1" applyProtection="1">
      <alignment horizontal="center"/>
    </xf>
    <xf numFmtId="0" fontId="3" fillId="9" borderId="12" xfId="0" applyFont="1" applyFill="1" applyBorder="1" applyAlignment="1" applyProtection="1">
      <alignment horizontal="center"/>
    </xf>
    <xf numFmtId="0" fontId="9" fillId="0" borderId="1" xfId="0" applyFont="1" applyFill="1" applyBorder="1" applyAlignment="1" applyProtection="1">
      <alignment horizontal="center"/>
    </xf>
    <xf numFmtId="0" fontId="3" fillId="0" borderId="0" xfId="0" applyFont="1" applyFill="1" applyAlignment="1" applyProtection="1">
      <alignment horizontal="left"/>
    </xf>
    <xf numFmtId="0" fontId="2" fillId="0" borderId="15" xfId="0" applyFont="1" applyFill="1" applyBorder="1" applyAlignment="1" applyProtection="1">
      <alignment horizontal="center"/>
    </xf>
    <xf numFmtId="0" fontId="0" fillId="0" borderId="16" xfId="0" applyFill="1" applyBorder="1" applyProtection="1"/>
    <xf numFmtId="0" fontId="0" fillId="0" borderId="16" xfId="0" applyFill="1" applyBorder="1" applyAlignment="1" applyProtection="1">
      <alignment horizontal="center"/>
    </xf>
    <xf numFmtId="0" fontId="0" fillId="0" borderId="17" xfId="0" applyFill="1" applyBorder="1" applyAlignment="1" applyProtection="1">
      <alignment horizontal="center"/>
    </xf>
    <xf numFmtId="0" fontId="3" fillId="0" borderId="0" xfId="0" applyFont="1" applyFill="1" applyAlignment="1" applyProtection="1">
      <alignment horizontal="right"/>
    </xf>
    <xf numFmtId="0" fontId="3" fillId="0" borderId="0" xfId="0" applyFont="1" applyFill="1" applyBorder="1" applyAlignment="1" applyProtection="1">
      <alignment horizontal="center"/>
    </xf>
    <xf numFmtId="0" fontId="2" fillId="0" borderId="16" xfId="0" applyFont="1" applyFill="1" applyBorder="1" applyAlignment="1" applyProtection="1">
      <alignment horizontal="left"/>
    </xf>
    <xf numFmtId="0" fontId="0" fillId="0" borderId="12" xfId="0" applyFill="1" applyBorder="1" applyAlignment="1" applyProtection="1">
      <alignment horizontal="center"/>
    </xf>
    <xf numFmtId="0" fontId="9" fillId="3" borderId="0" xfId="0" applyFont="1" applyFill="1" applyBorder="1" applyAlignment="1" applyProtection="1">
      <alignment horizontal="center"/>
    </xf>
    <xf numFmtId="0" fontId="0" fillId="0" borderId="0" xfId="0" applyFont="1" applyFill="1" applyBorder="1" applyAlignment="1" applyProtection="1">
      <alignment horizontal="center"/>
    </xf>
    <xf numFmtId="0" fontId="0" fillId="9" borderId="16" xfId="0" applyFill="1" applyBorder="1" applyAlignment="1" applyProtection="1">
      <alignment horizontal="center"/>
    </xf>
    <xf numFmtId="0" fontId="9" fillId="0" borderId="0" xfId="0" applyFont="1" applyFill="1" applyBorder="1" applyAlignment="1" applyProtection="1">
      <alignment horizontal="center"/>
    </xf>
    <xf numFmtId="0" fontId="16" fillId="0" borderId="0" xfId="0" applyFont="1" applyFill="1" applyAlignment="1" applyProtection="1">
      <alignment horizontal="center"/>
    </xf>
    <xf numFmtId="0" fontId="9" fillId="10" borderId="12" xfId="0" applyFont="1" applyFill="1" applyBorder="1" applyAlignment="1" applyProtection="1">
      <alignment horizontal="center"/>
    </xf>
    <xf numFmtId="0" fontId="9" fillId="0" borderId="16" xfId="0" applyFont="1" applyFill="1" applyBorder="1" applyAlignment="1" applyProtection="1">
      <alignment horizontal="center"/>
    </xf>
    <xf numFmtId="0" fontId="3" fillId="0" borderId="16" xfId="0" applyFont="1" applyFill="1" applyBorder="1" applyAlignment="1" applyProtection="1">
      <alignment horizontal="right"/>
    </xf>
    <xf numFmtId="0" fontId="3" fillId="0" borderId="16" xfId="0" applyFont="1" applyFill="1" applyBorder="1" applyAlignment="1" applyProtection="1">
      <alignment horizontal="left"/>
    </xf>
    <xf numFmtId="0" fontId="16" fillId="0" borderId="16" xfId="0" applyFont="1" applyFill="1" applyBorder="1" applyAlignment="1" applyProtection="1">
      <alignment horizontal="center"/>
    </xf>
    <xf numFmtId="0" fontId="9" fillId="0" borderId="0" xfId="0" applyFont="1" applyFill="1" applyAlignment="1" applyProtection="1">
      <alignment horizontal="center"/>
    </xf>
    <xf numFmtId="0" fontId="0" fillId="0" borderId="18" xfId="0" applyFill="1" applyBorder="1" applyAlignment="1" applyProtection="1">
      <alignment horizontal="center"/>
    </xf>
    <xf numFmtId="0" fontId="0" fillId="0" borderId="19" xfId="0" applyFill="1" applyBorder="1" applyAlignment="1" applyProtection="1">
      <alignment horizontal="center"/>
    </xf>
    <xf numFmtId="0" fontId="3" fillId="0" borderId="0" xfId="0" applyFont="1" applyFill="1" applyBorder="1" applyAlignment="1" applyProtection="1">
      <alignment horizontal="center" vertical="center" wrapText="1"/>
    </xf>
    <xf numFmtId="0" fontId="0" fillId="0" borderId="20" xfId="0" applyFill="1" applyBorder="1" applyAlignment="1" applyProtection="1">
      <alignment horizontal="center"/>
    </xf>
    <xf numFmtId="0" fontId="3" fillId="0" borderId="0" xfId="0" applyFont="1" applyFill="1" applyBorder="1" applyAlignment="1" applyProtection="1">
      <alignment horizontal="left"/>
    </xf>
    <xf numFmtId="0" fontId="0" fillId="0" borderId="0" xfId="0" applyFill="1" applyBorder="1" applyAlignment="1" applyProtection="1">
      <alignment horizontal="center"/>
      <protection locked="0"/>
    </xf>
    <xf numFmtId="0" fontId="0" fillId="0" borderId="0" xfId="0" applyFill="1" applyBorder="1" applyProtection="1"/>
    <xf numFmtId="184" fontId="3" fillId="0" borderId="0" xfId="0" applyNumberFormat="1" applyFont="1" applyFill="1" applyBorder="1" applyAlignment="1" applyProtection="1">
      <alignment horizontal="left"/>
    </xf>
    <xf numFmtId="0" fontId="0" fillId="0" borderId="0" xfId="0" applyFill="1" applyAlignment="1" applyProtection="1">
      <alignment horizontal="left"/>
      <protection locked="0"/>
    </xf>
    <xf numFmtId="0" fontId="3" fillId="0" borderId="0" xfId="0" applyFont="1" applyFill="1" applyAlignment="1" applyProtection="1">
      <alignment horizontal="left"/>
      <protection locked="0"/>
    </xf>
    <xf numFmtId="0" fontId="0" fillId="0" borderId="21" xfId="0" applyFill="1" applyBorder="1" applyAlignment="1" applyProtection="1">
      <alignment horizontal="center"/>
    </xf>
    <xf numFmtId="0" fontId="13" fillId="0" borderId="17" xfId="0" applyFont="1" applyFill="1" applyBorder="1" applyAlignment="1" applyProtection="1">
      <alignment horizontal="right"/>
    </xf>
    <xf numFmtId="0" fontId="3" fillId="6" borderId="0" xfId="0" applyFont="1" applyFill="1" applyAlignment="1" applyProtection="1">
      <alignment horizontal="right"/>
    </xf>
    <xf numFmtId="0" fontId="3" fillId="11" borderId="0" xfId="0" applyFont="1" applyFill="1" applyAlignment="1" applyProtection="1">
      <alignment horizontal="left"/>
    </xf>
    <xf numFmtId="0" fontId="0" fillId="0" borderId="22" xfId="0" applyFill="1" applyBorder="1" applyAlignment="1" applyProtection="1">
      <alignment horizontal="center"/>
    </xf>
    <xf numFmtId="0" fontId="0" fillId="0" borderId="17" xfId="0" applyFill="1" applyBorder="1" applyAlignment="1" applyProtection="1">
      <alignment horizontal="center"/>
      <protection locked="0"/>
    </xf>
    <xf numFmtId="0" fontId="13" fillId="0" borderId="0" xfId="0" applyFont="1" applyFill="1" applyBorder="1" applyAlignment="1" applyProtection="1">
      <alignment horizontal="right"/>
    </xf>
    <xf numFmtId="0" fontId="0" fillId="0" borderId="0" xfId="0" applyFill="1" applyBorder="1" applyAlignment="1" applyProtection="1">
      <alignment horizontal="left"/>
    </xf>
    <xf numFmtId="0" fontId="0" fillId="0" borderId="0" xfId="0" quotePrefix="1" applyFill="1" applyBorder="1" applyAlignment="1" applyProtection="1">
      <alignment horizontal="left"/>
    </xf>
    <xf numFmtId="0" fontId="16" fillId="0" borderId="0" xfId="0" applyFont="1" applyFill="1" applyBorder="1" applyAlignment="1" applyProtection="1">
      <alignment horizontal="center"/>
    </xf>
    <xf numFmtId="0" fontId="3" fillId="0" borderId="0" xfId="0" applyFont="1" applyFill="1" applyBorder="1" applyAlignment="1" applyProtection="1">
      <alignment horizontal="right"/>
    </xf>
    <xf numFmtId="0" fontId="20" fillId="0" borderId="0" xfId="0" applyFont="1"/>
    <xf numFmtId="0" fontId="3" fillId="0" borderId="0" xfId="0" applyFont="1" applyFill="1" applyBorder="1" applyAlignment="1" applyProtection="1">
      <alignment horizontal="center" vertical="center"/>
    </xf>
    <xf numFmtId="0" fontId="0" fillId="10" borderId="12" xfId="0" applyFill="1" applyBorder="1" applyProtection="1">
      <protection locked="0"/>
    </xf>
    <xf numFmtId="0" fontId="0" fillId="0" borderId="0" xfId="0" applyProtection="1">
      <protection locked="0"/>
    </xf>
    <xf numFmtId="0" fontId="4" fillId="0" borderId="23" xfId="0" applyFont="1" applyFill="1" applyBorder="1" applyProtection="1">
      <protection locked="0"/>
    </xf>
    <xf numFmtId="0" fontId="4" fillId="0" borderId="24" xfId="0" applyFont="1" applyFill="1" applyBorder="1" applyProtection="1">
      <protection locked="0"/>
    </xf>
    <xf numFmtId="0" fontId="4" fillId="0" borderId="18" xfId="0" applyFont="1" applyFill="1" applyBorder="1" applyProtection="1">
      <protection locked="0"/>
    </xf>
    <xf numFmtId="0" fontId="4" fillId="0" borderId="19" xfId="0" applyFont="1" applyFill="1" applyBorder="1" applyProtection="1">
      <protection locked="0"/>
    </xf>
    <xf numFmtId="0" fontId="4" fillId="0" borderId="25" xfId="0" applyFont="1" applyFill="1" applyBorder="1" applyProtection="1">
      <protection locked="0"/>
    </xf>
    <xf numFmtId="0" fontId="4" fillId="0" borderId="20" xfId="0" applyFont="1" applyFill="1" applyBorder="1" applyProtection="1">
      <protection locked="0"/>
    </xf>
    <xf numFmtId="0" fontId="20" fillId="0" borderId="0" xfId="0" applyFont="1" applyProtection="1"/>
    <xf numFmtId="0" fontId="20" fillId="2" borderId="26" xfId="0" applyFont="1" applyFill="1" applyBorder="1" applyProtection="1"/>
    <xf numFmtId="0" fontId="0" fillId="2" borderId="12" xfId="0" applyFill="1" applyBorder="1" applyProtection="1"/>
    <xf numFmtId="0" fontId="20" fillId="12" borderId="12" xfId="0" applyFont="1" applyFill="1" applyBorder="1" applyProtection="1"/>
    <xf numFmtId="0" fontId="20" fillId="13" borderId="12" xfId="0" applyFont="1" applyFill="1" applyBorder="1" applyProtection="1"/>
    <xf numFmtId="0" fontId="20" fillId="2" borderId="12" xfId="0" applyFont="1" applyFill="1" applyBorder="1" applyProtection="1"/>
    <xf numFmtId="0" fontId="20" fillId="0" borderId="0" xfId="0" applyFont="1" applyFill="1" applyBorder="1" applyProtection="1"/>
    <xf numFmtId="0" fontId="0" fillId="12" borderId="12" xfId="0" applyFill="1" applyBorder="1" applyProtection="1"/>
    <xf numFmtId="0" fontId="20" fillId="0" borderId="0" xfId="0" quotePrefix="1" applyFont="1" applyProtection="1"/>
    <xf numFmtId="0" fontId="0" fillId="13" borderId="12" xfId="0" applyFill="1" applyBorder="1" applyProtection="1"/>
    <xf numFmtId="0" fontId="0" fillId="10" borderId="0" xfId="0" applyFill="1" applyProtection="1"/>
    <xf numFmtId="0" fontId="1" fillId="0" borderId="0" xfId="0" applyFont="1" applyFill="1" applyProtection="1"/>
    <xf numFmtId="0" fontId="1" fillId="10" borderId="0" xfId="0" applyFont="1" applyFill="1" applyProtection="1"/>
    <xf numFmtId="0" fontId="10" fillId="0" borderId="27" xfId="0" applyFont="1" applyBorder="1" applyProtection="1"/>
    <xf numFmtId="0" fontId="10" fillId="0" borderId="24" xfId="0" applyFont="1" applyBorder="1" applyProtection="1"/>
    <xf numFmtId="0" fontId="10" fillId="0" borderId="18" xfId="0" applyFont="1" applyBorder="1" applyProtection="1"/>
    <xf numFmtId="0" fontId="10" fillId="0" borderId="0" xfId="0" applyFont="1" applyBorder="1" applyProtection="1"/>
    <xf numFmtId="0" fontId="10" fillId="0" borderId="19" xfId="0" applyFont="1" applyBorder="1" applyProtection="1"/>
    <xf numFmtId="0" fontId="10" fillId="0" borderId="25" xfId="0" applyFont="1" applyBorder="1" applyProtection="1"/>
    <xf numFmtId="0" fontId="10" fillId="0" borderId="17" xfId="0" applyFont="1" applyBorder="1" applyProtection="1"/>
    <xf numFmtId="0" fontId="10" fillId="0" borderId="20" xfId="0" applyFont="1" applyBorder="1" applyProtection="1"/>
    <xf numFmtId="0" fontId="0" fillId="9" borderId="0" xfId="0" applyFill="1" applyProtection="1"/>
    <xf numFmtId="0" fontId="0" fillId="0" borderId="0" xfId="0" applyFill="1" applyAlignment="1" applyProtection="1">
      <alignment horizontal="left"/>
    </xf>
    <xf numFmtId="0" fontId="1" fillId="0" borderId="0" xfId="0" applyFont="1" applyFill="1" applyAlignment="1" applyProtection="1">
      <alignment horizontal="center"/>
    </xf>
    <xf numFmtId="0" fontId="1" fillId="0" borderId="0" xfId="0" applyFont="1" applyFill="1" applyBorder="1" applyAlignment="1" applyProtection="1">
      <alignment horizontal="center"/>
    </xf>
    <xf numFmtId="0" fontId="1" fillId="0" borderId="0" xfId="0" applyFont="1" applyFill="1" applyAlignment="1" applyProtection="1">
      <alignment horizontal="left"/>
    </xf>
    <xf numFmtId="0" fontId="1" fillId="0" borderId="0" xfId="0" applyFont="1" applyAlignment="1" applyProtection="1">
      <alignment horizontal="left"/>
    </xf>
    <xf numFmtId="0" fontId="1" fillId="0" borderId="0" xfId="0" applyFont="1" applyFill="1" applyBorder="1" applyProtection="1"/>
    <xf numFmtId="0" fontId="3" fillId="14" borderId="0" xfId="0" applyFont="1" applyFill="1" applyBorder="1" applyAlignment="1" applyProtection="1">
      <alignment horizontal="left"/>
    </xf>
    <xf numFmtId="0" fontId="3" fillId="6" borderId="0" xfId="0" applyFont="1" applyFill="1" applyBorder="1" applyAlignment="1" applyProtection="1">
      <alignment horizontal="right"/>
    </xf>
    <xf numFmtId="0" fontId="3" fillId="11" borderId="0" xfId="0" applyFont="1" applyFill="1" applyBorder="1" applyAlignment="1" applyProtection="1">
      <alignment horizontal="left"/>
    </xf>
    <xf numFmtId="0" fontId="2" fillId="0" borderId="0" xfId="0" applyFont="1" applyFill="1" applyBorder="1" applyAlignment="1" applyProtection="1">
      <alignment horizontal="left"/>
    </xf>
    <xf numFmtId="0" fontId="1" fillId="0" borderId="17" xfId="0" applyFont="1" applyFill="1" applyBorder="1" applyAlignment="1" applyProtection="1">
      <alignment horizontal="center"/>
    </xf>
    <xf numFmtId="0" fontId="1" fillId="0" borderId="17" xfId="0" applyFont="1" applyFill="1" applyBorder="1" applyAlignment="1" applyProtection="1">
      <alignment horizontal="left"/>
    </xf>
    <xf numFmtId="0" fontId="0" fillId="0" borderId="17" xfId="0" applyFill="1" applyBorder="1" applyProtection="1"/>
    <xf numFmtId="0" fontId="3" fillId="0" borderId="17" xfId="0" applyFont="1" applyFill="1" applyBorder="1" applyAlignment="1" applyProtection="1">
      <alignment horizontal="left"/>
    </xf>
    <xf numFmtId="0" fontId="3" fillId="0" borderId="28" xfId="0" applyFont="1" applyBorder="1" applyAlignment="1" applyProtection="1">
      <alignment horizontal="right"/>
    </xf>
    <xf numFmtId="0" fontId="3" fillId="0" borderId="28" xfId="0" applyFont="1" applyFill="1" applyBorder="1" applyAlignment="1" applyProtection="1">
      <alignment horizontal="right"/>
    </xf>
    <xf numFmtId="0" fontId="0" fillId="0" borderId="28" xfId="0" applyFill="1" applyBorder="1" applyProtection="1"/>
    <xf numFmtId="0" fontId="3" fillId="0" borderId="28" xfId="0" applyFont="1" applyBorder="1" applyAlignment="1" applyProtection="1">
      <alignment horizontal="left"/>
    </xf>
    <xf numFmtId="0" fontId="3" fillId="0" borderId="28" xfId="0" applyFont="1" applyFill="1" applyBorder="1" applyAlignment="1" applyProtection="1">
      <alignment horizontal="left"/>
    </xf>
    <xf numFmtId="0" fontId="0" fillId="0" borderId="0" xfId="0" applyFill="1" applyAlignment="1" applyProtection="1"/>
    <xf numFmtId="0" fontId="20" fillId="0" borderId="0" xfId="0" applyFont="1" applyAlignment="1" applyProtection="1">
      <alignment horizontal="center"/>
    </xf>
    <xf numFmtId="0" fontId="1" fillId="0" borderId="0" xfId="0" applyFont="1" applyAlignment="1" applyProtection="1">
      <alignment horizontal="center"/>
    </xf>
    <xf numFmtId="0" fontId="0" fillId="0" borderId="17" xfId="0" applyBorder="1" applyAlignment="1" applyProtection="1">
      <alignment horizontal="center"/>
    </xf>
    <xf numFmtId="0" fontId="20" fillId="0" borderId="17" xfId="0" applyFont="1" applyBorder="1" applyAlignment="1" applyProtection="1">
      <alignment horizontal="center"/>
    </xf>
    <xf numFmtId="0" fontId="20" fillId="0" borderId="0" xfId="0" applyFont="1" applyAlignment="1" applyProtection="1">
      <alignment horizontal="left"/>
    </xf>
    <xf numFmtId="0" fontId="20" fillId="0" borderId="0" xfId="0" applyFont="1" applyFill="1" applyAlignment="1" applyProtection="1">
      <alignment horizontal="center"/>
    </xf>
    <xf numFmtId="0" fontId="20" fillId="0" borderId="0" xfId="0" applyFont="1" applyFill="1" applyAlignment="1" applyProtection="1">
      <alignment horizontal="left"/>
    </xf>
    <xf numFmtId="0" fontId="1" fillId="0" borderId="0" xfId="0" applyFont="1" applyFill="1" applyBorder="1" applyAlignment="1" applyProtection="1">
      <alignment horizontal="left"/>
    </xf>
    <xf numFmtId="0" fontId="20" fillId="0" borderId="0" xfId="0" applyFont="1" applyFill="1" applyProtection="1"/>
    <xf numFmtId="0" fontId="0" fillId="9" borderId="0" xfId="0" applyFill="1" applyAlignment="1" applyProtection="1">
      <alignment horizontal="center"/>
    </xf>
    <xf numFmtId="0" fontId="22" fillId="0" borderId="0" xfId="0" applyFont="1" applyFill="1" applyBorder="1" applyAlignment="1" applyProtection="1">
      <alignment horizontal="center"/>
    </xf>
    <xf numFmtId="0" fontId="1" fillId="0" borderId="0" xfId="0" applyFont="1" applyFill="1" applyBorder="1" applyAlignment="1" applyProtection="1">
      <alignment horizontal="center" textRotation="90"/>
    </xf>
    <xf numFmtId="0" fontId="1" fillId="0" borderId="29" xfId="0" applyFont="1" applyFill="1" applyBorder="1" applyAlignment="1" applyProtection="1">
      <alignment horizontal="left"/>
    </xf>
    <xf numFmtId="0" fontId="3" fillId="0" borderId="11" xfId="0" applyFont="1" applyFill="1" applyBorder="1" applyAlignment="1" applyProtection="1">
      <alignment horizontal="center"/>
    </xf>
    <xf numFmtId="0" fontId="1" fillId="2" borderId="11" xfId="0" applyFont="1" applyFill="1" applyBorder="1" applyAlignment="1" applyProtection="1">
      <alignment horizontal="center"/>
    </xf>
    <xf numFmtId="0" fontId="1" fillId="2" borderId="30" xfId="0" applyFont="1" applyFill="1" applyBorder="1" applyAlignment="1" applyProtection="1">
      <alignment horizontal="center"/>
    </xf>
    <xf numFmtId="0" fontId="1" fillId="0" borderId="17" xfId="0" applyFont="1" applyBorder="1" applyAlignment="1" applyProtection="1">
      <alignment horizontal="left"/>
    </xf>
    <xf numFmtId="0" fontId="0" fillId="0" borderId="17" xfId="0" applyFill="1" applyBorder="1" applyAlignment="1" applyProtection="1">
      <alignment horizontal="center" textRotation="90"/>
    </xf>
    <xf numFmtId="0" fontId="23" fillId="0" borderId="0" xfId="0" applyFont="1" applyFill="1" applyAlignment="1" applyProtection="1">
      <alignment horizontal="left"/>
    </xf>
    <xf numFmtId="0" fontId="1" fillId="0" borderId="17" xfId="0" applyFont="1" applyBorder="1" applyAlignment="1" applyProtection="1">
      <alignment horizontal="center"/>
    </xf>
    <xf numFmtId="0" fontId="3" fillId="0" borderId="17" xfId="0" applyFont="1" applyFill="1" applyBorder="1" applyAlignment="1" applyProtection="1">
      <alignment horizontal="right"/>
    </xf>
    <xf numFmtId="0" fontId="20" fillId="0" borderId="17" xfId="0" applyFont="1" applyFill="1" applyBorder="1" applyAlignment="1" applyProtection="1">
      <alignment horizontal="left"/>
    </xf>
    <xf numFmtId="0" fontId="1" fillId="0" borderId="0" xfId="0" applyFont="1" applyFill="1" applyAlignment="1" applyProtection="1">
      <alignment horizontal="right"/>
    </xf>
    <xf numFmtId="0" fontId="1" fillId="0" borderId="16" xfId="0" applyFont="1" applyFill="1" applyBorder="1" applyAlignment="1" applyProtection="1">
      <alignment horizontal="right"/>
    </xf>
    <xf numFmtId="0" fontId="1" fillId="3" borderId="1" xfId="0" applyFont="1" applyFill="1" applyBorder="1" applyAlignment="1" applyProtection="1">
      <alignment horizontal="center"/>
    </xf>
    <xf numFmtId="0" fontId="1" fillId="0" borderId="16" xfId="0" applyFont="1" applyFill="1" applyBorder="1" applyProtection="1"/>
    <xf numFmtId="0" fontId="1" fillId="0" borderId="16" xfId="0" applyFont="1" applyFill="1" applyBorder="1" applyAlignment="1" applyProtection="1">
      <alignment horizontal="center"/>
    </xf>
    <xf numFmtId="0" fontId="1" fillId="0" borderId="0" xfId="0" applyFont="1" applyProtection="1"/>
    <xf numFmtId="0" fontId="17" fillId="0" borderId="0" xfId="0" applyFont="1" applyFill="1" applyBorder="1" applyAlignment="1" applyProtection="1">
      <alignment horizontal="center" vertical="center" wrapText="1"/>
    </xf>
    <xf numFmtId="0" fontId="0" fillId="0" borderId="0" xfId="0" applyFill="1" applyBorder="1" applyAlignment="1" applyProtection="1"/>
    <xf numFmtId="0" fontId="1" fillId="9" borderId="16" xfId="0" applyFont="1" applyFill="1" applyBorder="1" applyAlignment="1" applyProtection="1">
      <alignment horizontal="center"/>
    </xf>
    <xf numFmtId="0" fontId="1" fillId="0" borderId="28" xfId="0" applyFont="1" applyFill="1" applyBorder="1" applyAlignment="1" applyProtection="1">
      <alignment horizontal="left"/>
    </xf>
    <xf numFmtId="0" fontId="1" fillId="0" borderId="0" xfId="0" applyFont="1" applyFill="1" applyBorder="1" applyAlignment="1" applyProtection="1">
      <alignment horizontal="left"/>
      <protection locked="0"/>
    </xf>
    <xf numFmtId="0" fontId="20" fillId="0" borderId="17" xfId="0" applyFont="1" applyFill="1" applyBorder="1" applyAlignment="1" applyProtection="1">
      <alignment horizontal="center"/>
    </xf>
    <xf numFmtId="0" fontId="0" fillId="0" borderId="31" xfId="0" applyFill="1" applyBorder="1" applyAlignment="1" applyProtection="1">
      <alignment horizontal="center"/>
    </xf>
    <xf numFmtId="0" fontId="3" fillId="0" borderId="0" xfId="0" applyFont="1" applyBorder="1" applyAlignment="1" applyProtection="1">
      <alignment horizontal="left"/>
    </xf>
    <xf numFmtId="0" fontId="18" fillId="0" borderId="0" xfId="0" applyFont="1" applyFill="1" applyBorder="1" applyAlignment="1" applyProtection="1">
      <alignment horizontal="center"/>
    </xf>
    <xf numFmtId="0" fontId="20" fillId="10" borderId="32" xfId="0" applyFont="1" applyFill="1" applyBorder="1" applyProtection="1">
      <protection locked="0"/>
    </xf>
    <xf numFmtId="0" fontId="0" fillId="10" borderId="33" xfId="0" applyFill="1" applyBorder="1" applyProtection="1">
      <protection locked="0"/>
    </xf>
    <xf numFmtId="0" fontId="4" fillId="0" borderId="0" xfId="0" applyFont="1"/>
    <xf numFmtId="0" fontId="4" fillId="15" borderId="12" xfId="0" applyFont="1" applyFill="1" applyBorder="1"/>
    <xf numFmtId="0" fontId="4" fillId="16" borderId="12" xfId="0" applyFont="1" applyFill="1" applyBorder="1"/>
    <xf numFmtId="0" fontId="4" fillId="2" borderId="0" xfId="0" applyFont="1" applyFill="1" applyProtection="1"/>
    <xf numFmtId="0" fontId="4" fillId="2" borderId="0" xfId="0" applyFont="1" applyFill="1" applyAlignment="1" applyProtection="1">
      <alignment horizontal="center"/>
    </xf>
    <xf numFmtId="0" fontId="4" fillId="2" borderId="0" xfId="0" applyFont="1" applyFill="1"/>
    <xf numFmtId="0" fontId="4" fillId="10" borderId="12" xfId="0" applyFont="1" applyFill="1" applyBorder="1" applyAlignment="1" applyProtection="1">
      <alignment horizontal="center"/>
    </xf>
    <xf numFmtId="0" fontId="4" fillId="10" borderId="12" xfId="0" quotePrefix="1" applyFont="1" applyFill="1" applyBorder="1" applyAlignment="1" applyProtection="1">
      <alignment horizontal="center"/>
    </xf>
    <xf numFmtId="0" fontId="4" fillId="10" borderId="12" xfId="0" applyFont="1" applyFill="1" applyBorder="1"/>
    <xf numFmtId="0" fontId="1" fillId="0" borderId="0" xfId="0" quotePrefix="1" applyFont="1" applyFill="1" applyAlignment="1" applyProtection="1">
      <alignment horizontal="left"/>
    </xf>
    <xf numFmtId="0" fontId="0" fillId="0" borderId="17" xfId="0" applyBorder="1" applyProtection="1"/>
    <xf numFmtId="0" fontId="0" fillId="0" borderId="0" xfId="0" applyFont="1" applyProtection="1">
      <protection locked="0"/>
    </xf>
    <xf numFmtId="0" fontId="0" fillId="0" borderId="0" xfId="0" applyFill="1" applyBorder="1"/>
    <xf numFmtId="0" fontId="33" fillId="0" borderId="0" xfId="0" applyFont="1" applyFill="1" applyBorder="1" applyAlignment="1" applyProtection="1">
      <alignment horizontal="center" vertical="center" wrapText="1"/>
    </xf>
    <xf numFmtId="0" fontId="34" fillId="0" borderId="0" xfId="0" applyFont="1" applyProtection="1"/>
    <xf numFmtId="0" fontId="34" fillId="0" borderId="0" xfId="0" applyFont="1" applyFill="1" applyBorder="1" applyAlignment="1" applyProtection="1">
      <alignment horizontal="center"/>
    </xf>
    <xf numFmtId="0" fontId="26" fillId="0" borderId="0" xfId="0" applyFont="1" applyProtection="1"/>
    <xf numFmtId="0" fontId="10" fillId="0" borderId="18" xfId="0" quotePrefix="1" applyFont="1" applyBorder="1" applyProtection="1"/>
    <xf numFmtId="0" fontId="10" fillId="0" borderId="23" xfId="0" quotePrefix="1" applyFont="1" applyBorder="1" applyProtection="1"/>
    <xf numFmtId="0" fontId="23" fillId="0" borderId="0" xfId="0" applyFont="1" applyFill="1" applyBorder="1" applyAlignment="1" applyProtection="1">
      <alignment horizontal="left"/>
    </xf>
    <xf numFmtId="0" fontId="1" fillId="17" borderId="0" xfId="0" applyFont="1" applyFill="1" applyBorder="1" applyAlignment="1" applyProtection="1">
      <alignment horizontal="left"/>
    </xf>
    <xf numFmtId="0" fontId="3" fillId="14" borderId="34" xfId="0" applyFont="1" applyFill="1" applyBorder="1" applyAlignment="1" applyProtection="1">
      <alignment horizontal="left"/>
    </xf>
    <xf numFmtId="49" fontId="27" fillId="17" borderId="0" xfId="0" applyNumberFormat="1" applyFont="1" applyFill="1" applyProtection="1"/>
    <xf numFmtId="0" fontId="20" fillId="18" borderId="12" xfId="0" applyFont="1" applyFill="1" applyBorder="1" applyAlignment="1" applyProtection="1">
      <alignment horizontal="left" textRotation="90"/>
    </xf>
    <xf numFmtId="0" fontId="20" fillId="18" borderId="12" xfId="0" applyFont="1" applyFill="1" applyBorder="1" applyAlignment="1" applyProtection="1">
      <alignment horizontal="center"/>
    </xf>
    <xf numFmtId="0" fontId="0" fillId="18" borderId="12" xfId="0" applyFill="1" applyBorder="1" applyAlignment="1" applyProtection="1">
      <alignment horizontal="center"/>
    </xf>
    <xf numFmtId="0" fontId="0" fillId="18" borderId="12" xfId="0" applyFill="1" applyBorder="1" applyProtection="1"/>
    <xf numFmtId="0" fontId="20" fillId="18" borderId="12" xfId="0" applyFont="1" applyFill="1" applyBorder="1" applyProtection="1"/>
    <xf numFmtId="0" fontId="20" fillId="12" borderId="12" xfId="0" applyFont="1" applyFill="1" applyBorder="1" applyAlignment="1" applyProtection="1">
      <alignment horizontal="left" textRotation="90"/>
    </xf>
    <xf numFmtId="0" fontId="20" fillId="12" borderId="12" xfId="0" applyFont="1" applyFill="1" applyBorder="1" applyAlignment="1" applyProtection="1">
      <alignment horizontal="center"/>
    </xf>
    <xf numFmtId="0" fontId="0" fillId="12" borderId="12" xfId="0" applyFill="1" applyBorder="1" applyAlignment="1" applyProtection="1">
      <alignment horizontal="center"/>
    </xf>
    <xf numFmtId="0" fontId="35" fillId="0" borderId="0" xfId="0" applyFont="1" applyFill="1" applyProtection="1"/>
    <xf numFmtId="14" fontId="36" fillId="0" borderId="0" xfId="0" applyNumberFormat="1" applyFont="1" applyFill="1" applyBorder="1" applyAlignment="1" applyProtection="1">
      <alignment horizontal="center"/>
    </xf>
    <xf numFmtId="0" fontId="34" fillId="0" borderId="0" xfId="0" applyFont="1" applyFill="1" applyProtection="1"/>
    <xf numFmtId="0" fontId="34" fillId="0" borderId="17" xfId="0" applyFont="1" applyBorder="1" applyProtection="1"/>
    <xf numFmtId="0" fontId="1" fillId="19" borderId="12" xfId="0" applyFont="1" applyFill="1" applyBorder="1"/>
    <xf numFmtId="14" fontId="1" fillId="19" borderId="12" xfId="0" applyNumberFormat="1" applyFont="1" applyFill="1" applyBorder="1"/>
    <xf numFmtId="0" fontId="0" fillId="10" borderId="12" xfId="0" applyFill="1" applyBorder="1"/>
    <xf numFmtId="0" fontId="20" fillId="10" borderId="12" xfId="0" applyFont="1" applyFill="1" applyBorder="1"/>
    <xf numFmtId="0" fontId="33" fillId="20" borderId="12" xfId="0" applyFont="1" applyFill="1" applyBorder="1"/>
    <xf numFmtId="0" fontId="33" fillId="20" borderId="12" xfId="0" applyNumberFormat="1" applyFont="1" applyFill="1" applyBorder="1"/>
    <xf numFmtId="0" fontId="10" fillId="0" borderId="0" xfId="0" applyFont="1"/>
    <xf numFmtId="14" fontId="0" fillId="0" borderId="0" xfId="0" applyNumberFormat="1" applyProtection="1"/>
    <xf numFmtId="14" fontId="20" fillId="0" borderId="0" xfId="0" applyNumberFormat="1" applyFont="1" applyProtection="1"/>
    <xf numFmtId="14" fontId="0" fillId="0" borderId="17" xfId="0" applyNumberFormat="1" applyBorder="1" applyProtection="1"/>
    <xf numFmtId="0" fontId="0" fillId="0" borderId="0" xfId="0" applyAlignment="1">
      <alignment horizontal="center" vertical="center"/>
    </xf>
    <xf numFmtId="0" fontId="12" fillId="0" borderId="0" xfId="0" applyFont="1" applyFill="1" applyBorder="1" applyAlignment="1" applyProtection="1">
      <alignment horizontal="center" vertical="center"/>
    </xf>
    <xf numFmtId="0" fontId="20" fillId="0" borderId="35" xfId="0" applyFont="1" applyFill="1" applyBorder="1" applyProtection="1"/>
    <xf numFmtId="0" fontId="10" fillId="0" borderId="35" xfId="0" applyFont="1" applyFill="1" applyBorder="1" applyProtection="1"/>
    <xf numFmtId="0" fontId="16" fillId="0" borderId="35" xfId="0" applyFont="1" applyFill="1" applyBorder="1" applyAlignment="1" applyProtection="1">
      <alignment horizontal="center"/>
    </xf>
    <xf numFmtId="0" fontId="20" fillId="0" borderId="35" xfId="0" applyFont="1" applyFill="1" applyBorder="1" applyAlignment="1" applyProtection="1">
      <alignment horizontal="center"/>
    </xf>
    <xf numFmtId="0" fontId="20" fillId="0" borderId="35" xfId="0" applyFont="1" applyBorder="1"/>
    <xf numFmtId="0" fontId="20" fillId="0" borderId="35" xfId="0" applyFont="1" applyBorder="1" applyAlignment="1"/>
    <xf numFmtId="18" fontId="4" fillId="0" borderId="35" xfId="0" applyNumberFormat="1" applyFont="1" applyBorder="1" applyAlignment="1"/>
    <xf numFmtId="0" fontId="4" fillId="0" borderId="35" xfId="0" applyFont="1" applyBorder="1" applyAlignment="1"/>
    <xf numFmtId="0" fontId="4" fillId="0" borderId="35" xfId="0" applyFont="1" applyFill="1" applyBorder="1" applyProtection="1"/>
    <xf numFmtId="0" fontId="27" fillId="0" borderId="35" xfId="0" applyFont="1" applyFill="1" applyBorder="1" applyProtection="1"/>
    <xf numFmtId="0" fontId="28" fillId="0" borderId="35" xfId="0" applyFont="1" applyFill="1" applyBorder="1" applyAlignment="1" applyProtection="1">
      <alignment horizontal="center"/>
    </xf>
    <xf numFmtId="0" fontId="4" fillId="0" borderId="35" xfId="0" applyFont="1" applyFill="1" applyBorder="1" applyAlignment="1" applyProtection="1">
      <alignment horizontal="center"/>
    </xf>
    <xf numFmtId="0" fontId="4" fillId="0" borderId="35" xfId="0" applyFont="1" applyBorder="1"/>
    <xf numFmtId="0" fontId="12" fillId="0" borderId="0" xfId="0" applyFont="1" applyFill="1" applyBorder="1" applyAlignment="1" applyProtection="1">
      <alignment horizontal="center"/>
    </xf>
    <xf numFmtId="0" fontId="4" fillId="0" borderId="35" xfId="0" applyFont="1" applyBorder="1" applyAlignment="1" applyProtection="1">
      <alignment horizontal="center"/>
    </xf>
    <xf numFmtId="0" fontId="4" fillId="0" borderId="35" xfId="0" applyFont="1" applyBorder="1" applyAlignment="1">
      <alignment horizontal="center" vertical="center"/>
    </xf>
    <xf numFmtId="0" fontId="4" fillId="0" borderId="35" xfId="0" applyFont="1" applyBorder="1" applyProtection="1"/>
    <xf numFmtId="0" fontId="12" fillId="21" borderId="0" xfId="0" applyFont="1" applyFill="1" applyBorder="1" applyAlignment="1" applyProtection="1">
      <alignment horizontal="left"/>
    </xf>
    <xf numFmtId="0" fontId="12" fillId="21" borderId="0" xfId="0" applyFont="1" applyFill="1" applyBorder="1" applyAlignment="1" applyProtection="1">
      <alignment horizontal="center"/>
    </xf>
    <xf numFmtId="0" fontId="0" fillId="22" borderId="0" xfId="0" applyFill="1" applyAlignment="1" applyProtection="1">
      <alignment horizontal="center"/>
    </xf>
    <xf numFmtId="0" fontId="0" fillId="22" borderId="0" xfId="0" applyFill="1" applyProtection="1"/>
    <xf numFmtId="0" fontId="37" fillId="22" borderId="0" xfId="0" applyFont="1" applyFill="1" applyAlignment="1" applyProtection="1">
      <alignment horizontal="left"/>
    </xf>
    <xf numFmtId="0" fontId="20" fillId="0" borderId="0" xfId="0" quotePrefix="1" applyFont="1" applyFill="1" applyAlignment="1" applyProtection="1">
      <alignment horizontal="left"/>
    </xf>
    <xf numFmtId="0" fontId="3" fillId="0" borderId="0" xfId="0" applyFont="1" applyFill="1" applyAlignment="1" applyProtection="1">
      <alignment horizontal="center"/>
    </xf>
    <xf numFmtId="0" fontId="3" fillId="0" borderId="12" xfId="0" applyFont="1" applyFill="1" applyBorder="1" applyAlignment="1" applyProtection="1">
      <alignment horizontal="center"/>
    </xf>
    <xf numFmtId="0" fontId="3" fillId="0" borderId="10" xfId="0" applyFont="1" applyFill="1" applyBorder="1" applyAlignment="1" applyProtection="1">
      <alignment horizontal="center"/>
    </xf>
    <xf numFmtId="0" fontId="0" fillId="0" borderId="1" xfId="0" applyFill="1" applyBorder="1" applyAlignment="1" applyProtection="1">
      <alignment horizontal="center"/>
    </xf>
    <xf numFmtId="0" fontId="0" fillId="0" borderId="12" xfId="0" applyFont="1" applyFill="1" applyBorder="1" applyAlignment="1" applyProtection="1">
      <alignment horizontal="center"/>
    </xf>
    <xf numFmtId="0" fontId="3" fillId="9" borderId="1" xfId="0" applyFont="1" applyFill="1" applyBorder="1" applyAlignment="1" applyProtection="1">
      <alignment horizontal="center"/>
    </xf>
    <xf numFmtId="0" fontId="3" fillId="9" borderId="0" xfId="0" applyFont="1" applyFill="1" applyAlignment="1" applyProtection="1">
      <alignment horizontal="center"/>
    </xf>
    <xf numFmtId="0" fontId="38" fillId="0" borderId="0" xfId="0" applyFont="1" applyProtection="1"/>
    <xf numFmtId="0" fontId="38" fillId="0" borderId="0" xfId="0" applyFont="1" applyFill="1" applyAlignment="1" applyProtection="1">
      <alignment horizontal="center"/>
    </xf>
    <xf numFmtId="0" fontId="34" fillId="0" borderId="0" xfId="0" applyFont="1" applyAlignment="1" applyProtection="1">
      <alignment horizontal="center"/>
    </xf>
    <xf numFmtId="0" fontId="27" fillId="0" borderId="0" xfId="0" applyFont="1" applyProtection="1"/>
    <xf numFmtId="0" fontId="34" fillId="0" borderId="0" xfId="0" applyFont="1" applyBorder="1" applyProtection="1"/>
    <xf numFmtId="0" fontId="35" fillId="0" borderId="17" xfId="0" applyFont="1" applyFill="1" applyBorder="1" applyProtection="1"/>
    <xf numFmtId="0" fontId="0" fillId="0" borderId="36" xfId="0" applyBorder="1" applyProtection="1"/>
    <xf numFmtId="0" fontId="0" fillId="0" borderId="36" xfId="0" applyBorder="1" applyAlignment="1" applyProtection="1">
      <alignment horizontal="center"/>
    </xf>
    <xf numFmtId="0" fontId="0" fillId="0" borderId="36" xfId="0" applyFill="1" applyBorder="1" applyProtection="1"/>
    <xf numFmtId="0" fontId="34" fillId="0" borderId="36" xfId="0" applyFont="1" applyBorder="1" applyProtection="1"/>
    <xf numFmtId="0" fontId="34" fillId="0" borderId="36" xfId="0" applyFont="1" applyBorder="1" applyAlignment="1" applyProtection="1">
      <alignment horizontal="center"/>
    </xf>
    <xf numFmtId="0" fontId="27" fillId="0" borderId="0" xfId="0" applyFont="1" applyFill="1" applyBorder="1" applyProtection="1"/>
    <xf numFmtId="0" fontId="20" fillId="0" borderId="0" xfId="0" applyFont="1" applyFill="1" applyBorder="1" applyAlignment="1" applyProtection="1">
      <alignment horizontal="left"/>
    </xf>
    <xf numFmtId="0" fontId="20" fillId="0" borderId="0" xfId="0" quotePrefix="1" applyFont="1" applyFill="1" applyBorder="1" applyAlignment="1" applyProtection="1">
      <alignment horizontal="left"/>
    </xf>
    <xf numFmtId="0" fontId="20" fillId="23" borderId="2" xfId="0" applyFont="1" applyFill="1" applyBorder="1" applyAlignment="1" applyProtection="1">
      <alignment horizontal="center" textRotation="90"/>
    </xf>
    <xf numFmtId="0" fontId="1" fillId="24" borderId="1" xfId="0" applyFont="1" applyFill="1" applyBorder="1" applyAlignment="1" applyProtection="1">
      <alignment horizontal="center"/>
    </xf>
    <xf numFmtId="0" fontId="0" fillId="23" borderId="0" xfId="0" applyFill="1" applyAlignment="1" applyProtection="1">
      <alignment horizontal="center" textRotation="90"/>
    </xf>
    <xf numFmtId="0" fontId="9" fillId="0" borderId="0" xfId="0" applyFont="1" applyProtection="1"/>
    <xf numFmtId="0" fontId="29" fillId="4" borderId="1" xfId="0" applyFont="1" applyFill="1" applyBorder="1" applyAlignment="1" applyProtection="1">
      <alignment horizontal="center"/>
    </xf>
    <xf numFmtId="0" fontId="9" fillId="3" borderId="3" xfId="0" applyFont="1" applyFill="1" applyBorder="1" applyAlignment="1" applyProtection="1">
      <alignment horizontal="center"/>
    </xf>
    <xf numFmtId="0" fontId="9" fillId="25" borderId="1" xfId="0" applyFont="1" applyFill="1" applyBorder="1" applyAlignment="1" applyProtection="1">
      <alignment horizontal="center"/>
    </xf>
    <xf numFmtId="0" fontId="9" fillId="7" borderId="1" xfId="0" applyFont="1" applyFill="1" applyBorder="1" applyAlignment="1" applyProtection="1">
      <alignment horizontal="center"/>
    </xf>
    <xf numFmtId="0" fontId="9" fillId="0" borderId="0" xfId="0" applyFont="1" applyFill="1" applyBorder="1" applyProtection="1"/>
    <xf numFmtId="0" fontId="20" fillId="10" borderId="32" xfId="0" applyFont="1" applyFill="1" applyBorder="1" applyAlignment="1" applyProtection="1">
      <protection locked="0"/>
    </xf>
    <xf numFmtId="0" fontId="0" fillId="10" borderId="33" xfId="0" applyFill="1" applyBorder="1" applyAlignment="1" applyProtection="1">
      <protection locked="0"/>
    </xf>
    <xf numFmtId="0" fontId="19" fillId="0" borderId="0" xfId="0" applyFont="1" applyFill="1" applyProtection="1"/>
    <xf numFmtId="0" fontId="6" fillId="0" borderId="0" xfId="0" applyFont="1" applyFill="1" applyProtection="1"/>
    <xf numFmtId="0" fontId="38" fillId="0" borderId="0" xfId="0" applyFont="1" applyFill="1" applyProtection="1"/>
    <xf numFmtId="0" fontId="38" fillId="0" borderId="0" xfId="0" applyFont="1" applyFill="1" applyBorder="1" applyProtection="1"/>
    <xf numFmtId="0" fontId="38" fillId="0" borderId="17" xfId="0" applyFont="1" applyFill="1" applyBorder="1" applyProtection="1"/>
    <xf numFmtId="0" fontId="38" fillId="0" borderId="36" xfId="0" applyFont="1" applyBorder="1" applyProtection="1"/>
    <xf numFmtId="0" fontId="38" fillId="0" borderId="0" xfId="0" applyFont="1" applyAlignment="1" applyProtection="1">
      <alignment horizontal="center"/>
    </xf>
    <xf numFmtId="0" fontId="39" fillId="0" borderId="0" xfId="0" applyFont="1" applyFill="1" applyBorder="1" applyAlignment="1" applyProtection="1">
      <alignment horizontal="center" vertical="center" wrapText="1"/>
    </xf>
    <xf numFmtId="0" fontId="38" fillId="0" borderId="0" xfId="0" applyFont="1" applyFill="1" applyBorder="1" applyAlignment="1" applyProtection="1">
      <alignment horizontal="center"/>
    </xf>
    <xf numFmtId="0" fontId="38" fillId="0" borderId="17" xfId="0" applyFont="1" applyBorder="1" applyProtection="1"/>
    <xf numFmtId="0" fontId="40" fillId="0" borderId="0" xfId="0" applyFont="1" applyFill="1" applyBorder="1" applyAlignment="1" applyProtection="1">
      <alignment horizontal="center"/>
    </xf>
    <xf numFmtId="0" fontId="38" fillId="0" borderId="36" xfId="0" applyFont="1" applyBorder="1" applyAlignment="1" applyProtection="1">
      <alignment horizontal="center"/>
    </xf>
    <xf numFmtId="0" fontId="27" fillId="0" borderId="0" xfId="0" applyFont="1" applyFill="1" applyBorder="1" applyAlignment="1" applyProtection="1">
      <alignment horizontal="left"/>
    </xf>
    <xf numFmtId="0" fontId="4" fillId="0" borderId="0" xfId="0" applyFont="1" applyFill="1" applyBorder="1" applyAlignment="1" applyProtection="1">
      <alignment horizontal="left"/>
    </xf>
    <xf numFmtId="0" fontId="20" fillId="10" borderId="12" xfId="0" applyFont="1" applyFill="1" applyBorder="1" applyProtection="1">
      <protection locked="0"/>
    </xf>
    <xf numFmtId="0" fontId="34" fillId="0" borderId="0" xfId="0" applyFont="1" applyFill="1" applyBorder="1" applyProtection="1">
      <protection locked="0"/>
    </xf>
    <xf numFmtId="0" fontId="34" fillId="0" borderId="0" xfId="0" applyFont="1" applyFill="1" applyBorder="1" applyAlignment="1" applyProtection="1">
      <protection locked="0"/>
    </xf>
    <xf numFmtId="0" fontId="34" fillId="0" borderId="0" xfId="0" applyFont="1" applyFill="1" applyAlignment="1" applyProtection="1">
      <alignment horizontal="center"/>
    </xf>
    <xf numFmtId="0" fontId="34" fillId="0" borderId="0" xfId="0" quotePrefix="1" applyFont="1" applyFill="1" applyBorder="1" applyAlignment="1" applyProtection="1">
      <alignment horizontal="center"/>
    </xf>
    <xf numFmtId="0" fontId="34" fillId="0" borderId="17" xfId="0" applyFont="1" applyBorder="1" applyAlignment="1" applyProtection="1">
      <alignment horizontal="center"/>
    </xf>
    <xf numFmtId="0" fontId="41" fillId="0" borderId="0" xfId="0" applyFont="1" applyFill="1" applyAlignment="1" applyProtection="1">
      <alignment horizontal="center"/>
    </xf>
    <xf numFmtId="0" fontId="41" fillId="0" borderId="0" xfId="0" applyFont="1" applyProtection="1"/>
    <xf numFmtId="0" fontId="41" fillId="0" borderId="0" xfId="0" applyFont="1" applyFill="1" applyProtection="1"/>
    <xf numFmtId="0" fontId="41" fillId="0" borderId="17" xfId="0" applyFont="1" applyFill="1" applyBorder="1" applyProtection="1"/>
    <xf numFmtId="0" fontId="41" fillId="0" borderId="0" xfId="0" applyFont="1" applyFill="1" applyBorder="1" applyAlignment="1" applyProtection="1">
      <alignment horizontal="center" vertical="center" wrapText="1"/>
    </xf>
    <xf numFmtId="0" fontId="41" fillId="0" borderId="36" xfId="0" applyFont="1" applyBorder="1" applyProtection="1"/>
    <xf numFmtId="0" fontId="0" fillId="0" borderId="0" xfId="0" applyAlignment="1" applyProtection="1">
      <alignment horizontal="left"/>
    </xf>
    <xf numFmtId="0" fontId="4" fillId="0" borderId="17" xfId="0" applyFont="1" applyBorder="1" applyProtection="1"/>
    <xf numFmtId="0" fontId="4" fillId="0" borderId="17" xfId="0" applyFont="1" applyBorder="1" applyAlignment="1" applyProtection="1">
      <alignment horizontal="center"/>
    </xf>
    <xf numFmtId="14" fontId="4" fillId="0" borderId="17" xfId="0" applyNumberFormat="1" applyFont="1" applyBorder="1" applyProtection="1"/>
    <xf numFmtId="0" fontId="4" fillId="0" borderId="17" xfId="0" applyFont="1" applyBorder="1" applyAlignment="1" applyProtection="1">
      <alignment horizontal="left"/>
    </xf>
    <xf numFmtId="18" fontId="1" fillId="0" borderId="17" xfId="0" applyNumberFormat="1" applyFont="1" applyBorder="1" applyProtection="1"/>
    <xf numFmtId="18" fontId="4" fillId="0" borderId="17" xfId="0" applyNumberFormat="1" applyFont="1" applyBorder="1" applyProtection="1"/>
    <xf numFmtId="0" fontId="1" fillId="0" borderId="17" xfId="0" applyFont="1" applyBorder="1" applyProtection="1"/>
    <xf numFmtId="0" fontId="1" fillId="0" borderId="0" xfId="0" applyFont="1" applyFill="1" applyBorder="1" applyAlignment="1" applyProtection="1">
      <alignment horizontal="left" vertical="top"/>
    </xf>
    <xf numFmtId="0" fontId="1" fillId="0" borderId="0" xfId="0" applyNumberFormat="1" applyFont="1" applyBorder="1" applyAlignment="1" applyProtection="1">
      <alignment vertical="top"/>
    </xf>
    <xf numFmtId="0" fontId="0" fillId="0" borderId="0" xfId="0" applyBorder="1" applyAlignment="1"/>
    <xf numFmtId="0" fontId="1" fillId="26" borderId="12" xfId="0" applyFont="1" applyFill="1" applyBorder="1" applyAlignment="1" applyProtection="1">
      <alignment horizontal="center"/>
    </xf>
    <xf numFmtId="0" fontId="4" fillId="0" borderId="0" xfId="0" applyFont="1" applyFill="1" applyBorder="1"/>
    <xf numFmtId="0" fontId="4" fillId="0" borderId="0" xfId="0" applyFont="1" applyFill="1" applyBorder="1" applyProtection="1"/>
    <xf numFmtId="0" fontId="4" fillId="0" borderId="0" xfId="0" applyFont="1" applyFill="1" applyBorder="1" applyAlignment="1" applyProtection="1">
      <alignment horizontal="center"/>
    </xf>
    <xf numFmtId="0" fontId="4" fillId="0" borderId="0" xfId="0" quotePrefix="1" applyFont="1" applyFill="1" applyBorder="1" applyAlignment="1" applyProtection="1">
      <alignment horizontal="center"/>
    </xf>
    <xf numFmtId="0" fontId="20" fillId="0" borderId="35" xfId="0" applyFont="1" applyFill="1" applyBorder="1" applyProtection="1">
      <protection locked="0"/>
    </xf>
    <xf numFmtId="0" fontId="10" fillId="0" borderId="35" xfId="0" applyFont="1" applyFill="1" applyBorder="1" applyProtection="1">
      <protection locked="0"/>
    </xf>
    <xf numFmtId="0" fontId="16" fillId="0" borderId="35" xfId="0" applyFont="1" applyFill="1" applyBorder="1" applyAlignment="1" applyProtection="1">
      <alignment horizontal="center"/>
      <protection locked="0"/>
    </xf>
    <xf numFmtId="0" fontId="20" fillId="0" borderId="35" xfId="0" applyFont="1" applyFill="1" applyBorder="1" applyAlignment="1" applyProtection="1">
      <alignment horizontal="center"/>
      <protection locked="0"/>
    </xf>
    <xf numFmtId="0" fontId="20" fillId="0" borderId="35" xfId="0" applyFont="1" applyBorder="1" applyProtection="1">
      <protection locked="0"/>
    </xf>
    <xf numFmtId="0" fontId="20" fillId="0" borderId="35" xfId="0" applyFont="1" applyBorder="1" applyAlignment="1" applyProtection="1">
      <protection locked="0"/>
    </xf>
    <xf numFmtId="187" fontId="15" fillId="6" borderId="11" xfId="0" applyNumberFormat="1" applyFont="1" applyFill="1" applyBorder="1" applyAlignment="1" applyProtection="1">
      <alignment horizontal="center"/>
      <protection locked="0"/>
    </xf>
    <xf numFmtId="0" fontId="3" fillId="0" borderId="1" xfId="0" applyFont="1" applyFill="1" applyBorder="1" applyAlignment="1" applyProtection="1">
      <alignment horizontal="center"/>
      <protection locked="0"/>
    </xf>
    <xf numFmtId="0" fontId="1" fillId="0" borderId="0" xfId="0" applyFont="1" applyFill="1" applyAlignment="1" applyProtection="1">
      <alignment horizontal="left"/>
      <protection locked="0"/>
    </xf>
    <xf numFmtId="0" fontId="1" fillId="0" borderId="17" xfId="0" applyFont="1" applyFill="1" applyBorder="1" applyAlignment="1" applyProtection="1">
      <alignment horizontal="left"/>
      <protection locked="0"/>
    </xf>
    <xf numFmtId="0" fontId="1" fillId="0" borderId="22" xfId="0" applyFont="1" applyFill="1" applyBorder="1" applyAlignment="1" applyProtection="1">
      <alignment horizontal="center"/>
      <protection locked="0"/>
    </xf>
    <xf numFmtId="0" fontId="1" fillId="0" borderId="21" xfId="0" applyFont="1" applyFill="1" applyBorder="1" applyAlignment="1" applyProtection="1">
      <alignment horizontal="center"/>
      <protection locked="0"/>
    </xf>
    <xf numFmtId="0" fontId="1" fillId="0" borderId="0" xfId="0" applyFont="1" applyFill="1" applyBorder="1" applyAlignment="1" applyProtection="1">
      <alignment horizontal="right" vertical="top"/>
    </xf>
    <xf numFmtId="0" fontId="1" fillId="27" borderId="0" xfId="0" applyFont="1" applyFill="1" applyBorder="1" applyAlignment="1" applyProtection="1">
      <alignment horizontal="center"/>
    </xf>
    <xf numFmtId="0" fontId="0" fillId="0" borderId="0" xfId="0" applyAlignment="1" applyProtection="1">
      <alignment horizontal="right"/>
    </xf>
    <xf numFmtId="0" fontId="23" fillId="0" borderId="0" xfId="0" applyFont="1" applyFill="1" applyAlignment="1" applyProtection="1">
      <alignment horizontal="center"/>
    </xf>
    <xf numFmtId="14" fontId="1" fillId="0" borderId="0" xfId="0" applyNumberFormat="1" applyFont="1" applyFill="1" applyProtection="1"/>
    <xf numFmtId="0" fontId="1" fillId="27" borderId="0" xfId="0" applyFont="1" applyFill="1" applyAlignment="1" applyProtection="1">
      <alignment horizontal="center"/>
    </xf>
    <xf numFmtId="0" fontId="0" fillId="0" borderId="35" xfId="0" applyBorder="1" applyAlignment="1" applyProtection="1">
      <alignment horizontal="left"/>
    </xf>
    <xf numFmtId="0" fontId="0" fillId="0" borderId="35" xfId="0" applyBorder="1" applyAlignment="1" applyProtection="1">
      <alignment horizontal="right"/>
    </xf>
    <xf numFmtId="0" fontId="0" fillId="0" borderId="35" xfId="0" applyBorder="1" applyProtection="1"/>
    <xf numFmtId="0" fontId="0" fillId="0" borderId="35" xfId="0" applyBorder="1" applyAlignment="1" applyProtection="1">
      <alignment horizontal="center"/>
    </xf>
    <xf numFmtId="0" fontId="0" fillId="0" borderId="0" xfId="0" applyBorder="1" applyAlignment="1" applyProtection="1">
      <alignment horizontal="center"/>
    </xf>
    <xf numFmtId="0" fontId="1" fillId="0" borderId="0" xfId="0" applyFont="1" applyAlignment="1" applyProtection="1">
      <alignment horizontal="left"/>
      <protection locked="0"/>
    </xf>
    <xf numFmtId="0" fontId="1" fillId="0" borderId="0" xfId="0" applyFont="1" applyFill="1" applyProtection="1">
      <protection locked="0"/>
    </xf>
    <xf numFmtId="14" fontId="1" fillId="0" borderId="0" xfId="0" applyNumberFormat="1" applyFont="1" applyFill="1" applyProtection="1">
      <protection locked="0"/>
    </xf>
    <xf numFmtId="0" fontId="30" fillId="0" borderId="35" xfId="0" applyFont="1" applyFill="1" applyBorder="1" applyAlignment="1" applyProtection="1">
      <alignment horizontal="center"/>
    </xf>
    <xf numFmtId="0" fontId="42" fillId="0" borderId="35" xfId="0" applyFont="1" applyBorder="1"/>
    <xf numFmtId="0" fontId="1" fillId="0" borderId="35" xfId="0" applyFont="1" applyBorder="1"/>
    <xf numFmtId="0" fontId="43" fillId="0" borderId="35" xfId="0" applyFont="1" applyBorder="1"/>
    <xf numFmtId="0" fontId="39" fillId="0" borderId="0" xfId="0" applyFont="1"/>
    <xf numFmtId="0" fontId="44" fillId="0" borderId="0" xfId="0" applyFont="1"/>
    <xf numFmtId="0" fontId="45" fillId="0" borderId="0" xfId="0" applyFont="1"/>
    <xf numFmtId="0" fontId="1" fillId="0" borderId="0" xfId="0" applyFont="1"/>
    <xf numFmtId="0" fontId="42" fillId="0" borderId="0" xfId="0" applyFont="1"/>
    <xf numFmtId="0" fontId="43" fillId="0" borderId="0" xfId="0" applyFont="1"/>
    <xf numFmtId="14" fontId="23" fillId="0" borderId="0" xfId="0" applyNumberFormat="1" applyFont="1"/>
    <xf numFmtId="193" fontId="46" fillId="0" borderId="0" xfId="0" applyNumberFormat="1" applyFont="1"/>
    <xf numFmtId="0" fontId="23" fillId="0" borderId="0" xfId="0" applyFont="1"/>
    <xf numFmtId="0" fontId="39" fillId="0" borderId="0" xfId="0" applyFont="1" applyFill="1" applyBorder="1"/>
    <xf numFmtId="0" fontId="44" fillId="0" borderId="0" xfId="0" applyFont="1" applyFill="1" applyBorder="1"/>
    <xf numFmtId="0" fontId="45" fillId="0" borderId="0" xfId="0" applyFont="1" applyFill="1" applyBorder="1"/>
    <xf numFmtId="0" fontId="1" fillId="0" borderId="0" xfId="0" applyFont="1" applyFill="1" applyBorder="1"/>
    <xf numFmtId="0" fontId="42" fillId="0" borderId="0" xfId="0" applyFont="1" applyFill="1" applyBorder="1"/>
    <xf numFmtId="14" fontId="1" fillId="0" borderId="0" xfId="0" applyNumberFormat="1" applyFont="1"/>
    <xf numFmtId="0" fontId="1" fillId="10" borderId="0" xfId="0" applyFont="1" applyFill="1"/>
    <xf numFmtId="14" fontId="1" fillId="13" borderId="0" xfId="0" applyNumberFormat="1" applyFont="1" applyFill="1"/>
    <xf numFmtId="14" fontId="44" fillId="0" borderId="0" xfId="0" applyNumberFormat="1" applyFont="1"/>
    <xf numFmtId="0" fontId="1" fillId="19" borderId="0" xfId="0" applyFont="1" applyFill="1"/>
    <xf numFmtId="0" fontId="43" fillId="0" borderId="0" xfId="0" applyFont="1" applyFill="1" applyBorder="1"/>
    <xf numFmtId="14" fontId="1" fillId="0" borderId="0" xfId="0" applyNumberFormat="1" applyFont="1" applyFill="1"/>
    <xf numFmtId="14" fontId="1" fillId="2" borderId="0" xfId="0" applyNumberFormat="1" applyFont="1" applyFill="1"/>
    <xf numFmtId="0" fontId="1" fillId="16" borderId="0" xfId="0" applyFont="1" applyFill="1"/>
    <xf numFmtId="14" fontId="1" fillId="28" borderId="0" xfId="0" applyNumberFormat="1" applyFont="1" applyFill="1"/>
    <xf numFmtId="0" fontId="33" fillId="22" borderId="12" xfId="0" applyFont="1" applyFill="1" applyBorder="1"/>
    <xf numFmtId="0" fontId="47" fillId="0" borderId="35" xfId="0" applyFont="1" applyBorder="1"/>
    <xf numFmtId="0" fontId="38" fillId="0" borderId="0" xfId="0" applyFont="1"/>
    <xf numFmtId="0" fontId="47" fillId="0" borderId="35" xfId="0" applyFont="1" applyFill="1" applyBorder="1" applyProtection="1"/>
    <xf numFmtId="0" fontId="1" fillId="2" borderId="0" xfId="0" applyFont="1" applyFill="1"/>
    <xf numFmtId="0" fontId="1" fillId="13" borderId="0" xfId="0" applyFont="1" applyFill="1"/>
    <xf numFmtId="0" fontId="1" fillId="13" borderId="0" xfId="0" applyFont="1" applyFill="1" applyBorder="1"/>
    <xf numFmtId="14" fontId="44" fillId="19" borderId="0" xfId="0" applyNumberFormat="1" applyFont="1" applyFill="1"/>
    <xf numFmtId="0" fontId="45" fillId="19" borderId="0" xfId="0" applyFont="1" applyFill="1"/>
    <xf numFmtId="0" fontId="42" fillId="19" borderId="0" xfId="0" applyFont="1" applyFill="1"/>
    <xf numFmtId="0" fontId="1" fillId="19" borderId="0" xfId="0" applyFont="1" applyFill="1" applyBorder="1"/>
    <xf numFmtId="14" fontId="1" fillId="19" borderId="0" xfId="0" applyNumberFormat="1" applyFont="1" applyFill="1"/>
    <xf numFmtId="0" fontId="39" fillId="19" borderId="0" xfId="0" applyFont="1" applyFill="1" applyBorder="1"/>
    <xf numFmtId="0" fontId="43" fillId="19" borderId="0" xfId="0" applyFont="1" applyFill="1" applyBorder="1"/>
    <xf numFmtId="0" fontId="42" fillId="19" borderId="0" xfId="0" applyFont="1" applyFill="1" applyBorder="1"/>
    <xf numFmtId="0" fontId="39" fillId="13" borderId="0" xfId="0" applyFont="1" applyFill="1"/>
    <xf numFmtId="0" fontId="44" fillId="13" borderId="0" xfId="0" applyFont="1" applyFill="1"/>
    <xf numFmtId="0" fontId="45" fillId="13" borderId="0" xfId="0" applyFont="1" applyFill="1" applyBorder="1"/>
    <xf numFmtId="0" fontId="42" fillId="13" borderId="0" xfId="0" applyFont="1" applyFill="1" applyBorder="1"/>
    <xf numFmtId="0" fontId="43" fillId="13" borderId="0" xfId="0" applyFont="1" applyFill="1"/>
    <xf numFmtId="0" fontId="39" fillId="19" borderId="0" xfId="0" applyFont="1" applyFill="1"/>
    <xf numFmtId="0" fontId="43" fillId="19" borderId="0" xfId="0" applyFont="1" applyFill="1"/>
    <xf numFmtId="14" fontId="1" fillId="13" borderId="37" xfId="0" applyNumberFormat="1" applyFont="1" applyFill="1" applyBorder="1"/>
    <xf numFmtId="14" fontId="1" fillId="19" borderId="38" xfId="0" applyNumberFormat="1" applyFont="1" applyFill="1" applyBorder="1"/>
    <xf numFmtId="14" fontId="1" fillId="0" borderId="39" xfId="0" applyNumberFormat="1" applyFont="1" applyBorder="1"/>
    <xf numFmtId="0" fontId="39" fillId="2" borderId="0" xfId="0" applyFont="1" applyFill="1"/>
    <xf numFmtId="0" fontId="44" fillId="2" borderId="0" xfId="0" applyFont="1" applyFill="1"/>
    <xf numFmtId="0" fontId="45" fillId="2" borderId="0" xfId="0" applyFont="1" applyFill="1" applyBorder="1"/>
    <xf numFmtId="0" fontId="1" fillId="2" borderId="0" xfId="0" applyFont="1" applyFill="1" applyBorder="1"/>
    <xf numFmtId="0" fontId="42" fillId="2" borderId="0" xfId="0" applyFont="1" applyFill="1" applyBorder="1"/>
    <xf numFmtId="0" fontId="43" fillId="2" borderId="0" xfId="0" applyFont="1" applyFill="1"/>
    <xf numFmtId="14" fontId="1" fillId="2" borderId="37" xfId="0" applyNumberFormat="1" applyFont="1" applyFill="1" applyBorder="1"/>
    <xf numFmtId="0" fontId="45" fillId="2" borderId="0" xfId="0" applyFont="1" applyFill="1"/>
    <xf numFmtId="0" fontId="42" fillId="2" borderId="0" xfId="0" applyFont="1" applyFill="1"/>
    <xf numFmtId="0" fontId="47" fillId="0" borderId="0" xfId="0" applyFont="1"/>
    <xf numFmtId="0" fontId="48" fillId="0" borderId="35" xfId="0" applyFont="1" applyFill="1" applyBorder="1" applyProtection="1"/>
    <xf numFmtId="0" fontId="48" fillId="0" borderId="0" xfId="0" applyFont="1"/>
    <xf numFmtId="0" fontId="23" fillId="0" borderId="0" xfId="0" applyFont="1" applyAlignment="1" applyProtection="1">
      <alignment horizontal="center"/>
    </xf>
    <xf numFmtId="0" fontId="23" fillId="0" borderId="40" xfId="0" applyFont="1" applyBorder="1" applyAlignment="1" applyProtection="1">
      <alignment horizontal="center"/>
    </xf>
    <xf numFmtId="0" fontId="23" fillId="0" borderId="28" xfId="0" applyFont="1" applyBorder="1" applyAlignment="1" applyProtection="1">
      <alignment horizontal="center"/>
    </xf>
    <xf numFmtId="0" fontId="1" fillId="0" borderId="28" xfId="0" applyFont="1" applyFill="1" applyBorder="1" applyProtection="1"/>
    <xf numFmtId="0" fontId="0" fillId="0" borderId="41" xfId="0" applyBorder="1" applyProtection="1"/>
    <xf numFmtId="0" fontId="0" fillId="0" borderId="28" xfId="0" applyBorder="1" applyProtection="1"/>
    <xf numFmtId="0" fontId="23" fillId="0" borderId="35" xfId="0" applyFont="1" applyFill="1" applyBorder="1" applyAlignment="1" applyProtection="1">
      <alignment horizontal="center"/>
    </xf>
    <xf numFmtId="0" fontId="1" fillId="0" borderId="35" xfId="0" applyFont="1" applyBorder="1" applyAlignment="1" applyProtection="1">
      <alignment horizontal="center"/>
    </xf>
    <xf numFmtId="0" fontId="1" fillId="0" borderId="35" xfId="0" applyFont="1" applyBorder="1" applyProtection="1"/>
    <xf numFmtId="0" fontId="1" fillId="0" borderId="35" xfId="0" applyFont="1" applyBorder="1" applyAlignment="1" applyProtection="1">
      <alignment horizontal="left"/>
    </xf>
    <xf numFmtId="0" fontId="1" fillId="0" borderId="35" xfId="0" applyFont="1" applyBorder="1" applyAlignment="1" applyProtection="1">
      <alignment horizontal="left"/>
      <protection locked="0"/>
    </xf>
    <xf numFmtId="0" fontId="1" fillId="0" borderId="35" xfId="0" applyFont="1" applyFill="1" applyBorder="1" applyAlignment="1" applyProtection="1">
      <alignment horizontal="right" vertical="top"/>
    </xf>
    <xf numFmtId="0" fontId="0" fillId="0" borderId="35" xfId="0" applyFill="1" applyBorder="1" applyProtection="1"/>
    <xf numFmtId="0" fontId="49" fillId="22" borderId="0" xfId="0" applyFont="1" applyFill="1" applyProtection="1"/>
    <xf numFmtId="0" fontId="34" fillId="22" borderId="0" xfId="0" applyFont="1" applyFill="1" applyProtection="1"/>
    <xf numFmtId="0" fontId="4" fillId="0" borderId="17" xfId="0" applyFont="1" applyBorder="1" applyAlignment="1" applyProtection="1">
      <alignment horizontal="right"/>
    </xf>
    <xf numFmtId="0" fontId="23" fillId="0" borderId="0" xfId="0" applyFont="1" applyAlignment="1" applyProtection="1">
      <alignment horizontal="right"/>
    </xf>
    <xf numFmtId="0" fontId="1" fillId="0" borderId="0" xfId="0" applyFont="1" applyFill="1" applyBorder="1" applyAlignment="1" applyProtection="1">
      <alignment horizontal="right"/>
    </xf>
    <xf numFmtId="0" fontId="50" fillId="0" borderId="37" xfId="0" applyFont="1" applyBorder="1"/>
    <xf numFmtId="0" fontId="50" fillId="0" borderId="42" xfId="0" applyFont="1" applyBorder="1"/>
    <xf numFmtId="0" fontId="50" fillId="0" borderId="39" xfId="0" applyFont="1" applyBorder="1"/>
    <xf numFmtId="0" fontId="51" fillId="0" borderId="35" xfId="0" applyFont="1" applyFill="1" applyBorder="1" applyAlignment="1" applyProtection="1">
      <alignment horizontal="center"/>
    </xf>
    <xf numFmtId="0" fontId="39" fillId="0" borderId="35" xfId="0" applyFont="1" applyFill="1" applyBorder="1" applyProtection="1"/>
    <xf numFmtId="14" fontId="33" fillId="20" borderId="32" xfId="0" applyNumberFormat="1" applyFont="1" applyFill="1" applyBorder="1"/>
    <xf numFmtId="0" fontId="0" fillId="10" borderId="32" xfId="0" applyFill="1" applyBorder="1"/>
    <xf numFmtId="0" fontId="23" fillId="0" borderId="0" xfId="0" applyFont="1" applyFill="1" applyBorder="1"/>
    <xf numFmtId="0" fontId="52" fillId="0" borderId="0" xfId="0" applyFont="1" applyFill="1" applyBorder="1"/>
    <xf numFmtId="0" fontId="38" fillId="0" borderId="0" xfId="0" applyFont="1" applyFill="1" applyBorder="1"/>
    <xf numFmtId="14" fontId="1" fillId="0" borderId="0" xfId="0" applyNumberFormat="1" applyFont="1" applyFill="1" applyBorder="1"/>
    <xf numFmtId="1" fontId="39" fillId="0" borderId="0" xfId="0" applyNumberFormat="1" applyFont="1" applyFill="1" applyBorder="1"/>
    <xf numFmtId="14" fontId="39" fillId="0" borderId="0" xfId="0" applyNumberFormat="1" applyFont="1" applyFill="1" applyBorder="1"/>
    <xf numFmtId="0" fontId="33" fillId="0" borderId="0" xfId="0" applyFont="1" applyFill="1" applyBorder="1"/>
    <xf numFmtId="0" fontId="1" fillId="13" borderId="0" xfId="0" applyFont="1" applyFill="1" applyAlignment="1" applyProtection="1">
      <alignment horizontal="center"/>
    </xf>
    <xf numFmtId="0" fontId="1" fillId="13" borderId="0" xfId="0" applyFont="1" applyFill="1" applyBorder="1" applyAlignment="1" applyProtection="1">
      <alignment horizontal="center"/>
    </xf>
    <xf numFmtId="0" fontId="1" fillId="6" borderId="0" xfId="0" applyFont="1" applyFill="1" applyBorder="1" applyAlignment="1" applyProtection="1">
      <alignment horizontal="left" vertical="top"/>
    </xf>
    <xf numFmtId="0" fontId="26" fillId="0" borderId="0" xfId="0" applyFont="1" applyFill="1" applyAlignment="1" applyProtection="1">
      <alignment horizontal="left"/>
    </xf>
    <xf numFmtId="0" fontId="1" fillId="0" borderId="23" xfId="0" applyFont="1" applyFill="1" applyBorder="1" applyAlignment="1" applyProtection="1">
      <alignment horizontal="left"/>
      <protection locked="0"/>
    </xf>
    <xf numFmtId="0" fontId="1" fillId="0" borderId="27" xfId="0" applyFont="1" applyFill="1" applyBorder="1" applyAlignment="1" applyProtection="1">
      <alignment horizontal="left"/>
      <protection locked="0"/>
    </xf>
    <xf numFmtId="0" fontId="1" fillId="0" borderId="24" xfId="0" applyFont="1" applyFill="1" applyBorder="1" applyAlignment="1" applyProtection="1">
      <alignment horizontal="left"/>
      <protection locked="0"/>
    </xf>
    <xf numFmtId="0" fontId="1" fillId="0" borderId="18" xfId="0" applyFont="1" applyFill="1" applyBorder="1" applyAlignment="1" applyProtection="1">
      <alignment horizontal="left"/>
      <protection locked="0"/>
    </xf>
    <xf numFmtId="0" fontId="1" fillId="0" borderId="19" xfId="0" applyFont="1" applyFill="1" applyBorder="1" applyAlignment="1" applyProtection="1">
      <alignment horizontal="left"/>
      <protection locked="0"/>
    </xf>
    <xf numFmtId="0" fontId="1" fillId="0" borderId="18" xfId="0" applyFont="1" applyFill="1" applyBorder="1" applyAlignment="1" applyProtection="1">
      <alignment horizontal="center"/>
      <protection locked="0"/>
    </xf>
    <xf numFmtId="0" fontId="1" fillId="0" borderId="0" xfId="0" applyFont="1" applyFill="1" applyBorder="1" applyProtection="1">
      <protection locked="0"/>
    </xf>
    <xf numFmtId="0" fontId="1" fillId="0" borderId="0" xfId="0" applyFont="1" applyFill="1" applyBorder="1" applyAlignment="1" applyProtection="1">
      <alignment horizontal="center"/>
      <protection locked="0"/>
    </xf>
    <xf numFmtId="0" fontId="1" fillId="0" borderId="19" xfId="0" applyFont="1" applyFill="1" applyBorder="1" applyAlignment="1" applyProtection="1">
      <alignment horizontal="center"/>
      <protection locked="0"/>
    </xf>
    <xf numFmtId="0" fontId="1" fillId="0" borderId="25" xfId="0" applyFont="1" applyFill="1" applyBorder="1" applyAlignment="1" applyProtection="1">
      <alignment horizontal="center"/>
      <protection locked="0"/>
    </xf>
    <xf numFmtId="0" fontId="1" fillId="0" borderId="17" xfId="0" applyFont="1" applyFill="1" applyBorder="1" applyProtection="1">
      <protection locked="0"/>
    </xf>
    <xf numFmtId="0" fontId="1" fillId="0" borderId="17" xfId="0" applyFont="1" applyFill="1" applyBorder="1" applyAlignment="1" applyProtection="1">
      <alignment horizontal="center"/>
      <protection locked="0"/>
    </xf>
    <xf numFmtId="0" fontId="1" fillId="0" borderId="20" xfId="0" applyFont="1" applyFill="1" applyBorder="1" applyAlignment="1" applyProtection="1">
      <alignment horizontal="center"/>
      <protection locked="0"/>
    </xf>
    <xf numFmtId="0" fontId="23" fillId="0" borderId="40" xfId="0" applyFont="1" applyFill="1" applyBorder="1" applyAlignment="1" applyProtection="1">
      <alignment horizontal="center"/>
    </xf>
    <xf numFmtId="0" fontId="23" fillId="0" borderId="28" xfId="0" applyFont="1" applyFill="1" applyBorder="1" applyAlignment="1" applyProtection="1">
      <alignment horizontal="center"/>
    </xf>
    <xf numFmtId="0" fontId="23" fillId="0" borderId="43" xfId="0" applyFont="1" applyFill="1" applyBorder="1" applyAlignment="1" applyProtection="1">
      <alignment horizontal="center"/>
    </xf>
    <xf numFmtId="0" fontId="1" fillId="0" borderId="43" xfId="0" applyFont="1" applyBorder="1" applyAlignment="1" applyProtection="1">
      <alignment horizontal="center"/>
    </xf>
    <xf numFmtId="0" fontId="1" fillId="0" borderId="43" xfId="0" applyFont="1" applyFill="1" applyBorder="1" applyProtection="1"/>
    <xf numFmtId="0" fontId="1" fillId="0" borderId="43" xfId="0" applyFont="1" applyBorder="1" applyProtection="1"/>
    <xf numFmtId="0" fontId="1" fillId="0" borderId="43" xfId="0" applyFont="1" applyBorder="1" applyAlignment="1" applyProtection="1">
      <alignment horizontal="left"/>
    </xf>
    <xf numFmtId="0" fontId="1" fillId="0" borderId="43" xfId="0" applyFont="1" applyBorder="1" applyAlignment="1" applyProtection="1">
      <alignment horizontal="left"/>
      <protection locked="0"/>
    </xf>
    <xf numFmtId="0" fontId="1" fillId="0" borderId="44" xfId="0" applyFont="1" applyFill="1" applyBorder="1" applyProtection="1"/>
    <xf numFmtId="0" fontId="1" fillId="0" borderId="43" xfId="0" applyFont="1" applyFill="1" applyBorder="1" applyAlignment="1" applyProtection="1">
      <alignment horizontal="right" vertical="top"/>
    </xf>
    <xf numFmtId="0" fontId="1" fillId="0" borderId="43" xfId="0" applyFont="1" applyFill="1" applyBorder="1" applyAlignment="1" applyProtection="1">
      <alignment horizontal="left" vertical="top"/>
    </xf>
    <xf numFmtId="0" fontId="1" fillId="0" borderId="43" xfId="0" applyFont="1" applyFill="1" applyBorder="1" applyAlignment="1" applyProtection="1">
      <alignment horizontal="center"/>
    </xf>
    <xf numFmtId="0" fontId="0" fillId="0" borderId="43" xfId="0" applyFill="1" applyBorder="1" applyProtection="1"/>
    <xf numFmtId="0" fontId="0" fillId="0" borderId="0" xfId="0" applyBorder="1" applyProtection="1"/>
    <xf numFmtId="0" fontId="0" fillId="0" borderId="0" xfId="0" applyBorder="1" applyAlignment="1" applyProtection="1">
      <alignment horizontal="left"/>
    </xf>
    <xf numFmtId="0" fontId="0" fillId="0" borderId="0" xfId="0" applyBorder="1" applyAlignment="1" applyProtection="1">
      <alignment horizontal="right"/>
    </xf>
    <xf numFmtId="0" fontId="0" fillId="22" borderId="0" xfId="0" applyFill="1" applyAlignment="1" applyProtection="1">
      <alignment horizontal="left"/>
    </xf>
    <xf numFmtId="0" fontId="1" fillId="0" borderId="0" xfId="0" applyFont="1" applyBorder="1" applyAlignment="1" applyProtection="1">
      <alignment horizontal="left"/>
    </xf>
    <xf numFmtId="0" fontId="1" fillId="0" borderId="35" xfId="0" applyFont="1" applyFill="1" applyBorder="1" applyAlignment="1" applyProtection="1">
      <alignment horizontal="left"/>
    </xf>
    <xf numFmtId="0" fontId="1" fillId="10" borderId="0" xfId="0" applyFont="1" applyFill="1" applyBorder="1" applyAlignment="1" applyProtection="1">
      <alignment horizontal="left"/>
    </xf>
    <xf numFmtId="0" fontId="0" fillId="10" borderId="0" xfId="0" applyFill="1" applyAlignment="1" applyProtection="1">
      <alignment horizontal="center"/>
    </xf>
    <xf numFmtId="0" fontId="1" fillId="29" borderId="0" xfId="0" applyFont="1" applyFill="1" applyBorder="1" applyAlignment="1" applyProtection="1">
      <alignment horizontal="left"/>
    </xf>
    <xf numFmtId="0" fontId="0" fillId="29" borderId="0" xfId="0" applyFill="1" applyAlignment="1" applyProtection="1">
      <alignment horizontal="center"/>
    </xf>
    <xf numFmtId="0" fontId="0" fillId="29" borderId="0" xfId="0" applyFill="1" applyProtection="1"/>
    <xf numFmtId="0" fontId="4" fillId="0" borderId="0" xfId="0" applyFont="1" applyProtection="1"/>
    <xf numFmtId="0" fontId="32" fillId="0" borderId="0" xfId="0" applyFont="1"/>
    <xf numFmtId="0" fontId="4" fillId="0" borderId="0" xfId="0" applyFont="1" applyFill="1" applyProtection="1"/>
    <xf numFmtId="0" fontId="47" fillId="0" borderId="0" xfId="0" applyFont="1" applyProtection="1"/>
    <xf numFmtId="0" fontId="4" fillId="0" borderId="0" xfId="0" applyFont="1" applyAlignment="1" applyProtection="1">
      <alignment horizontal="center"/>
    </xf>
    <xf numFmtId="0" fontId="4" fillId="0" borderId="0" xfId="0" applyFont="1" applyFill="1" applyBorder="1" applyAlignment="1" applyProtection="1"/>
    <xf numFmtId="0" fontId="47" fillId="0" borderId="0" xfId="0" applyFont="1" applyFill="1" applyProtection="1"/>
    <xf numFmtId="0" fontId="53" fillId="0" borderId="0" xfId="0" applyFont="1" applyAlignment="1" applyProtection="1"/>
    <xf numFmtId="0" fontId="41" fillId="0" borderId="0" xfId="0" applyFont="1" applyAlignment="1"/>
    <xf numFmtId="0" fontId="27" fillId="0" borderId="0" xfId="0" applyFont="1" applyAlignment="1" applyProtection="1"/>
    <xf numFmtId="0" fontId="24" fillId="0" borderId="0" xfId="0" applyFont="1" applyFill="1" applyBorder="1" applyAlignment="1" applyProtection="1">
      <alignment horizontal="left" vertical="center" wrapText="1"/>
    </xf>
    <xf numFmtId="0" fontId="25" fillId="0" borderId="0" xfId="0" applyFont="1" applyAlignment="1" applyProtection="1">
      <alignment horizontal="left" vertical="center" wrapText="1"/>
    </xf>
    <xf numFmtId="0" fontId="24" fillId="0" borderId="0" xfId="0" applyFont="1" applyAlignment="1">
      <alignment wrapText="1"/>
    </xf>
    <xf numFmtId="0" fontId="24" fillId="0" borderId="0" xfId="0" applyFont="1" applyAlignment="1" applyProtection="1">
      <alignment wrapText="1"/>
    </xf>
    <xf numFmtId="0" fontId="2" fillId="0" borderId="0" xfId="0" applyFont="1" applyAlignment="1" applyProtection="1">
      <protection locked="0"/>
    </xf>
    <xf numFmtId="0" fontId="17" fillId="0" borderId="0" xfId="0" applyFont="1" applyFill="1" applyBorder="1" applyAlignment="1" applyProtection="1">
      <alignment horizontal="center" vertical="center" wrapText="1"/>
    </xf>
    <xf numFmtId="0" fontId="18" fillId="0" borderId="0" xfId="0" applyFont="1" applyBorder="1" applyAlignment="1">
      <alignment horizontal="center"/>
    </xf>
    <xf numFmtId="0" fontId="3" fillId="0" borderId="18" xfId="0" applyFont="1" applyFill="1" applyBorder="1" applyAlignment="1" applyProtection="1">
      <alignment horizontal="center"/>
    </xf>
    <xf numFmtId="0" fontId="0" fillId="0" borderId="0" xfId="0" applyAlignment="1">
      <alignment horizontal="center"/>
    </xf>
    <xf numFmtId="0" fontId="2" fillId="2" borderId="1" xfId="0" applyFont="1" applyFill="1" applyBorder="1" applyAlignment="1" applyProtection="1">
      <alignment horizontal="center"/>
    </xf>
    <xf numFmtId="0" fontId="0" fillId="0" borderId="0" xfId="0" applyFill="1" applyAlignment="1" applyProtection="1">
      <alignment horizontal="center"/>
    </xf>
    <xf numFmtId="0" fontId="3" fillId="17" borderId="23" xfId="0" applyFont="1" applyFill="1" applyBorder="1" applyAlignment="1" applyProtection="1">
      <alignment horizontal="center" vertical="center" wrapText="1"/>
    </xf>
    <xf numFmtId="0" fontId="3" fillId="17" borderId="24" xfId="0" applyFont="1" applyFill="1" applyBorder="1" applyAlignment="1" applyProtection="1">
      <alignment horizontal="center" vertical="center" wrapText="1"/>
    </xf>
    <xf numFmtId="0" fontId="3" fillId="17" borderId="25" xfId="0" applyFont="1" applyFill="1" applyBorder="1" applyAlignment="1" applyProtection="1">
      <alignment horizontal="center" vertical="center" wrapText="1"/>
    </xf>
    <xf numFmtId="0" fontId="3" fillId="17" borderId="20" xfId="0" applyFont="1" applyFill="1" applyBorder="1" applyAlignment="1" applyProtection="1">
      <alignment horizontal="center" vertical="center" wrapText="1"/>
    </xf>
    <xf numFmtId="0" fontId="33" fillId="30" borderId="23" xfId="0" applyFont="1" applyFill="1" applyBorder="1" applyAlignment="1" applyProtection="1">
      <alignment horizontal="center" vertical="center" wrapText="1"/>
    </xf>
    <xf numFmtId="0" fontId="33" fillId="30" borderId="24" xfId="0" applyFont="1" applyFill="1" applyBorder="1" applyAlignment="1" applyProtection="1">
      <alignment horizontal="center" vertical="center" wrapText="1"/>
    </xf>
    <xf numFmtId="0" fontId="33" fillId="30" borderId="25" xfId="0" applyFont="1" applyFill="1" applyBorder="1" applyAlignment="1" applyProtection="1">
      <alignment horizontal="center" vertical="center" wrapText="1"/>
    </xf>
    <xf numFmtId="0" fontId="33" fillId="30" borderId="20" xfId="0" applyFont="1" applyFill="1" applyBorder="1" applyAlignment="1" applyProtection="1">
      <alignment horizontal="center" vertical="center" wrapText="1"/>
    </xf>
    <xf numFmtId="0" fontId="3" fillId="31" borderId="23" xfId="0" applyFont="1" applyFill="1" applyBorder="1" applyAlignment="1" applyProtection="1">
      <alignment horizontal="center" vertical="center" wrapText="1"/>
    </xf>
    <xf numFmtId="0" fontId="3" fillId="31" borderId="24" xfId="0" applyFont="1" applyFill="1" applyBorder="1" applyAlignment="1" applyProtection="1">
      <alignment horizontal="center" vertical="center" wrapText="1"/>
    </xf>
    <xf numFmtId="0" fontId="3" fillId="31" borderId="25" xfId="0" applyFont="1" applyFill="1" applyBorder="1" applyAlignment="1" applyProtection="1">
      <alignment horizontal="center" vertical="center" wrapText="1"/>
    </xf>
    <xf numFmtId="0" fontId="3" fillId="31" borderId="20" xfId="0" applyFont="1" applyFill="1" applyBorder="1" applyAlignment="1" applyProtection="1">
      <alignment horizontal="center" vertical="center" wrapText="1"/>
    </xf>
    <xf numFmtId="0" fontId="3" fillId="2" borderId="23" xfId="0" applyFont="1" applyFill="1" applyBorder="1" applyAlignment="1" applyProtection="1">
      <alignment horizontal="center" vertical="center" wrapText="1"/>
    </xf>
    <xf numFmtId="0" fontId="3" fillId="2" borderId="24" xfId="0" applyFont="1" applyFill="1" applyBorder="1" applyAlignment="1" applyProtection="1">
      <alignment horizontal="center" vertical="center" wrapText="1"/>
    </xf>
    <xf numFmtId="0" fontId="3" fillId="2" borderId="25" xfId="0" applyFont="1" applyFill="1" applyBorder="1" applyAlignment="1" applyProtection="1">
      <alignment horizontal="center" vertical="center" wrapText="1"/>
    </xf>
    <xf numFmtId="0" fontId="3" fillId="2" borderId="20" xfId="0" applyFont="1" applyFill="1" applyBorder="1" applyAlignment="1" applyProtection="1">
      <alignment horizontal="center" vertical="center" wrapText="1"/>
    </xf>
    <xf numFmtId="0" fontId="3" fillId="10" borderId="23" xfId="0" applyFont="1" applyFill="1" applyBorder="1" applyAlignment="1" applyProtection="1">
      <alignment horizontal="center" vertical="center" wrapText="1"/>
    </xf>
    <xf numFmtId="0" fontId="3" fillId="10" borderId="24" xfId="0" applyFont="1" applyFill="1" applyBorder="1" applyAlignment="1" applyProtection="1">
      <alignment horizontal="center" vertical="center" wrapText="1"/>
    </xf>
    <xf numFmtId="0" fontId="3" fillId="10" borderId="25" xfId="0" applyFont="1" applyFill="1" applyBorder="1" applyAlignment="1" applyProtection="1">
      <alignment horizontal="center" vertical="center" wrapText="1"/>
    </xf>
    <xf numFmtId="0" fontId="3" fillId="10" borderId="20" xfId="0" applyFont="1" applyFill="1" applyBorder="1" applyAlignment="1" applyProtection="1">
      <alignment horizontal="center" vertical="center" wrapText="1"/>
    </xf>
    <xf numFmtId="0" fontId="17" fillId="0" borderId="18" xfId="0" applyFont="1" applyFill="1" applyBorder="1" applyAlignment="1" applyProtection="1">
      <alignment horizontal="center" vertical="center" wrapText="1"/>
    </xf>
    <xf numFmtId="0" fontId="18" fillId="0" borderId="0" xfId="0" applyFont="1" applyAlignment="1">
      <alignment horizontal="center"/>
    </xf>
    <xf numFmtId="18" fontId="20" fillId="0" borderId="35" xfId="0" applyNumberFormat="1" applyFont="1" applyBorder="1" applyAlignment="1"/>
    <xf numFmtId="0" fontId="20" fillId="0" borderId="35" xfId="0" applyFont="1" applyBorder="1" applyAlignment="1"/>
    <xf numFmtId="0" fontId="0" fillId="0" borderId="35" xfId="0" applyBorder="1" applyAlignment="1"/>
    <xf numFmtId="14" fontId="20" fillId="0" borderId="35" xfId="0" applyNumberFormat="1" applyFont="1" applyBorder="1" applyAlignment="1"/>
    <xf numFmtId="0" fontId="3" fillId="0" borderId="0" xfId="0" applyFont="1" applyFill="1" applyBorder="1" applyAlignment="1" applyProtection="1">
      <alignment horizontal="center"/>
    </xf>
    <xf numFmtId="0" fontId="0" fillId="0" borderId="0" xfId="0" applyBorder="1" applyAlignment="1">
      <alignment horizontal="center"/>
    </xf>
    <xf numFmtId="0" fontId="3" fillId="12" borderId="23" xfId="0" applyFont="1" applyFill="1" applyBorder="1" applyAlignment="1" applyProtection="1">
      <alignment horizontal="center" vertical="center" wrapText="1"/>
    </xf>
    <xf numFmtId="0" fontId="3" fillId="12" borderId="24" xfId="0" applyFont="1" applyFill="1" applyBorder="1" applyAlignment="1" applyProtection="1">
      <alignment horizontal="center" vertical="center" wrapText="1"/>
    </xf>
    <xf numFmtId="0" fontId="3" fillId="12" borderId="25" xfId="0" applyFont="1" applyFill="1" applyBorder="1" applyAlignment="1" applyProtection="1">
      <alignment horizontal="center" vertical="center" wrapText="1"/>
    </xf>
    <xf numFmtId="0" fontId="3" fillId="12" borderId="20" xfId="0" applyFont="1" applyFill="1" applyBorder="1" applyAlignment="1" applyProtection="1">
      <alignment horizontal="center" vertical="center" wrapText="1"/>
    </xf>
    <xf numFmtId="18" fontId="4" fillId="0" borderId="35" xfId="0" applyNumberFormat="1" applyFont="1" applyBorder="1" applyAlignment="1"/>
    <xf numFmtId="0" fontId="4" fillId="0" borderId="35" xfId="0" applyFont="1" applyBorder="1" applyAlignment="1"/>
    <xf numFmtId="14" fontId="4" fillId="0" borderId="35" xfId="0" applyNumberFormat="1" applyFont="1" applyBorder="1" applyAlignment="1"/>
    <xf numFmtId="14" fontId="0" fillId="0" borderId="17" xfId="0" applyNumberFormat="1" applyBorder="1" applyAlignment="1" applyProtection="1"/>
    <xf numFmtId="0" fontId="0" fillId="0" borderId="17" xfId="0" applyBorder="1" applyAlignment="1"/>
    <xf numFmtId="0" fontId="49" fillId="20" borderId="0" xfId="0" applyFont="1" applyFill="1" applyAlignment="1" applyProtection="1">
      <alignment horizontal="left"/>
    </xf>
    <xf numFmtId="0" fontId="0" fillId="0" borderId="0" xfId="0" applyAlignment="1">
      <alignment horizontal="left"/>
    </xf>
    <xf numFmtId="0" fontId="2" fillId="0" borderId="45" xfId="0" applyFont="1" applyFill="1" applyBorder="1" applyAlignment="1" applyProtection="1">
      <alignment horizontal="left"/>
    </xf>
    <xf numFmtId="0" fontId="2" fillId="0" borderId="45" xfId="0" applyFont="1" applyBorder="1" applyAlignment="1" applyProtection="1">
      <alignment horizontal="left"/>
    </xf>
    <xf numFmtId="0" fontId="12" fillId="32" borderId="0" xfId="0" applyFont="1" applyFill="1" applyBorder="1" applyAlignment="1" applyProtection="1">
      <alignment horizontal="center"/>
    </xf>
    <xf numFmtId="0" fontId="3" fillId="14" borderId="0" xfId="0" applyFont="1" applyFill="1" applyBorder="1" applyAlignment="1" applyProtection="1">
      <alignment horizontal="left"/>
      <protection locked="0"/>
    </xf>
    <xf numFmtId="0" fontId="0" fillId="14" borderId="0" xfId="0" applyFill="1" applyAlignment="1" applyProtection="1">
      <protection locked="0"/>
    </xf>
    <xf numFmtId="0" fontId="3" fillId="6" borderId="0" xfId="0" applyFont="1" applyFill="1" applyBorder="1" applyAlignment="1" applyProtection="1">
      <alignment horizontal="right"/>
      <protection locked="0"/>
    </xf>
    <xf numFmtId="0" fontId="3" fillId="11" borderId="0" xfId="0" applyFont="1" applyFill="1" applyBorder="1" applyAlignment="1" applyProtection="1">
      <alignment horizontal="left"/>
      <protection locked="0"/>
    </xf>
    <xf numFmtId="0" fontId="0" fillId="11" borderId="0" xfId="0" applyFill="1" applyAlignment="1" applyProtection="1">
      <alignment horizontal="left"/>
      <protection locked="0"/>
    </xf>
    <xf numFmtId="0" fontId="3" fillId="14" borderId="0" xfId="0" applyFont="1" applyFill="1" applyBorder="1" applyAlignment="1" applyProtection="1">
      <alignment horizontal="left"/>
    </xf>
    <xf numFmtId="0" fontId="0" fillId="14" borderId="0" xfId="0" applyFill="1" applyAlignment="1" applyProtection="1"/>
    <xf numFmtId="0" fontId="3" fillId="6" borderId="0" xfId="0" applyFont="1" applyFill="1" applyBorder="1" applyAlignment="1" applyProtection="1">
      <alignment horizontal="right"/>
    </xf>
    <xf numFmtId="0" fontId="3" fillId="11" borderId="0" xfId="0" applyFont="1" applyFill="1" applyBorder="1" applyAlignment="1" applyProtection="1">
      <alignment horizontal="left"/>
    </xf>
    <xf numFmtId="0" fontId="0" fillId="11" borderId="0" xfId="0" applyFill="1" applyAlignment="1" applyProtection="1">
      <alignment horizontal="left"/>
    </xf>
    <xf numFmtId="0" fontId="0" fillId="0" borderId="46" xfId="0" applyFill="1" applyBorder="1" applyAlignment="1" applyProtection="1">
      <alignment horizontal="center"/>
    </xf>
    <xf numFmtId="0" fontId="0" fillId="0" borderId="17" xfId="0" applyBorder="1" applyAlignment="1" applyProtection="1"/>
    <xf numFmtId="0" fontId="0" fillId="0" borderId="17" xfId="0" applyFill="1" applyBorder="1" applyAlignment="1" applyProtection="1">
      <alignment horizontal="center"/>
    </xf>
    <xf numFmtId="0" fontId="54" fillId="22" borderId="0" xfId="0" applyFont="1" applyFill="1" applyAlignment="1" applyProtection="1">
      <alignment horizontal="left"/>
    </xf>
    <xf numFmtId="0" fontId="31" fillId="22" borderId="0" xfId="0" applyFont="1" applyFill="1" applyAlignment="1">
      <alignment horizontal="left"/>
    </xf>
    <xf numFmtId="0" fontId="3" fillId="14" borderId="28" xfId="0" applyFont="1" applyFill="1" applyBorder="1" applyAlignment="1" applyProtection="1">
      <alignment horizontal="left"/>
    </xf>
    <xf numFmtId="14" fontId="4" fillId="0" borderId="35" xfId="0" applyNumberFormat="1" applyFont="1" applyFill="1" applyBorder="1" applyAlignment="1" applyProtection="1"/>
    <xf numFmtId="194" fontId="4" fillId="0" borderId="35" xfId="0" applyNumberFormat="1" applyFont="1" applyFill="1" applyBorder="1" applyAlignment="1" applyProtection="1"/>
    <xf numFmtId="0" fontId="20" fillId="2" borderId="12" xfId="0" applyFont="1" applyFill="1" applyBorder="1" applyAlignment="1" applyProtection="1"/>
    <xf numFmtId="0" fontId="0" fillId="2" borderId="12" xfId="0" applyFill="1" applyBorder="1" applyAlignment="1" applyProtection="1"/>
    <xf numFmtId="0" fontId="0" fillId="10" borderId="0" xfId="0" applyFill="1" applyAlignment="1" applyProtection="1"/>
    <xf numFmtId="0" fontId="20" fillId="0" borderId="0" xfId="0" applyFont="1" applyFill="1" applyBorder="1" applyAlignment="1" applyProtection="1"/>
    <xf numFmtId="0" fontId="0" fillId="0" borderId="0" xfId="0" applyFill="1" applyBorder="1" applyAlignment="1" applyProtection="1"/>
    <xf numFmtId="14" fontId="20" fillId="0" borderId="35" xfId="0" applyNumberFormat="1" applyFont="1" applyBorder="1" applyAlignment="1" applyProtection="1">
      <protection locked="0"/>
    </xf>
    <xf numFmtId="0" fontId="20" fillId="0" borderId="35" xfId="0" applyFont="1" applyBorder="1" applyAlignment="1" applyProtection="1">
      <protection locked="0"/>
    </xf>
    <xf numFmtId="18" fontId="20" fillId="0" borderId="35" xfId="0" applyNumberFormat="1" applyFont="1" applyBorder="1" applyAlignment="1" applyProtection="1">
      <protection locked="0"/>
    </xf>
    <xf numFmtId="0" fontId="0" fillId="0" borderId="35" xfId="0" applyBorder="1" applyAlignment="1" applyProtection="1">
      <protection locked="0"/>
    </xf>
  </cellXfs>
  <cellStyles count="2">
    <cellStyle name="Normal" xfId="0" builtinId="0"/>
    <cellStyle name="Normal 2" xfId="1"/>
  </cellStyles>
  <dxfs count="33">
    <dxf>
      <font>
        <color theme="1"/>
      </font>
      <fill>
        <patternFill>
          <bgColor rgb="FFFFFF00"/>
        </patternFill>
      </fill>
    </dxf>
    <dxf>
      <fill>
        <patternFill>
          <bgColor theme="8" tint="0.39994506668294322"/>
        </patternFill>
      </fill>
    </dxf>
    <dxf>
      <fill>
        <patternFill>
          <bgColor rgb="FFFF0000"/>
        </patternFill>
      </fill>
    </dxf>
    <dxf>
      <fill>
        <patternFill>
          <bgColor rgb="FFFF0000"/>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theme="3" tint="0.59996337778862885"/>
        </patternFill>
      </fill>
    </dxf>
    <dxf>
      <fill>
        <patternFill>
          <bgColor theme="3" tint="0.59996337778862885"/>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3" tint="0.59996337778862885"/>
        </patternFill>
      </fill>
    </dxf>
    <dxf>
      <fill>
        <patternFill>
          <bgColor theme="3" tint="0.59996337778862885"/>
        </patternFill>
      </fill>
    </dxf>
    <dxf>
      <font>
        <color auto="1"/>
      </font>
      <fill>
        <patternFill>
          <bgColor rgb="FFFFFF00"/>
        </patternFill>
      </fill>
    </dxf>
    <dxf>
      <font>
        <color theme="1"/>
      </font>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xdr:col>
      <xdr:colOff>22860</xdr:colOff>
      <xdr:row>1</xdr:row>
      <xdr:rowOff>7620</xdr:rowOff>
    </xdr:from>
    <xdr:to>
      <xdr:col>12</xdr:col>
      <xdr:colOff>137160</xdr:colOff>
      <xdr:row>2</xdr:row>
      <xdr:rowOff>144780</xdr:rowOff>
    </xdr:to>
    <xdr:pic macro="[0]!P21_10BuildPACChart">
      <xdr:nvPicPr>
        <xdr:cNvPr id="37931" name="Picture 3" descr="generate.jpg">
          <a:extLst>
            <a:ext uri="{FF2B5EF4-FFF2-40B4-BE49-F238E27FC236}">
              <a16:creationId xmlns:a16="http://schemas.microsoft.com/office/drawing/2014/main" id="{E3EE12D1-41C9-425D-8BD4-A6FCD13BD9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74720" y="175260"/>
          <a:ext cx="117348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9</xdr:row>
      <xdr:rowOff>0</xdr:rowOff>
    </xdr:from>
    <xdr:to>
      <xdr:col>13</xdr:col>
      <xdr:colOff>99060</xdr:colOff>
      <xdr:row>20</xdr:row>
      <xdr:rowOff>30480</xdr:rowOff>
    </xdr:to>
    <xdr:pic>
      <xdr:nvPicPr>
        <xdr:cNvPr id="37932" name="Picture 4" descr="p21logo-002-1.png">
          <a:extLst>
            <a:ext uri="{FF2B5EF4-FFF2-40B4-BE49-F238E27FC236}">
              <a16:creationId xmlns:a16="http://schemas.microsoft.com/office/drawing/2014/main" id="{190F35F3-3EB0-4BE9-8210-E2A69FC12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51860" y="1539240"/>
          <a:ext cx="1958340" cy="18821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38100</xdr:colOff>
      <xdr:row>0</xdr:row>
      <xdr:rowOff>53340</xdr:rowOff>
    </xdr:from>
    <xdr:to>
      <xdr:col>1</xdr:col>
      <xdr:colOff>335280</xdr:colOff>
      <xdr:row>3</xdr:row>
      <xdr:rowOff>91440</xdr:rowOff>
    </xdr:to>
    <xdr:pic>
      <xdr:nvPicPr>
        <xdr:cNvPr id="38931" name="Picture 1" descr="p21logo-002-1-40x40.png">
          <a:extLst>
            <a:ext uri="{FF2B5EF4-FFF2-40B4-BE49-F238E27FC236}">
              <a16:creationId xmlns:a16="http://schemas.microsoft.com/office/drawing/2014/main" id="{4DEF1BF3-AEB6-4553-BAA2-EAFE41E82EB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53340"/>
          <a:ext cx="52578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30480</xdr:colOff>
      <xdr:row>0</xdr:row>
      <xdr:rowOff>45720</xdr:rowOff>
    </xdr:from>
    <xdr:to>
      <xdr:col>1</xdr:col>
      <xdr:colOff>327660</xdr:colOff>
      <xdr:row>3</xdr:row>
      <xdr:rowOff>76200</xdr:rowOff>
    </xdr:to>
    <xdr:pic>
      <xdr:nvPicPr>
        <xdr:cNvPr id="10115" name="Picture 1" descr="p21logo-002-1-40x40.png">
          <a:extLst>
            <a:ext uri="{FF2B5EF4-FFF2-40B4-BE49-F238E27FC236}">
              <a16:creationId xmlns:a16="http://schemas.microsoft.com/office/drawing/2014/main" id="{131E0E82-204C-498F-98BA-60683EEF8C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 y="45720"/>
          <a:ext cx="525780" cy="510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45720</xdr:colOff>
      <xdr:row>0</xdr:row>
      <xdr:rowOff>60960</xdr:rowOff>
    </xdr:from>
    <xdr:to>
      <xdr:col>0</xdr:col>
      <xdr:colOff>556260</xdr:colOff>
      <xdr:row>3</xdr:row>
      <xdr:rowOff>45720</xdr:rowOff>
    </xdr:to>
    <xdr:pic>
      <xdr:nvPicPr>
        <xdr:cNvPr id="13945" name="Picture 1" descr="p21logo-002-1-40x40.png">
          <a:extLst>
            <a:ext uri="{FF2B5EF4-FFF2-40B4-BE49-F238E27FC236}">
              <a16:creationId xmlns:a16="http://schemas.microsoft.com/office/drawing/2014/main" id="{856B49CE-2BA0-4925-A3A6-8F7E481DA1A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720" y="60960"/>
          <a:ext cx="510540" cy="510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22860</xdr:colOff>
      <xdr:row>0</xdr:row>
      <xdr:rowOff>68580</xdr:rowOff>
    </xdr:from>
    <xdr:to>
      <xdr:col>1</xdr:col>
      <xdr:colOff>274320</xdr:colOff>
      <xdr:row>2</xdr:row>
      <xdr:rowOff>121920</xdr:rowOff>
    </xdr:to>
    <xdr:pic>
      <xdr:nvPicPr>
        <xdr:cNvPr id="34139" name="Picture 1" descr="p21logo-002-1-40x40.bmp">
          <a:extLst>
            <a:ext uri="{FF2B5EF4-FFF2-40B4-BE49-F238E27FC236}">
              <a16:creationId xmlns:a16="http://schemas.microsoft.com/office/drawing/2014/main" id="{524289D7-A271-4888-976E-4E09F5B3B73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68580"/>
          <a:ext cx="518160" cy="510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38100</xdr:colOff>
      <xdr:row>0</xdr:row>
      <xdr:rowOff>45720</xdr:rowOff>
    </xdr:from>
    <xdr:to>
      <xdr:col>2</xdr:col>
      <xdr:colOff>30480</xdr:colOff>
      <xdr:row>3</xdr:row>
      <xdr:rowOff>0</xdr:rowOff>
    </xdr:to>
    <xdr:pic>
      <xdr:nvPicPr>
        <xdr:cNvPr id="40013" name="Picture 1" descr="p21logo-002-1-40x40.png">
          <a:extLst>
            <a:ext uri="{FF2B5EF4-FFF2-40B4-BE49-F238E27FC236}">
              <a16:creationId xmlns:a16="http://schemas.microsoft.com/office/drawing/2014/main" id="{50E28F78-2909-4E02-8F4D-3498DB0D625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45720"/>
          <a:ext cx="518160" cy="510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205740</xdr:colOff>
      <xdr:row>1</xdr:row>
      <xdr:rowOff>99060</xdr:rowOff>
    </xdr:from>
    <xdr:to>
      <xdr:col>34</xdr:col>
      <xdr:colOff>198120</xdr:colOff>
      <xdr:row>3</xdr:row>
      <xdr:rowOff>0</xdr:rowOff>
    </xdr:to>
    <xdr:pic macro="[0]!P21_30AddPACCondition">
      <xdr:nvPicPr>
        <xdr:cNvPr id="40014" name="Picture 2" descr="AddCondition.png">
          <a:extLst>
            <a:ext uri="{FF2B5EF4-FFF2-40B4-BE49-F238E27FC236}">
              <a16:creationId xmlns:a16="http://schemas.microsoft.com/office/drawing/2014/main" id="{B7CFE93B-3E8B-4C3D-8A59-3D1ABD6362D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48600" y="320040"/>
          <a:ext cx="136398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91440</xdr:colOff>
      <xdr:row>0</xdr:row>
      <xdr:rowOff>121920</xdr:rowOff>
    </xdr:from>
    <xdr:to>
      <xdr:col>42</xdr:col>
      <xdr:colOff>22860</xdr:colOff>
      <xdr:row>1</xdr:row>
      <xdr:rowOff>137160</xdr:rowOff>
    </xdr:to>
    <xdr:pic macro="[0]!P21_51RetrieveChartsforPAC">
      <xdr:nvPicPr>
        <xdr:cNvPr id="40015" name="Picture 3" descr="SendQuery.png">
          <a:extLst>
            <a:ext uri="{FF2B5EF4-FFF2-40B4-BE49-F238E27FC236}">
              <a16:creationId xmlns:a16="http://schemas.microsoft.com/office/drawing/2014/main" id="{A4EEA1DD-F387-4C99-938C-3D49DB46C4B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0" y="121920"/>
          <a:ext cx="118110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99060</xdr:colOff>
      <xdr:row>2</xdr:row>
      <xdr:rowOff>45720</xdr:rowOff>
    </xdr:from>
    <xdr:to>
      <xdr:col>42</xdr:col>
      <xdr:colOff>45720</xdr:colOff>
      <xdr:row>3</xdr:row>
      <xdr:rowOff>121920</xdr:rowOff>
    </xdr:to>
    <xdr:pic macro="[0]!P21_53FormatRetrievedCharts">
      <xdr:nvPicPr>
        <xdr:cNvPr id="40016" name="Picture 4" descr="ViewResults.png">
          <a:extLst>
            <a:ext uri="{FF2B5EF4-FFF2-40B4-BE49-F238E27FC236}">
              <a16:creationId xmlns:a16="http://schemas.microsoft.com/office/drawing/2014/main" id="{2DFBA6C8-FD2E-476F-9EFE-A3FD13ED65E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485120" y="434340"/>
          <a:ext cx="11963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22860</xdr:colOff>
      <xdr:row>0</xdr:row>
      <xdr:rowOff>68580</xdr:rowOff>
    </xdr:from>
    <xdr:to>
      <xdr:col>1</xdr:col>
      <xdr:colOff>274320</xdr:colOff>
      <xdr:row>2</xdr:row>
      <xdr:rowOff>121920</xdr:rowOff>
    </xdr:to>
    <xdr:pic>
      <xdr:nvPicPr>
        <xdr:cNvPr id="36964" name="Picture 1" descr="p21logo-002-1-40x40.bmp">
          <a:extLst>
            <a:ext uri="{FF2B5EF4-FFF2-40B4-BE49-F238E27FC236}">
              <a16:creationId xmlns:a16="http://schemas.microsoft.com/office/drawing/2014/main" id="{09021AA6-34CC-4485-9ACC-603972FE26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68580"/>
          <a:ext cx="518160" cy="510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0</xdr:row>
      <xdr:rowOff>144780</xdr:rowOff>
    </xdr:from>
    <xdr:to>
      <xdr:col>23</xdr:col>
      <xdr:colOff>457200</xdr:colOff>
      <xdr:row>1</xdr:row>
      <xdr:rowOff>213360</xdr:rowOff>
    </xdr:to>
    <xdr:pic macro="[0]!P21_52RetrieveChartsforEvents">
      <xdr:nvPicPr>
        <xdr:cNvPr id="36965" name="Picture 3" descr="SendQuery.png">
          <a:extLst>
            <a:ext uri="{FF2B5EF4-FFF2-40B4-BE49-F238E27FC236}">
              <a16:creationId xmlns:a16="http://schemas.microsoft.com/office/drawing/2014/main" id="{CB12DD44-BCAC-494B-A4D7-C887ADD8CF0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93580" y="144780"/>
          <a:ext cx="118110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548640</xdr:colOff>
      <xdr:row>2</xdr:row>
      <xdr:rowOff>22860</xdr:rowOff>
    </xdr:from>
    <xdr:to>
      <xdr:col>23</xdr:col>
      <xdr:colOff>495300</xdr:colOff>
      <xdr:row>3</xdr:row>
      <xdr:rowOff>91440</xdr:rowOff>
    </xdr:to>
    <xdr:pic macro="[0]!P21_53FormatRetrievedCharts">
      <xdr:nvPicPr>
        <xdr:cNvPr id="36966" name="Picture 4" descr="ViewResults.png">
          <a:extLst>
            <a:ext uri="{FF2B5EF4-FFF2-40B4-BE49-F238E27FC236}">
              <a16:creationId xmlns:a16="http://schemas.microsoft.com/office/drawing/2014/main" id="{71DC77C7-98FD-483A-BC5E-A39FED609E8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16440" y="480060"/>
          <a:ext cx="11963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190500</xdr:colOff>
      <xdr:row>3</xdr:row>
      <xdr:rowOff>83820</xdr:rowOff>
    </xdr:to>
    <xdr:pic>
      <xdr:nvPicPr>
        <xdr:cNvPr id="8125" name="Picture 1" descr="p21logo-002-1-40x40.png">
          <a:extLst>
            <a:ext uri="{FF2B5EF4-FFF2-40B4-BE49-F238E27FC236}">
              <a16:creationId xmlns:a16="http://schemas.microsoft.com/office/drawing/2014/main" id="{50191F01-3BD6-4A49-A66F-0E3FF5BC22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38100"/>
          <a:ext cx="525780" cy="502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68580</xdr:colOff>
      <xdr:row>0</xdr:row>
      <xdr:rowOff>38100</xdr:rowOff>
    </xdr:from>
    <xdr:to>
      <xdr:col>0</xdr:col>
      <xdr:colOff>586740</xdr:colOff>
      <xdr:row>3</xdr:row>
      <xdr:rowOff>60960</xdr:rowOff>
    </xdr:to>
    <xdr:pic macro="[0]!A40ChartBuilder">
      <xdr:nvPicPr>
        <xdr:cNvPr id="5048" name="Picture 1" descr="p21logo-002-1-40x40.png">
          <a:extLst>
            <a:ext uri="{FF2B5EF4-FFF2-40B4-BE49-F238E27FC236}">
              <a16:creationId xmlns:a16="http://schemas.microsoft.com/office/drawing/2014/main" id="{D838CF36-3D89-42D9-90A1-80D630E73E9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 y="38100"/>
          <a:ext cx="518160"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38100</xdr:colOff>
      <xdr:row>0</xdr:row>
      <xdr:rowOff>53340</xdr:rowOff>
    </xdr:from>
    <xdr:to>
      <xdr:col>1</xdr:col>
      <xdr:colOff>335280</xdr:colOff>
      <xdr:row>3</xdr:row>
      <xdr:rowOff>91440</xdr:rowOff>
    </xdr:to>
    <xdr:pic>
      <xdr:nvPicPr>
        <xdr:cNvPr id="21855" name="Picture 1" descr="p21logo-002-1-40x40.png">
          <a:extLst>
            <a:ext uri="{FF2B5EF4-FFF2-40B4-BE49-F238E27FC236}">
              <a16:creationId xmlns:a16="http://schemas.microsoft.com/office/drawing/2014/main" id="{9DC6A24C-DFB9-460D-9332-0921C99099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53340"/>
          <a:ext cx="52578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69"/>
  <sheetViews>
    <sheetView workbookViewId="0">
      <selection activeCell="AC9" sqref="AC9"/>
    </sheetView>
  </sheetViews>
  <sheetFormatPr defaultColWidth="9.109375" defaultRowHeight="13.2"/>
  <cols>
    <col min="1" max="1" width="11.5546875" style="1" customWidth="1"/>
    <col min="2" max="2" width="7.109375" style="1" customWidth="1"/>
    <col min="3" max="3" width="2.6640625" style="195" customWidth="1"/>
    <col min="4" max="4" width="2.5546875" style="195" customWidth="1"/>
    <col min="5" max="5" width="2.33203125" style="258" customWidth="1"/>
    <col min="6" max="6" width="9.5546875" style="258" customWidth="1"/>
    <col min="7" max="7" width="6.88671875" style="1" customWidth="1"/>
    <col min="8" max="8" width="2.88671875" style="195" customWidth="1"/>
    <col min="9" max="9" width="2.6640625" style="195" customWidth="1"/>
    <col min="10" max="10" width="2.109375" style="1" customWidth="1"/>
    <col min="11" max="11" width="10.109375" style="258" customWidth="1"/>
    <col min="12" max="12" width="5.33203125" style="258" customWidth="1"/>
    <col min="13" max="13" width="11.6640625" style="258" customWidth="1"/>
    <col min="14" max="14" width="9" style="304" customWidth="1"/>
    <col min="15" max="15" width="7" style="1" customWidth="1"/>
    <col min="16" max="16" width="6" style="13" customWidth="1"/>
    <col min="17" max="17" width="1" style="1" customWidth="1"/>
    <col min="18" max="18" width="5.5546875" style="258" customWidth="1"/>
    <col min="19" max="19" width="7.109375" style="258" customWidth="1"/>
    <col min="20" max="20" width="1.109375" style="13" customWidth="1"/>
    <col min="21" max="21" width="1" style="1" customWidth="1"/>
    <col min="22" max="22" width="11.109375" style="1" customWidth="1"/>
    <col min="23" max="23" width="9" style="4" customWidth="1"/>
    <col min="24" max="24" width="5.33203125" style="4" customWidth="1"/>
    <col min="25" max="25" width="2" style="4" customWidth="1"/>
    <col min="26" max="26" width="10.6640625" style="289" customWidth="1"/>
    <col min="27" max="27" width="5.33203125" style="289" customWidth="1"/>
    <col min="28" max="28" width="2.44140625" style="1" customWidth="1"/>
    <col min="29" max="30" width="9.109375" style="13"/>
    <col min="31" max="16384" width="9.109375" style="1"/>
  </cols>
  <sheetData>
    <row r="1" spans="1:28">
      <c r="G1" s="13"/>
      <c r="H1" s="300"/>
      <c r="I1" s="300"/>
      <c r="J1" s="15"/>
      <c r="K1" s="259"/>
      <c r="L1" s="259"/>
      <c r="M1" s="259"/>
      <c r="N1" s="303"/>
    </row>
    <row r="2" spans="1:28">
      <c r="A2" s="261" t="s">
        <v>0</v>
      </c>
      <c r="E2" s="1"/>
      <c r="F2" s="261" t="s">
        <v>249</v>
      </c>
      <c r="I2" s="260"/>
      <c r="J2" s="4"/>
      <c r="N2" s="195" t="s">
        <v>308</v>
      </c>
      <c r="O2" s="499" t="s">
        <v>344</v>
      </c>
      <c r="P2" s="500"/>
      <c r="Q2" s="500"/>
      <c r="R2" s="500"/>
      <c r="S2" s="500"/>
      <c r="T2" s="500"/>
      <c r="U2" s="500"/>
      <c r="V2" s="500"/>
      <c r="W2" s="500"/>
      <c r="X2" s="501"/>
      <c r="Y2" s="501"/>
      <c r="Z2" s="290"/>
      <c r="AA2" s="290"/>
      <c r="AB2" s="71"/>
    </row>
    <row r="3" spans="1:28">
      <c r="A3" s="179" t="s">
        <v>605</v>
      </c>
      <c r="B3" s="180"/>
      <c r="C3" s="298"/>
      <c r="D3" s="298"/>
      <c r="E3" s="75"/>
      <c r="F3" s="1" t="s">
        <v>250</v>
      </c>
      <c r="G3" s="92">
        <v>17</v>
      </c>
      <c r="H3" s="196">
        <f>DAY(I3)</f>
        <v>17</v>
      </c>
      <c r="I3" s="213">
        <f>DATE(G5,G4,G3)+I13</f>
        <v>18523</v>
      </c>
      <c r="N3" s="195" t="s">
        <v>321</v>
      </c>
      <c r="O3" s="500"/>
      <c r="P3" s="500"/>
      <c r="Q3" s="500"/>
      <c r="R3" s="500"/>
      <c r="S3" s="500"/>
      <c r="T3" s="500"/>
      <c r="U3" s="500"/>
      <c r="V3" s="500"/>
      <c r="W3" s="500"/>
      <c r="X3" s="501"/>
      <c r="Y3" s="501"/>
      <c r="Z3" s="290"/>
      <c r="AA3" s="290"/>
      <c r="AB3" s="71"/>
    </row>
    <row r="4" spans="1:28" ht="15.6">
      <c r="C4" s="262"/>
      <c r="D4" s="262"/>
      <c r="E4" s="106"/>
      <c r="F4" s="1" t="s">
        <v>251</v>
      </c>
      <c r="G4" s="92">
        <v>9</v>
      </c>
      <c r="H4" s="196">
        <f>MONTH(I3)</f>
        <v>9</v>
      </c>
      <c r="I4" s="196"/>
      <c r="K4" s="503" t="s">
        <v>308</v>
      </c>
      <c r="L4" s="503"/>
      <c r="M4" s="197" t="s">
        <v>313</v>
      </c>
      <c r="O4" s="500"/>
      <c r="P4" s="500"/>
      <c r="Q4" s="500"/>
      <c r="R4" s="500"/>
      <c r="S4" s="500"/>
      <c r="T4" s="500"/>
      <c r="U4" s="500"/>
      <c r="V4" s="500"/>
      <c r="W4" s="500"/>
      <c r="X4" s="501"/>
      <c r="Y4" s="501"/>
      <c r="Z4" s="291"/>
      <c r="AA4" s="291"/>
      <c r="AB4" s="14"/>
    </row>
    <row r="5" spans="1:28">
      <c r="A5" s="498" t="s">
        <v>235</v>
      </c>
      <c r="B5" s="498"/>
      <c r="C5" s="262"/>
      <c r="D5" s="262"/>
      <c r="E5" s="106"/>
      <c r="F5" s="1" t="s">
        <v>252</v>
      </c>
      <c r="G5" s="92">
        <v>1950</v>
      </c>
      <c r="H5" s="196">
        <f>YEAR(I3)</f>
        <v>1950</v>
      </c>
      <c r="I5" s="214"/>
      <c r="O5" s="500"/>
      <c r="P5" s="500"/>
      <c r="Q5" s="500"/>
      <c r="R5" s="500"/>
      <c r="S5" s="500"/>
      <c r="T5" s="500"/>
      <c r="U5" s="500"/>
      <c r="V5" s="500"/>
      <c r="W5" s="500"/>
      <c r="X5" s="501"/>
      <c r="Y5" s="501"/>
      <c r="Z5" s="291"/>
      <c r="AA5" s="291"/>
      <c r="AB5" s="14"/>
    </row>
    <row r="6" spans="1:28">
      <c r="A6" s="281" t="s">
        <v>306</v>
      </c>
      <c r="B6" s="282"/>
      <c r="C6" s="299"/>
      <c r="D6" s="262"/>
      <c r="E6" s="106"/>
      <c r="H6" s="301"/>
      <c r="I6" s="196"/>
      <c r="J6" s="14"/>
      <c r="K6" s="295" t="s">
        <v>342</v>
      </c>
      <c r="M6" s="296" t="str">
        <f>MID(M7,1,12)</f>
        <v>NDM179934000</v>
      </c>
      <c r="O6" s="502"/>
      <c r="P6" s="502"/>
      <c r="Q6" s="502"/>
      <c r="R6" s="502"/>
      <c r="S6" s="502"/>
      <c r="T6" s="502"/>
      <c r="U6" s="502"/>
      <c r="V6" s="502"/>
      <c r="W6" s="502"/>
      <c r="X6" s="501"/>
      <c r="Y6" s="501"/>
      <c r="Z6" s="258"/>
      <c r="AA6" s="258"/>
      <c r="AB6" s="14"/>
    </row>
    <row r="7" spans="1:28">
      <c r="E7" s="106"/>
      <c r="H7" s="301"/>
      <c r="I7" s="196"/>
      <c r="J7" s="14"/>
      <c r="M7" s="195" t="str">
        <f>CONCATENATE(M8,G3,G4,G9,G10,"0000000")</f>
        <v>NDM1799340000000</v>
      </c>
      <c r="Z7" s="258"/>
      <c r="AA7" s="258"/>
      <c r="AB7" s="14"/>
    </row>
    <row r="8" spans="1:28">
      <c r="A8" s="261" t="s">
        <v>236</v>
      </c>
      <c r="E8" s="106"/>
      <c r="F8" s="261" t="s">
        <v>259</v>
      </c>
      <c r="G8" s="14"/>
      <c r="H8" s="260"/>
      <c r="I8" s="196"/>
      <c r="J8" s="14"/>
      <c r="K8" s="261" t="s">
        <v>343</v>
      </c>
      <c r="M8" s="297" t="s">
        <v>606</v>
      </c>
      <c r="O8" s="490" t="s">
        <v>603</v>
      </c>
      <c r="P8" s="491"/>
      <c r="Q8" s="489"/>
      <c r="R8" s="492"/>
      <c r="S8" s="492"/>
      <c r="T8" s="491"/>
      <c r="U8" s="489"/>
      <c r="V8" s="489"/>
      <c r="W8" s="493"/>
      <c r="X8" s="493"/>
      <c r="Z8" s="258"/>
      <c r="AA8" s="258"/>
      <c r="AB8" s="14"/>
    </row>
    <row r="9" spans="1:28">
      <c r="A9" s="1" t="s">
        <v>228</v>
      </c>
      <c r="B9" s="92">
        <v>72</v>
      </c>
      <c r="C9" s="195" t="s">
        <v>237</v>
      </c>
      <c r="E9" s="106"/>
      <c r="F9" s="1" t="s">
        <v>245</v>
      </c>
      <c r="G9" s="92">
        <v>9</v>
      </c>
      <c r="H9" s="196"/>
      <c r="I9" s="196"/>
      <c r="J9" s="14"/>
      <c r="O9" s="181"/>
      <c r="P9" s="491"/>
      <c r="Q9" s="489"/>
      <c r="R9" s="492"/>
      <c r="S9" s="492"/>
      <c r="T9" s="491"/>
      <c r="U9" s="489"/>
      <c r="V9" s="489"/>
      <c r="W9" s="493"/>
      <c r="X9" s="493"/>
      <c r="AA9" s="258"/>
      <c r="AB9" s="196"/>
    </row>
    <row r="10" spans="1:28" ht="15" customHeight="1">
      <c r="A10" s="1" t="s">
        <v>229</v>
      </c>
      <c r="B10" s="92">
        <v>36</v>
      </c>
      <c r="C10" s="195" t="s">
        <v>238</v>
      </c>
      <c r="E10" s="106"/>
      <c r="F10" s="1" t="s">
        <v>246</v>
      </c>
      <c r="G10" s="92">
        <v>34</v>
      </c>
      <c r="H10" s="195">
        <f>ROUND((G9 + G10/60),4)</f>
        <v>9.5667000000000009</v>
      </c>
      <c r="I10" s="196"/>
      <c r="J10" s="14"/>
      <c r="O10" s="490" t="s">
        <v>599</v>
      </c>
      <c r="P10" s="491"/>
      <c r="Q10" s="489"/>
      <c r="R10" s="492"/>
      <c r="S10" s="492"/>
      <c r="T10" s="491"/>
      <c r="U10" s="489"/>
      <c r="V10" s="489"/>
      <c r="W10" s="493"/>
      <c r="X10" s="493"/>
      <c r="Z10" s="258"/>
      <c r="AA10" s="258"/>
      <c r="AB10" s="194"/>
    </row>
    <row r="11" spans="1:28">
      <c r="A11" s="1" t="s">
        <v>239</v>
      </c>
      <c r="B11" s="92" t="s">
        <v>237</v>
      </c>
      <c r="C11" s="195">
        <f>ROUND((B9 + B10/60),2)</f>
        <v>72.599999999999994</v>
      </c>
      <c r="D11" s="195">
        <f>IF(B11="West",-1*C11,C11)</f>
        <v>72.599999999999994</v>
      </c>
      <c r="E11" s="106"/>
      <c r="F11" s="14"/>
      <c r="G11" s="14"/>
      <c r="H11" s="301"/>
      <c r="I11" s="196"/>
      <c r="J11" s="14"/>
      <c r="O11" s="490" t="s">
        <v>592</v>
      </c>
      <c r="P11" s="489"/>
      <c r="Q11" s="489"/>
      <c r="R11" s="492"/>
      <c r="S11" s="492"/>
      <c r="T11" s="491"/>
      <c r="U11" s="323"/>
      <c r="V11" s="489"/>
      <c r="W11" s="493"/>
      <c r="X11" s="493"/>
      <c r="AB11" s="194"/>
    </row>
    <row r="12" spans="1:28">
      <c r="E12" s="106"/>
      <c r="F12" s="496" t="s">
        <v>247</v>
      </c>
      <c r="G12" s="496"/>
      <c r="H12" s="195">
        <f>H10-D21</f>
        <v>4.0667000000000009</v>
      </c>
      <c r="O12" s="490" t="s">
        <v>593</v>
      </c>
      <c r="P12" s="491"/>
      <c r="Q12" s="489"/>
      <c r="R12" s="492"/>
      <c r="S12" s="492"/>
      <c r="T12" s="491"/>
      <c r="U12" s="323"/>
      <c r="V12" s="489"/>
      <c r="W12" s="493"/>
      <c r="X12" s="493"/>
      <c r="AB12" s="196"/>
    </row>
    <row r="13" spans="1:28">
      <c r="A13" s="261" t="s">
        <v>240</v>
      </c>
      <c r="E13" s="1"/>
      <c r="F13" s="496" t="s">
        <v>248</v>
      </c>
      <c r="G13" s="497"/>
      <c r="H13" s="195">
        <f>IF(H12 &lt; 0,24+H12,(IF(H12 &gt;= 24,H12 - 24,H12)))</f>
        <v>4.0667000000000009</v>
      </c>
      <c r="I13" s="195" t="str">
        <f>IF(H12 &lt; 0,"-1",(IF(H12 &gt;= 24,"1","0")))</f>
        <v>0</v>
      </c>
      <c r="O13" s="490" t="s">
        <v>594</v>
      </c>
      <c r="P13" s="491"/>
      <c r="Q13" s="489"/>
      <c r="R13" s="492"/>
      <c r="S13" s="492"/>
      <c r="T13" s="491"/>
      <c r="U13" s="323"/>
      <c r="V13" s="489"/>
      <c r="W13" s="493"/>
      <c r="X13" s="493"/>
      <c r="AB13" s="194"/>
    </row>
    <row r="14" spans="1:28">
      <c r="A14" s="1" t="s">
        <v>228</v>
      </c>
      <c r="B14" s="92">
        <v>23</v>
      </c>
      <c r="C14" s="195" t="s">
        <v>242</v>
      </c>
      <c r="E14" s="1"/>
      <c r="F14" s="1"/>
      <c r="H14" s="195">
        <f>FLOOR(H13,1)</f>
        <v>4</v>
      </c>
      <c r="O14" s="181"/>
      <c r="P14" s="491"/>
      <c r="Q14" s="489"/>
      <c r="R14" s="492"/>
      <c r="S14" s="492"/>
      <c r="T14" s="491"/>
      <c r="U14" s="494"/>
      <c r="V14" s="489"/>
      <c r="W14" s="493"/>
      <c r="X14" s="493"/>
      <c r="AB14" s="194"/>
    </row>
    <row r="15" spans="1:28">
      <c r="A15" s="1" t="s">
        <v>229</v>
      </c>
      <c r="B15" s="92">
        <v>48</v>
      </c>
      <c r="C15" s="195" t="s">
        <v>243</v>
      </c>
      <c r="E15" s="1"/>
      <c r="F15" s="1"/>
      <c r="H15" s="195">
        <f>ROUND((H13-H14)*60,0)</f>
        <v>4</v>
      </c>
      <c r="O15" s="490" t="s">
        <v>600</v>
      </c>
      <c r="P15" s="491"/>
      <c r="Q15" s="489"/>
      <c r="R15" s="492"/>
      <c r="S15" s="492"/>
      <c r="T15" s="491"/>
      <c r="U15" s="489"/>
      <c r="V15" s="489"/>
      <c r="W15" s="493"/>
      <c r="X15" s="493"/>
      <c r="Z15" s="291"/>
      <c r="AA15" s="291"/>
      <c r="AB15" s="71"/>
    </row>
    <row r="16" spans="1:28">
      <c r="A16" s="1" t="s">
        <v>241</v>
      </c>
      <c r="B16" s="92" t="s">
        <v>242</v>
      </c>
      <c r="C16" s="195">
        <f>ROUND((B14 + B15/60),2)</f>
        <v>23.8</v>
      </c>
      <c r="D16" s="195">
        <f>IF(B16="South",-1*C16,C16)</f>
        <v>23.8</v>
      </c>
      <c r="E16" s="1"/>
      <c r="H16" s="260"/>
      <c r="I16" s="260"/>
      <c r="J16" s="4"/>
      <c r="O16" s="490" t="s">
        <v>595</v>
      </c>
      <c r="P16" s="491"/>
      <c r="Q16" s="489"/>
      <c r="R16" s="492"/>
      <c r="S16" s="492"/>
      <c r="T16" s="491"/>
      <c r="U16" s="489"/>
      <c r="V16" s="489"/>
      <c r="W16" s="493"/>
      <c r="X16" s="493"/>
      <c r="Z16" s="291"/>
      <c r="AA16" s="291"/>
      <c r="AB16" s="71"/>
    </row>
    <row r="17" spans="1:31">
      <c r="E17" s="1"/>
      <c r="H17" s="260"/>
      <c r="I17" s="260"/>
      <c r="J17" s="4"/>
      <c r="O17" s="490" t="s">
        <v>596</v>
      </c>
      <c r="P17" s="491"/>
      <c r="Q17" s="489"/>
      <c r="R17" s="492"/>
      <c r="S17" s="492"/>
      <c r="T17" s="491"/>
      <c r="U17" s="489"/>
      <c r="V17" s="489"/>
      <c r="W17" s="493"/>
      <c r="X17" s="493"/>
      <c r="AB17" s="71"/>
    </row>
    <row r="18" spans="1:31">
      <c r="A18" s="261" t="s">
        <v>244</v>
      </c>
      <c r="E18" s="1"/>
      <c r="F18" s="261" t="s">
        <v>334</v>
      </c>
      <c r="G18" s="4"/>
      <c r="H18" s="260"/>
      <c r="I18" s="260"/>
      <c r="J18" s="4"/>
      <c r="O18" s="490" t="s">
        <v>597</v>
      </c>
      <c r="P18" s="491"/>
      <c r="Q18" s="489"/>
      <c r="R18" s="492"/>
      <c r="S18" s="492"/>
      <c r="T18" s="491"/>
      <c r="U18" s="489"/>
      <c r="V18" s="489"/>
      <c r="W18" s="493"/>
      <c r="X18" s="493"/>
      <c r="AB18" s="71"/>
    </row>
    <row r="19" spans="1:31" ht="12" customHeight="1">
      <c r="A19" s="1" t="s">
        <v>245</v>
      </c>
      <c r="B19" s="92">
        <v>5</v>
      </c>
      <c r="E19" s="1"/>
      <c r="F19" s="1" t="s">
        <v>250</v>
      </c>
      <c r="G19" s="92">
        <v>20</v>
      </c>
      <c r="H19" s="260"/>
      <c r="I19" s="260"/>
      <c r="J19" s="4"/>
      <c r="O19" s="181"/>
      <c r="P19" s="491"/>
      <c r="Q19" s="489"/>
      <c r="R19" s="492"/>
      <c r="S19" s="492"/>
      <c r="T19" s="491"/>
      <c r="U19" s="489"/>
      <c r="V19" s="489"/>
      <c r="W19" s="493"/>
      <c r="X19" s="493"/>
      <c r="AB19" s="71"/>
    </row>
    <row r="20" spans="1:31">
      <c r="A20" s="1" t="s">
        <v>246</v>
      </c>
      <c r="B20" s="92">
        <v>30</v>
      </c>
      <c r="E20" s="1"/>
      <c r="F20" s="1" t="s">
        <v>251</v>
      </c>
      <c r="G20" s="92">
        <v>5</v>
      </c>
      <c r="H20" s="260"/>
      <c r="I20" s="260"/>
      <c r="J20" s="4"/>
      <c r="O20" s="490" t="s">
        <v>598</v>
      </c>
      <c r="P20" s="489"/>
      <c r="Q20" s="489"/>
      <c r="R20" s="492"/>
      <c r="S20" s="492"/>
      <c r="T20" s="491"/>
      <c r="U20" s="489"/>
      <c r="V20" s="489"/>
      <c r="W20" s="489"/>
      <c r="X20" s="489"/>
      <c r="Y20" s="1"/>
      <c r="Z20" s="258"/>
      <c r="AA20" s="258"/>
      <c r="AB20" s="71"/>
    </row>
    <row r="21" spans="1:31" ht="12.75" customHeight="1">
      <c r="A21" s="1" t="s">
        <v>239</v>
      </c>
      <c r="B21" s="92" t="s">
        <v>237</v>
      </c>
      <c r="C21" s="195">
        <f>B19+B20/60</f>
        <v>5.5</v>
      </c>
      <c r="D21" s="195">
        <f>IF(B21="West",-1*C21,C21)</f>
        <v>5.5</v>
      </c>
      <c r="E21" s="1"/>
      <c r="F21" s="1" t="s">
        <v>252</v>
      </c>
      <c r="G21" s="92">
        <v>2018</v>
      </c>
      <c r="H21" s="260"/>
      <c r="I21" s="260"/>
      <c r="J21" s="4"/>
      <c r="N21" s="305"/>
      <c r="O21" s="490" t="s">
        <v>604</v>
      </c>
      <c r="P21" s="322"/>
      <c r="Q21" s="491"/>
      <c r="R21" s="495"/>
      <c r="S21" s="495"/>
      <c r="T21" s="491"/>
      <c r="U21" s="494"/>
      <c r="V21" s="489"/>
      <c r="W21" s="489"/>
      <c r="X21" s="489"/>
      <c r="Y21" s="1"/>
      <c r="Z21" s="258"/>
      <c r="AA21" s="258"/>
      <c r="AB21" s="71"/>
    </row>
    <row r="22" spans="1:31">
      <c r="E22" s="1"/>
      <c r="F22" s="4"/>
      <c r="G22" s="4"/>
      <c r="H22" s="260"/>
      <c r="I22" s="260"/>
      <c r="J22" s="4"/>
      <c r="N22" s="305"/>
      <c r="O22" s="75"/>
      <c r="Q22" s="212"/>
      <c r="R22" s="286"/>
      <c r="S22" s="285"/>
      <c r="U22" s="171"/>
      <c r="W22" s="1"/>
      <c r="X22" s="1"/>
      <c r="Y22" s="1"/>
      <c r="Z22" s="258"/>
      <c r="AA22" s="258"/>
      <c r="AB22" s="71"/>
    </row>
    <row r="23" spans="1:31" ht="13.8" thickBot="1">
      <c r="A23" s="191"/>
      <c r="B23" s="191"/>
      <c r="C23" s="215"/>
      <c r="D23" s="215"/>
      <c r="E23" s="191"/>
      <c r="F23" s="144"/>
      <c r="G23" s="144"/>
      <c r="H23" s="302"/>
      <c r="I23" s="302"/>
      <c r="J23" s="144"/>
      <c r="K23" s="292"/>
      <c r="L23" s="292"/>
      <c r="M23" s="292"/>
      <c r="N23" s="306"/>
      <c r="O23" s="263"/>
      <c r="P23" s="134"/>
      <c r="Q23" s="134"/>
      <c r="R23" s="287"/>
      <c r="S23" s="287"/>
      <c r="T23" s="134"/>
      <c r="U23" s="53"/>
      <c r="V23" s="191"/>
      <c r="W23" s="191"/>
      <c r="X23" s="191"/>
      <c r="Y23" s="191"/>
      <c r="Z23" s="292"/>
      <c r="AA23" s="292"/>
      <c r="AB23" s="53"/>
      <c r="AC23" s="134"/>
      <c r="AD23" s="134"/>
    </row>
    <row r="24" spans="1:31">
      <c r="E24" s="1"/>
      <c r="F24" s="4"/>
      <c r="G24" s="4"/>
      <c r="H24" s="260"/>
      <c r="I24" s="260"/>
      <c r="J24" s="4"/>
      <c r="N24" s="305"/>
      <c r="O24" s="13"/>
      <c r="P24" s="75"/>
      <c r="Q24" s="13"/>
      <c r="R24" s="285"/>
      <c r="S24" s="285"/>
      <c r="U24" s="14"/>
      <c r="W24" s="1"/>
      <c r="X24" s="1"/>
      <c r="Y24" s="14"/>
      <c r="Z24" s="291"/>
      <c r="AA24" s="291"/>
      <c r="AB24" s="14"/>
    </row>
    <row r="25" spans="1:31">
      <c r="A25" s="100" t="s">
        <v>601</v>
      </c>
      <c r="C25" s="318"/>
      <c r="D25" s="319"/>
      <c r="E25" s="319"/>
      <c r="F25" s="319"/>
      <c r="G25" s="319"/>
      <c r="H25" s="319"/>
      <c r="I25" s="319"/>
      <c r="J25" s="319"/>
      <c r="K25" s="319"/>
      <c r="L25" s="319"/>
      <c r="M25" s="319"/>
      <c r="N25" s="319"/>
      <c r="O25" s="319"/>
      <c r="P25" s="319"/>
      <c r="Q25" s="319"/>
      <c r="R25" s="286"/>
      <c r="S25" s="285"/>
      <c r="U25" s="71"/>
      <c r="Y25" s="14"/>
      <c r="Z25" s="291"/>
      <c r="AA25" s="291"/>
      <c r="AB25" s="14"/>
    </row>
    <row r="26" spans="1:31">
      <c r="A26" s="90" t="s">
        <v>602</v>
      </c>
      <c r="C26" s="319"/>
      <c r="D26" s="319"/>
      <c r="E26" s="319"/>
      <c r="F26" s="319"/>
      <c r="G26" s="319"/>
      <c r="H26" s="319"/>
      <c r="I26" s="319"/>
      <c r="J26" s="319"/>
      <c r="K26" s="319"/>
      <c r="L26" s="319"/>
      <c r="M26" s="319"/>
      <c r="N26" s="319"/>
      <c r="O26" s="319"/>
      <c r="P26" s="319"/>
      <c r="Q26" s="319"/>
      <c r="R26" s="285"/>
      <c r="S26" s="286"/>
      <c r="U26" s="71"/>
      <c r="V26" s="71"/>
      <c r="Y26" s="178"/>
      <c r="Z26" s="293"/>
      <c r="AA26" s="291"/>
      <c r="AB26" s="14"/>
    </row>
    <row r="27" spans="1:31">
      <c r="A27" s="100" t="s">
        <v>276</v>
      </c>
      <c r="C27" s="319"/>
      <c r="D27" s="319"/>
      <c r="E27" s="319"/>
      <c r="F27" s="319"/>
      <c r="G27" s="319"/>
      <c r="H27" s="319"/>
      <c r="I27" s="319"/>
      <c r="J27" s="319"/>
      <c r="K27" s="319"/>
      <c r="L27" s="319"/>
      <c r="M27" s="319"/>
      <c r="N27" s="319"/>
      <c r="O27" s="319"/>
      <c r="P27" s="319"/>
      <c r="Q27" s="319"/>
      <c r="R27" s="285"/>
      <c r="S27" s="285"/>
      <c r="U27" s="71"/>
      <c r="V27" s="71"/>
      <c r="Y27" s="14"/>
      <c r="Z27" s="291"/>
      <c r="AA27" s="291"/>
      <c r="AB27" s="14"/>
    </row>
    <row r="28" spans="1:31">
      <c r="A28" s="100"/>
      <c r="N28" s="305"/>
      <c r="O28" s="13"/>
      <c r="P28" s="75"/>
      <c r="Q28" s="13"/>
      <c r="R28" s="285"/>
      <c r="S28" s="285"/>
      <c r="U28" s="71"/>
      <c r="V28" s="71"/>
      <c r="W28" s="14"/>
      <c r="X28" s="170"/>
      <c r="Y28" s="14"/>
      <c r="Z28" s="291"/>
      <c r="AA28" s="291"/>
      <c r="AB28" s="14"/>
    </row>
    <row r="29" spans="1:31" ht="27.75" customHeight="1">
      <c r="B29" s="4"/>
      <c r="C29" s="260"/>
      <c r="D29" s="260"/>
      <c r="E29" s="4"/>
      <c r="N29" s="307"/>
      <c r="O29" s="71"/>
      <c r="P29" s="14"/>
    </row>
    <row r="30" spans="1:31">
      <c r="N30" s="307"/>
      <c r="O30" s="71"/>
      <c r="P30" s="14"/>
    </row>
    <row r="31" spans="1:31" ht="13.8" thickBot="1">
      <c r="A31" s="264"/>
      <c r="B31" s="264"/>
      <c r="C31" s="267"/>
      <c r="D31" s="267"/>
      <c r="E31" s="264"/>
      <c r="F31" s="265"/>
      <c r="G31" s="265"/>
      <c r="H31" s="268"/>
      <c r="I31" s="268"/>
      <c r="J31" s="265"/>
      <c r="K31" s="288"/>
      <c r="L31" s="288"/>
      <c r="M31" s="288"/>
      <c r="N31" s="308"/>
      <c r="O31" s="264"/>
      <c r="P31" s="266"/>
      <c r="Q31" s="264"/>
      <c r="R31" s="288"/>
      <c r="S31" s="288"/>
      <c r="T31" s="266"/>
      <c r="U31" s="264"/>
      <c r="V31" s="264"/>
      <c r="W31" s="265"/>
      <c r="X31" s="265"/>
      <c r="Y31" s="265"/>
      <c r="Z31" s="294"/>
      <c r="AA31" s="294"/>
      <c r="AB31" s="264"/>
      <c r="AC31" s="266"/>
      <c r="AD31" s="266"/>
      <c r="AE31" s="264"/>
    </row>
    <row r="32" spans="1:31">
      <c r="Q32" s="15"/>
    </row>
    <row r="33" spans="5:17">
      <c r="E33" s="1"/>
      <c r="Q33" s="14"/>
    </row>
    <row r="34" spans="5:17">
      <c r="Q34" s="14"/>
    </row>
    <row r="35" spans="5:17">
      <c r="Q35" s="71"/>
    </row>
    <row r="36" spans="5:17">
      <c r="Q36" s="71"/>
    </row>
    <row r="37" spans="5:17">
      <c r="Q37" s="71"/>
    </row>
    <row r="38" spans="5:17">
      <c r="Q38" s="71"/>
    </row>
    <row r="39" spans="5:17">
      <c r="Q39" s="71"/>
    </row>
    <row r="40" spans="5:17">
      <c r="Q40" s="71"/>
    </row>
    <row r="41" spans="5:17">
      <c r="Q41" s="14"/>
    </row>
    <row r="42" spans="5:17">
      <c r="Q42" s="14"/>
    </row>
    <row r="43" spans="5:17">
      <c r="Q43" s="14"/>
    </row>
    <row r="44" spans="5:17">
      <c r="Q44" s="14"/>
    </row>
    <row r="45" spans="5:17">
      <c r="Q45" s="171"/>
    </row>
    <row r="46" spans="5:17">
      <c r="Q46" s="171"/>
    </row>
    <row r="47" spans="5:17">
      <c r="Q47" s="171"/>
    </row>
    <row r="48" spans="5:17">
      <c r="Q48" s="171"/>
    </row>
    <row r="49" spans="17:17">
      <c r="Q49" s="171"/>
    </row>
    <row r="50" spans="17:17">
      <c r="Q50" s="171"/>
    </row>
    <row r="51" spans="17:17">
      <c r="Q51" s="171"/>
    </row>
    <row r="52" spans="17:17">
      <c r="Q52" s="171"/>
    </row>
    <row r="53" spans="17:17">
      <c r="Q53" s="14"/>
    </row>
    <row r="54" spans="17:17">
      <c r="Q54" s="14"/>
    </row>
    <row r="55" spans="17:17">
      <c r="Q55" s="71"/>
    </row>
    <row r="56" spans="17:17">
      <c r="Q56" s="71"/>
    </row>
    <row r="57" spans="17:17">
      <c r="Q57" s="71"/>
    </row>
    <row r="58" spans="17:17">
      <c r="Q58" s="71"/>
    </row>
    <row r="59" spans="17:17">
      <c r="Q59" s="71"/>
    </row>
    <row r="60" spans="17:17">
      <c r="Q60" s="71"/>
    </row>
    <row r="61" spans="17:17">
      <c r="Q61" s="14"/>
    </row>
    <row r="62" spans="17:17">
      <c r="Q62" s="14"/>
    </row>
    <row r="63" spans="17:17">
      <c r="Q63" s="91"/>
    </row>
    <row r="64" spans="17:17">
      <c r="Q64" s="14"/>
    </row>
    <row r="65" spans="17:17">
      <c r="Q65" s="14"/>
    </row>
    <row r="69" spans="17:17" ht="13.8" thickBot="1">
      <c r="Q69" s="191"/>
    </row>
  </sheetData>
  <sheetProtection password="9C47" sheet="1"/>
  <mergeCells count="5">
    <mergeCell ref="F12:G12"/>
    <mergeCell ref="F13:G13"/>
    <mergeCell ref="A5:B5"/>
    <mergeCell ref="O2:Y6"/>
    <mergeCell ref="K4:L4"/>
  </mergeCells>
  <phoneticPr fontId="21" type="noConversion"/>
  <dataValidations count="4">
    <dataValidation type="list" allowBlank="1" showInputMessage="1" showErrorMessage="1" sqref="K4">
      <formula1>$N$2:$N$3</formula1>
    </dataValidation>
    <dataValidation type="list" showInputMessage="1" showErrorMessage="1" sqref="B16">
      <formula1>$C$14:$C$15</formula1>
    </dataValidation>
    <dataValidation type="list" allowBlank="1" showInputMessage="1" showErrorMessage="1" sqref="B11 B21 P11:Q11">
      <formula1>$C$9:$C$10</formula1>
    </dataValidation>
    <dataValidation type="textLength" operator="lessThanOrEqual" allowBlank="1" showInputMessage="1" showErrorMessage="1" sqref="M8">
      <formula1>4</formula1>
    </dataValidation>
  </dataValidations>
  <pageMargins left="0.75" right="0.75" top="1" bottom="1" header="0.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125"/>
  <sheetViews>
    <sheetView topLeftCell="A22" workbookViewId="0">
      <selection activeCell="A113" sqref="A113"/>
    </sheetView>
  </sheetViews>
  <sheetFormatPr defaultColWidth="11.5546875" defaultRowHeight="13.2"/>
  <cols>
    <col min="1" max="1" width="3.33203125" style="68" customWidth="1"/>
    <col min="2" max="2" width="11.88671875" style="8" customWidth="1"/>
    <col min="3" max="3" width="13.5546875" style="13" customWidth="1"/>
    <col min="4" max="13" width="3.6640625" style="15" customWidth="1"/>
    <col min="14" max="14" width="0.88671875" style="15" customWidth="1"/>
    <col min="15" max="26" width="3.6640625" style="15" customWidth="1"/>
    <col min="27" max="27" width="0.88671875" style="15" customWidth="1"/>
    <col min="28" max="39" width="3.6640625" style="15" customWidth="1"/>
    <col min="40" max="40" width="11.5546875" style="13"/>
    <col min="41" max="41" width="5.109375" style="13" customWidth="1"/>
    <col min="42" max="42" width="2.88671875" style="13" customWidth="1"/>
    <col min="43" max="43" width="3.88671875" style="13" customWidth="1"/>
    <col min="44" max="44" width="6.109375" style="13" customWidth="1"/>
    <col min="45" max="45" width="5.33203125" style="13" customWidth="1"/>
    <col min="46" max="46" width="4.5546875" style="13" customWidth="1"/>
    <col min="47" max="47" width="1.6640625" style="13" customWidth="1"/>
    <col min="48" max="48" width="3.5546875" style="13" customWidth="1"/>
    <col min="49" max="49" width="2.5546875" style="13" customWidth="1"/>
    <col min="50" max="16384" width="11.5546875" style="13"/>
  </cols>
  <sheetData>
    <row r="1" spans="1:49" ht="9.9" customHeight="1">
      <c r="M1" s="147"/>
    </row>
    <row r="2" spans="1:49" ht="13.8" thickBot="1">
      <c r="A2" s="61"/>
      <c r="C2" s="228" t="str">
        <f>DataEntry!A3</f>
        <v>Male</v>
      </c>
      <c r="D2" s="229" t="str">
        <f>DataEntry!N2</f>
        <v>natal</v>
      </c>
      <c r="E2" s="230"/>
      <c r="F2" s="230"/>
      <c r="G2" s="228" t="str">
        <f>Dasha!B844</f>
        <v>saturn</v>
      </c>
      <c r="H2" s="230"/>
      <c r="I2" s="228" t="str">
        <f>Dasha!C844</f>
        <v>ketu</v>
      </c>
      <c r="J2" s="230"/>
      <c r="K2" s="231" t="str">
        <f>Dasha!D844</f>
        <v>saturn</v>
      </c>
      <c r="L2" s="230"/>
      <c r="M2" s="438"/>
      <c r="N2" s="231"/>
      <c r="P2" s="231"/>
      <c r="Q2" s="231"/>
      <c r="R2" s="231"/>
      <c r="S2" s="232">
        <f>DataEntry!B9</f>
        <v>72</v>
      </c>
      <c r="T2" s="232">
        <f>DataEntry!B10</f>
        <v>36</v>
      </c>
      <c r="U2" s="232" t="str">
        <f>DataEntry!B11</f>
        <v>East</v>
      </c>
      <c r="V2" s="232"/>
      <c r="W2" s="232">
        <f>DataEntry!B14</f>
        <v>23</v>
      </c>
      <c r="X2" s="232">
        <f>DataEntry!B15</f>
        <v>48</v>
      </c>
      <c r="Y2" s="232" t="str">
        <f>DataEntry!B16</f>
        <v>North</v>
      </c>
      <c r="Z2" s="232"/>
      <c r="AA2" s="535">
        <f>DATE(DataEntry!G5,DataEntry!G4,DataEntry!G3)</f>
        <v>18523</v>
      </c>
      <c r="AB2" s="533"/>
      <c r="AC2" s="533"/>
      <c r="AD2" s="533"/>
      <c r="AE2" s="232"/>
      <c r="AF2" s="233"/>
      <c r="AG2" s="532">
        <f>TIME(DataEntry!G9,DataEntry!G10,0)</f>
        <v>0.39861111111111108</v>
      </c>
      <c r="AH2" s="533"/>
      <c r="AI2" s="534"/>
      <c r="AJ2" s="231"/>
      <c r="AK2" s="231"/>
      <c r="AL2" s="231"/>
      <c r="AM2" s="231"/>
      <c r="AN2" s="228" t="str">
        <f>DataEntry!M6</f>
        <v>NDM179934000</v>
      </c>
      <c r="AO2" s="228"/>
    </row>
    <row r="3" spans="1:49" ht="14.4" thickTop="1" thickBot="1">
      <c r="A3" s="61"/>
      <c r="C3" s="15"/>
    </row>
    <row r="4" spans="1:49">
      <c r="D4" s="518" t="str">
        <f>CONCATENATE(IF($D$26=12,"@ ",""),IF($E$26=12,"Su ",""),IF($F$26=12,"Mo ",""),IF($G$26=12,"Me ",""),IF($H$26=12,"V ",""),IF($I$26=12,"Ma ",""),IF($J$26=12,"J ",""),IF($K$26=12,"Sa ",""),IF($L$26=12,"R ",""),IF($M$26=12,"K ",""))</f>
        <v xml:space="preserve">R </v>
      </c>
      <c r="E4" s="519"/>
      <c r="F4" s="514" t="str">
        <f>CONCATENATE(IF($D$26=1,"@ ",""),IF($E$26=1,"Su ",""),IF($F$26=1,"Mo ",""),IF($G$26=1,"Me ",""),IF($H$26=1,"V ",""),IF($I$26=1,"Ma ",""),IF($J$26=1,"J ",""),IF($K$26=1,"Sa ",""),IF($L$26=1,"R ",""),IF($M$26=1,"K ",""))</f>
        <v/>
      </c>
      <c r="G4" s="515"/>
      <c r="H4" s="526" t="str">
        <f>CONCATENATE(IF($D$26=2,"@ ",""),IF($E$26=2,"Su ",""),IF($F$26=2,"Mo ",""),IF($G$26=2,"Me ",""),IF($H$26=2,"V ",""),IF($I$26=2,"Ma ",""),IF($J$26=2,"J ",""),IF($K$26=2,"Sa ",""),IF($L$26=2,"R ",""),IF($M$26=2,"K ",""))</f>
        <v/>
      </c>
      <c r="I4" s="527"/>
      <c r="J4" s="522" t="str">
        <f>CONCATENATE(IF($D$26=3,"@ ",""),IF($E$26=3,"Su ",""),IF($F$26=3,"Mo ",""),IF($G$26=3,"Me ",""),IF($H$26=3,"V ",""),IF($I$26=3,"Ma ",""),IF($J$26=3,"J ",""),IF($K$26=3,"Sa ",""),IF($L$26=3,"R ",""),IF($M$26=3,"K ",""))</f>
        <v/>
      </c>
      <c r="K4" s="523"/>
      <c r="R4" s="526" t="str">
        <f>CONCATENATE(IF($D$26=2,"@ ",""),IF($E$26=2,"Su ",""),IF($F$26=2,"Mo ",""),IF($G$26=2,"Me ",""),IF($H$26=2,"V ",""),IF($I$26=2,"Ma ",""),IF($J$26=2,"J ",""),IF($K$26=2,"Sa ",""),IF($L$26=2,"R ",""),IF($M$26=2,"K ",""))</f>
        <v/>
      </c>
      <c r="S4" s="527"/>
      <c r="T4" s="514" t="str">
        <f>CONCATENATE(IF($D$26=1,"@ ",""),IF($E$26=1,"Su ",""),IF($F$26=1,"Mo ",""),IF($G$26=1,"Me ",""),IF($H$26=1,"V ",""),IF($I$26=1,"Ma ",""),IF($J$26=1,"J ",""),IF($K$26=1,"Sa ",""),IF($L$26=1,"R ",""),IF($M$26=1,"K ",""))</f>
        <v/>
      </c>
      <c r="U4" s="515"/>
      <c r="V4" s="518" t="str">
        <f>CONCATENATE(IF($D$26=12,"@ ",""),IF($E$26=12,"Su ",""),IF($F$26=12,"Mo ",""),IF($G$26=12,"Me ",""),IF($H$26=12,"V ",""),IF($I$26=12,"Ma ",""),IF($J$26=12,"J ",""),IF($K$26=12,"Sa ",""),IF($L$26=12,"R ",""),IF($M$26=12,"K ",""))</f>
        <v xml:space="preserve">R </v>
      </c>
      <c r="W4" s="519"/>
      <c r="AE4" s="526" t="str">
        <f>CONCATENATE(IF(AF6=1,$F$4,""),IF(AF6=2,$H$4,""),IF(AF6=3,$J$4,""),IF(AF6=4,$J$6,""),IF(AF6=5,$J$8,""),IF(AF6=6,$J$10,""),IF(AF6=7,$H$10,""),IF(AF6=8,$F$10,""),IF(AF6=9,$D$10,""),IF(AF6=10,$D$8,""),IF(AF6=11,$D$6,""),IF(AF6=12,$D$4,""))</f>
        <v xml:space="preserve">Mo Ma </v>
      </c>
      <c r="AF4" s="527"/>
      <c r="AG4" s="514" t="str">
        <f>CONCATENATE(IF(AG6=1,$F$4,""),IF(AG6=2,$H$4,""),IF(AG6=3,$J$4,""),IF(AG6=4,$J$6,""),IF(AG6=5,$J$8,""),IF(AG6=6,$J$10,""),IF(AG6=7,$H$10,""),IF(AG6=8,$F$10,""),IF(AG6=9,$D$10,""),IF(AG6=10,$D$8,""),IF(AG6=11,$D$6,""),IF(AG6=12,$D$4,""))</f>
        <v xml:space="preserve">@ </v>
      </c>
      <c r="AH4" s="515"/>
      <c r="AI4" s="518" t="str">
        <f>CONCATENATE(IF(AI6=1,$F$4,""),IF(AI6=2,$H$4,""),IF(AI6=3,$J$4,""),IF(AI6=4,$J$6,""),IF(AI6=5,$J$8,""),IF(AI6=6,$J$10,""),IF(AI6=7,$H$10,""),IF(AI6=8,$F$10,""),IF(AI6=9,$D$10,""),IF(AI6=10,$D$8,""),IF(AI6=11,$D$6,""),IF(AI6=12,$D$4,""))</f>
        <v xml:space="preserve">Su Me K </v>
      </c>
      <c r="AJ4" s="519"/>
    </row>
    <row r="5" spans="1:49" ht="13.8" thickBot="1">
      <c r="D5" s="520"/>
      <c r="E5" s="521"/>
      <c r="F5" s="516"/>
      <c r="G5" s="517"/>
      <c r="H5" s="528"/>
      <c r="I5" s="529"/>
      <c r="J5" s="524"/>
      <c r="K5" s="525"/>
      <c r="R5" s="528"/>
      <c r="S5" s="529"/>
      <c r="T5" s="516"/>
      <c r="U5" s="517"/>
      <c r="V5" s="520"/>
      <c r="W5" s="521"/>
      <c r="AE5" s="528"/>
      <c r="AF5" s="529"/>
      <c r="AG5" s="516"/>
      <c r="AH5" s="517"/>
      <c r="AI5" s="520"/>
      <c r="AJ5" s="521"/>
      <c r="AN5" s="182" t="str">
        <f>PAC!O23</f>
        <v>first lord</v>
      </c>
      <c r="AO5" s="183" t="str">
        <f t="shared" ref="AO5:AO16" si="0">CONCATENATE(IF(AP5=1,"Sun",IF(AP5=2,"Mon",IF(AP5=3,"Mer",""))),IF(AP5=4,"Ven",IF(AP5=5,"Mar",IF(AP5=6,"Jup",""))),IF(AP5=7,"Sat",IF(AP5=8,"Ra",IF(AP5=9,"Ke",""))))</f>
        <v>Ven</v>
      </c>
      <c r="AP5" s="181">
        <f>PAC!O34</f>
        <v>4</v>
      </c>
      <c r="AR5" s="184"/>
      <c r="AS5" s="185" t="s">
        <v>255</v>
      </c>
      <c r="AT5" s="185" t="s">
        <v>257</v>
      </c>
      <c r="AU5" s="185"/>
      <c r="AV5" s="185" t="s">
        <v>258</v>
      </c>
      <c r="AW5" s="186"/>
    </row>
    <row r="6" spans="1:49">
      <c r="D6" s="510" t="str">
        <f>CONCATENATE(IF($D$26=11,"@ ",""),IF($E$26=11,"Su ",""),IF($F$26=11,"Mo ",""),IF($G$26=11,"Me ",""),IF($H$26=11,"V ",""),IF($I$26=11,"Ma ",""),IF($J$26=11,"J ",""),IF($K$26=11,"Sa ",""),IF($L$26=11,"R ",""),IF($M$26=11,"K ",""))</f>
        <v xml:space="preserve">J </v>
      </c>
      <c r="E6" s="511"/>
      <c r="F6" s="69"/>
      <c r="G6" s="14" t="s">
        <v>202</v>
      </c>
      <c r="H6" s="14"/>
      <c r="I6" s="70"/>
      <c r="J6" s="514" t="str">
        <f>CONCATENATE(IF($D$26=4,"@ ",""),IF($E$26=4,"Su ",""),IF($F$26=4,"Mo ",""),IF($G$26=4,"Me ",""),IF($H$26=4,"V ",""),IF($I$26=4,"Ma ",""),IF($J$26=4,"J ",""),IF($K$26=4,"Sa ",""),IF($L$26=4,"R ",""),IF($M$26=4,"K ",""))</f>
        <v/>
      </c>
      <c r="K6" s="515"/>
      <c r="P6" s="522" t="str">
        <f>CONCATENATE(IF($D$26=3,"@ ",""),IF($E$26=3,"Su ",""),IF($F$26=3,"Mo ",""),IF($G$26=3,"Me ",""),IF($H$26=3,"V ",""),IF($I$26=3,"Ma ",""),IF($J$26=3,"J ",""),IF($K$26=3,"Sa ",""),IF($L$26=3,"R ",""),IF($M$26=3,"K ",""))</f>
        <v/>
      </c>
      <c r="Q6" s="523"/>
      <c r="U6" s="15" t="s">
        <v>203</v>
      </c>
      <c r="X6" s="510" t="str">
        <f>CONCATENATE(IF($D$26=11,"@ ",""),IF($E$26=11,"Su ",""),IF($F$26=11,"Mo ",""),IF($G$26=11,"Me ",""),IF($H$26=11,"V ",""),IF($I$26=11,"Ma ",""),IF($J$26=11,"J ",""),IF($K$26=11,"Sa ",""),IF($L$26=11,"R ",""),IF($M$26=11,"K ",""))</f>
        <v xml:space="preserve">J </v>
      </c>
      <c r="Y6" s="511"/>
      <c r="AC6" s="538" t="str">
        <f>CONCATENATE(IF(AE7=1,$F$4,""),IF(AE7=2,$H$4,""),IF(AE7=3,$J$4,""),IF(AE7=4,$J$6,""),IF(AE7=5,$J$8,""),IF(AE7=6,$J$10,""),IF(AE7=7,$H$10,""),IF(AE7=8,$F$10,""),IF(AE7=9,$D$10,""),IF(AE7=10,$D$8,""),IF(AE7=11,$D$6,""),IF(AE7=12,$D$4,""))</f>
        <v/>
      </c>
      <c r="AD6" s="539"/>
      <c r="AF6" s="15">
        <f>IF(AG6+1=13,AG6+1-12,AG6+1)</f>
        <v>8</v>
      </c>
      <c r="AG6" s="15">
        <f>$D$26</f>
        <v>7</v>
      </c>
      <c r="AI6" s="15">
        <f>IF(AJ7+1&gt;=13,AJ7+1-12,AJ7+1)</f>
        <v>6</v>
      </c>
      <c r="AK6" s="510" t="str">
        <f>CONCATENATE(IF(AJ7=1,$F$4,""),IF(AJ7=2,$H$4,""),IF(AJ7=3,$J$4,""),IF(AJ7=4,$J$6,""),IF(AJ7=5,$J$8,""),IF(AJ7=6,$J$10,""),IF(AJ7=7,$H$10,""),IF(AJ7=8,$F$10,""),IF(AJ7=9,$D$10,""),IF(AJ7=10,$D$8,""),IF(AJ7=11,$D$6,""),IF(AJ7=12,$D$4,""))</f>
        <v xml:space="preserve">V Sa </v>
      </c>
      <c r="AL6" s="511"/>
      <c r="AN6" s="182" t="str">
        <f>PAC!P23</f>
        <v>second lord</v>
      </c>
      <c r="AO6" s="183" t="str">
        <f t="shared" si="0"/>
        <v>Mar</v>
      </c>
      <c r="AP6" s="181">
        <f>PAC!P34</f>
        <v>5</v>
      </c>
      <c r="AR6" s="184" t="s">
        <v>2</v>
      </c>
      <c r="AS6" s="187">
        <f>Ephemeris!M31</f>
        <v>7</v>
      </c>
      <c r="AT6" s="187">
        <f>Ephemeris!N31</f>
        <v>12</v>
      </c>
      <c r="AU6" s="188" t="s">
        <v>256</v>
      </c>
      <c r="AV6" s="187">
        <f>Ephemeris!O31</f>
        <v>16</v>
      </c>
      <c r="AW6" s="189"/>
    </row>
    <row r="7" spans="1:49" ht="13.8" thickBot="1">
      <c r="D7" s="512"/>
      <c r="E7" s="513"/>
      <c r="F7" s="506" t="s">
        <v>204</v>
      </c>
      <c r="G7" s="507"/>
      <c r="H7" s="507"/>
      <c r="I7" s="70"/>
      <c r="J7" s="516"/>
      <c r="K7" s="517"/>
      <c r="P7" s="524"/>
      <c r="Q7" s="525"/>
      <c r="X7" s="512"/>
      <c r="Y7" s="513"/>
      <c r="AC7" s="540"/>
      <c r="AD7" s="541"/>
      <c r="AE7" s="15">
        <f>IF(AF6+1=13,AF6+1-12,AF6+1)</f>
        <v>9</v>
      </c>
      <c r="AJ7" s="15">
        <f>IF(AJ8+1&gt;=13,AJ8+1-12,AJ8+1)</f>
        <v>5</v>
      </c>
      <c r="AK7" s="512"/>
      <c r="AL7" s="513"/>
      <c r="AN7" s="182" t="str">
        <f>PAC!Q23</f>
        <v>third lord</v>
      </c>
      <c r="AO7" s="183" t="str">
        <f t="shared" si="0"/>
        <v>Jup</v>
      </c>
      <c r="AP7" s="181">
        <f>PAC!Q34</f>
        <v>6</v>
      </c>
      <c r="AR7" s="184" t="s">
        <v>3</v>
      </c>
      <c r="AS7" s="187">
        <f>Ephemeris!M10</f>
        <v>6</v>
      </c>
      <c r="AT7" s="187">
        <f>Ephemeris!N10</f>
        <v>0</v>
      </c>
      <c r="AU7" s="188" t="s">
        <v>256</v>
      </c>
      <c r="AV7" s="187">
        <f>Ephemeris!O10</f>
        <v>33</v>
      </c>
      <c r="AW7" s="189"/>
    </row>
    <row r="8" spans="1:49">
      <c r="D8" s="514" t="str">
        <f>CONCATENATE(IF($D$26=10,"@ ",""),IF($E$26=10,"Su ",""),IF($F$26=10,"Mo ",""),IF($G$26=10,"Me ",""),IF($H$26=10,"V ",""),IF($I$26=10,"Ma ",""),IF($J$26=10,"J ",""),IF($K$26=10,"Sa ",""),IF($L$26=10,"R ",""),IF($M$26=10,"K ",""))</f>
        <v/>
      </c>
      <c r="E8" s="515"/>
      <c r="F8" s="530" t="str">
        <f>CONCATENATE(IF($G$45="Y","Me ",""),IF($H$45="Y","V ",""),IF($I$45="Y","Ma ",""),IF($J$45="Y","J ",""),IF($K$45="Y","Sa ",""))</f>
        <v xml:space="preserve">Me J </v>
      </c>
      <c r="G8" s="531"/>
      <c r="H8" s="531"/>
      <c r="I8" s="70"/>
      <c r="J8" s="510" t="str">
        <f>CONCATENATE(IF($D$26=5,"@ ",""),IF($E$26=5,"Su ",""),IF($F$26=5,"Mo ",""),IF($G$26=5,"Me ",""),IF($H$26=5,"V ",""),IF($I$26=5,"Ma ",""),IF($J$26=5,"J ",""),IF($K$26=5,"Sa ",""),IF($L$26=5,"R ",""),IF($M$26=5,"K ",""))</f>
        <v xml:space="preserve">V Sa </v>
      </c>
      <c r="K8" s="511"/>
      <c r="P8" s="514" t="str">
        <f>CONCATENATE(IF($D$26=4,"@ ",""),IF($E$26=4,"Su ",""),IF($F$26=4,"Mo ",""),IF($G$26=4,"Me ",""),IF($H$26=4,"V ",""),IF($I$26=4,"Ma ",""),IF($J$26=4,"J ",""),IF($K$26=4,"Sa ",""),IF($L$26=4,"R ",""),IF($M$26=4,"K ",""))</f>
        <v/>
      </c>
      <c r="Q8" s="515"/>
      <c r="S8" s="536" t="s">
        <v>204</v>
      </c>
      <c r="T8" s="537"/>
      <c r="U8" s="537"/>
      <c r="X8" s="514" t="str">
        <f>CONCATENATE(IF($D$26=10,"@ ",""),IF($E$26=10,"Su ",""),IF($F$26=10,"Mo ",""),IF($G$26=10,"Me ",""),IF($H$26=10,"V ",""),IF($I$26=10,"Ma ",""),IF($J$26=10,"J ",""),IF($K$26=10,"Sa ",""),IF($L$26=10,"R ",""),IF($M$26=10,"K ",""))</f>
        <v/>
      </c>
      <c r="Y8" s="515"/>
      <c r="AC8" s="514" t="str">
        <f>CONCATENATE(IF(AE9=1,$F$4,""),IF(AE9=2,$H$4,""),IF(AE9=3,$J$4,""),IF(AE9=4,$J$6,""),IF(AE9=5,$J$8,""),IF(AE9=6,$J$10,""),IF(AE9=7,$H$10,""),IF(AE9=8,$F$10,""),IF(AE9=9,$D$10,""),IF(AE9=10,$D$8,""),IF(AE9=11,$D$6,""),IF(AE9=12,$D$4,""))</f>
        <v/>
      </c>
      <c r="AD8" s="515"/>
      <c r="AF8" s="536" t="s">
        <v>204</v>
      </c>
      <c r="AG8" s="537"/>
      <c r="AH8" s="537"/>
      <c r="AJ8" s="15">
        <f>IF(AJ10+1&gt;=13,AJ10+1-12,AJ10+1)</f>
        <v>4</v>
      </c>
      <c r="AK8" s="514" t="str">
        <f>CONCATENATE(IF(AJ8=1,$F$4,""),IF(AJ8=2,$H$4,""),IF(AJ8=3,$J$4,""),IF(AJ8=4,$J$6,""),IF(AJ8=5,$J$8,""),IF(AJ8=6,$J$10,""),IF(AJ8=7,$H$10,""),IF(AJ8=8,$F$10,""),IF(AJ8=9,$D$10,""),IF(AJ8=10,$D$8,""),IF(AJ8=11,$D$6,""),IF(AJ8=12,$D$4,""))</f>
        <v/>
      </c>
      <c r="AL8" s="515"/>
      <c r="AN8" s="182" t="str">
        <f>PAC!R23</f>
        <v>fourth lord</v>
      </c>
      <c r="AO8" s="183" t="str">
        <f t="shared" si="0"/>
        <v>Sat</v>
      </c>
      <c r="AP8" s="181">
        <f>PAC!R34</f>
        <v>7</v>
      </c>
      <c r="AR8" s="184" t="s">
        <v>254</v>
      </c>
      <c r="AS8" s="187">
        <f>Ephemeris!M11</f>
        <v>8</v>
      </c>
      <c r="AT8" s="187">
        <f>Ephemeris!N11</f>
        <v>7</v>
      </c>
      <c r="AU8" s="188" t="s">
        <v>256</v>
      </c>
      <c r="AV8" s="187">
        <f>Ephemeris!O11</f>
        <v>58</v>
      </c>
      <c r="AW8" s="189"/>
    </row>
    <row r="9" spans="1:49" ht="13.8" thickBot="1">
      <c r="D9" s="516"/>
      <c r="E9" s="517"/>
      <c r="F9" s="71"/>
      <c r="G9" s="71"/>
      <c r="H9" s="53"/>
      <c r="I9" s="72"/>
      <c r="J9" s="512"/>
      <c r="K9" s="513"/>
      <c r="P9" s="516"/>
      <c r="Q9" s="517"/>
      <c r="S9" s="504" t="str">
        <f>CONCATENATE(IF($G$45="Y","Me ",""),IF($H$45="Y","V ",""),IF($I$45="Y","Ma ",""),IF($J$45="Y","J ",""),IF($K$45="Y","Sa ",""))</f>
        <v xml:space="preserve">Me J </v>
      </c>
      <c r="T9" s="505"/>
      <c r="U9" s="505"/>
      <c r="X9" s="516"/>
      <c r="Y9" s="517"/>
      <c r="AC9" s="516"/>
      <c r="AD9" s="517"/>
      <c r="AE9" s="15">
        <f>IF(AE7+1&gt;=13,AE7+1-12,AE7+1)</f>
        <v>10</v>
      </c>
      <c r="AF9" s="504" t="str">
        <f>CONCATENATE(IF($G$45="Y","Me ",""),IF($H$45="Y","V ",""),IF($I$45="Y","Ma ",""),IF($J$45="Y","J ",""),IF($K$45="Y","Sa ",""))</f>
        <v xml:space="preserve">Me J </v>
      </c>
      <c r="AG9" s="505"/>
      <c r="AH9" s="505"/>
      <c r="AK9" s="516"/>
      <c r="AL9" s="517"/>
      <c r="AN9" s="182" t="str">
        <f>PAC!S23</f>
        <v>fifth lord</v>
      </c>
      <c r="AO9" s="183" t="str">
        <f t="shared" si="0"/>
        <v>Sat</v>
      </c>
      <c r="AP9" s="181">
        <f>PAC!S34</f>
        <v>7</v>
      </c>
      <c r="AR9" s="184" t="s">
        <v>5</v>
      </c>
      <c r="AS9" s="187">
        <f>Ephemeris!M12</f>
        <v>6</v>
      </c>
      <c r="AT9" s="187">
        <f>Ephemeris!N12</f>
        <v>0</v>
      </c>
      <c r="AU9" s="188" t="s">
        <v>256</v>
      </c>
      <c r="AV9" s="187">
        <f>Ephemeris!O12</f>
        <v>52</v>
      </c>
      <c r="AW9" s="187" t="str">
        <f>IF(Ephemeris!L12="Retro","R"," ")</f>
        <v>R</v>
      </c>
    </row>
    <row r="10" spans="1:49">
      <c r="D10" s="522" t="str">
        <f>CONCATENATE(IF($D$26=9,"@ ",""),IF($E$26=9,"Su ",""),IF($F$26=9,"Mo ",""),IF($G$26=9,"Me ",""),IF($H$26=9,"V ",""),IF($I$26=9,"Ma ",""),IF($J$26=9,"J ",""),IF($K$26=9,"Sa ",""),IF($L$26=9,"R ",""),IF($M$26=9,"K ",""))</f>
        <v/>
      </c>
      <c r="E10" s="523"/>
      <c r="F10" s="526" t="str">
        <f>CONCATENATE(IF($D$26=8,"@ ",""),IF($E$26=8,"Su ",""),IF($F$26=8,"Mo ",""),IF($G$26=8,"Me ",""),IF($H$26=8,"V ",""),IF($I$26=8,"Ma ",""),IF($J$26=8,"J ",""),IF($K$26=8,"Sa ",""),IF($L$26=8,"R ",""),IF($M$26=8,"K ",""))</f>
        <v xml:space="preserve">Mo Ma </v>
      </c>
      <c r="G10" s="527"/>
      <c r="H10" s="514" t="str">
        <f>CONCATENATE(IF($D$26=7,"@ ",""),IF($E$26=7,"Su ",""),IF($F$26=7,"Mo ",""),IF($G$26=7,"Me ",""),IF($H$26=7,"V ",""),IF($I$26=7,"Ma ",""),IF($J$26=7,"J ",""),IF($K$26=7,"Sa ",""),IF($L$26=7,"R ",""),IF($M$26=7,"K ",""))</f>
        <v xml:space="preserve">@ </v>
      </c>
      <c r="I10" s="515"/>
      <c r="J10" s="518" t="str">
        <f>CONCATENATE(IF($D$26=6,"@ ",""),IF($E$26=6,"Su ",""),IF($F$26=6,"Mo ",""),IF($G$26=6,"Me ",""),IF($H$26=6,"V ",""),IF($I$26=6,"Ma ",""),IF($J$26=6,"J ",""),IF($K$26=6,"Sa ",""),IF($L$26=6,"R ",""),IF($M$26=6,"K ",""))</f>
        <v xml:space="preserve">Su Me K </v>
      </c>
      <c r="K10" s="519"/>
      <c r="P10" s="510" t="str">
        <f>CONCATENATE(IF($D$26=5,"@ ",""),IF($E$26=5,"Su ",""),IF($F$26=5,"Mo ",""),IF($G$26=5,"Me ",""),IF($H$26=5,"V ",""),IF($I$26=5,"Ma ",""),IF($J$26=5,"J ",""),IF($K$26=5,"Sa ",""),IF($L$26=5,"R ",""),IF($M$26=5,"K ",""))</f>
        <v xml:space="preserve">V Sa </v>
      </c>
      <c r="Q10" s="511"/>
      <c r="X10" s="522" t="str">
        <f>CONCATENATE(IF($D$26=9,"@ ",""),IF($E$26=9,"Su ",""),IF($F$26=9,"Mo ",""),IF($G$26=9,"Me ",""),IF($H$26=9,"V ",""),IF($I$26=9,"Ma ",""),IF($J$26=9,"J ",""),IF($K$26=9,"Sa ",""),IF($L$26=9,"R ",""),IF($M$26=9,"K ",""))</f>
        <v/>
      </c>
      <c r="Y10" s="523"/>
      <c r="AC10" s="510" t="str">
        <f>CONCATENATE(IF(AE10=1,$F$4,""),IF(AE10=2,$H$4,""),IF(AE10=3,$J$4,""),IF(AE10=4,$J$6,""),IF(AE10=5,$J$8,""),IF(AE10=6,$J$10,""),IF(AE10=7,$H$10,""),IF(AE10=8,$F$10,""),IF(AE10=9,$D$10,""),IF(AE10=10,$D$8,""),IF(AE10=11,$D$6,""),IF(AE10=12,$D$4,""))</f>
        <v xml:space="preserve">J </v>
      </c>
      <c r="AD10" s="511"/>
      <c r="AE10" s="15">
        <f>IF(AE9+1&gt;=13,AE9+1-12,AE9+1)</f>
        <v>11</v>
      </c>
      <c r="AJ10" s="15">
        <f>IF(AI11+1&gt;=13,AI11+1-12,AI11+1)</f>
        <v>3</v>
      </c>
      <c r="AK10" s="538" t="str">
        <f>CONCATENATE(IF(AJ10=1,$F$4,""),IF(AJ10=2,$H$4,""),IF(AJ10=3,$J$4,""),IF(AJ10=4,$J$6,""),IF(AJ10=5,$J$8,""),IF(AJ10=6,$J$10,""),IF(AJ10=7,$H$10,""),IF(AJ10=8,$F$10,""),IF(AJ10=9,$D$10,""),IF(AJ10=10,$D$8,""),IF(AJ10=11,$D$6,""),IF(AJ10=12,$D$4,""))</f>
        <v/>
      </c>
      <c r="AL10" s="539"/>
      <c r="AN10" s="182" t="str">
        <f>PAC!T23</f>
        <v>sixth lord</v>
      </c>
      <c r="AO10" s="183" t="str">
        <f t="shared" si="0"/>
        <v>Jup</v>
      </c>
      <c r="AP10" s="181">
        <f>PAC!T34</f>
        <v>6</v>
      </c>
      <c r="AR10" s="184" t="s">
        <v>6</v>
      </c>
      <c r="AS10" s="187">
        <f>Ephemeris!M13</f>
        <v>5</v>
      </c>
      <c r="AT10" s="187">
        <f>Ephemeris!N13</f>
        <v>15</v>
      </c>
      <c r="AU10" s="188" t="s">
        <v>256</v>
      </c>
      <c r="AV10" s="187">
        <f>Ephemeris!O13</f>
        <v>38</v>
      </c>
      <c r="AW10" s="187" t="str">
        <f>IF(Ephemeris!L13="Retro","R"," ")</f>
        <v xml:space="preserve"> </v>
      </c>
    </row>
    <row r="11" spans="1:49" ht="13.8" thickBot="1">
      <c r="D11" s="524"/>
      <c r="E11" s="525"/>
      <c r="F11" s="528"/>
      <c r="G11" s="529"/>
      <c r="H11" s="516"/>
      <c r="I11" s="517"/>
      <c r="J11" s="520"/>
      <c r="K11" s="521"/>
      <c r="P11" s="512"/>
      <c r="Q11" s="513"/>
      <c r="X11" s="524"/>
      <c r="Y11" s="525"/>
      <c r="AC11" s="512"/>
      <c r="AD11" s="513"/>
      <c r="AF11" s="15">
        <f>IF(AE10+1&gt;=13,AE10+1-12,AE10+1)</f>
        <v>12</v>
      </c>
      <c r="AH11" s="15">
        <f>IF(AF11+1&gt;=13,AF11+1-12,AF11+1)</f>
        <v>1</v>
      </c>
      <c r="AI11" s="15">
        <f>IF(AH11+1&gt;=13,AH11+1-12,AH11+1)</f>
        <v>2</v>
      </c>
      <c r="AK11" s="540"/>
      <c r="AL11" s="541"/>
      <c r="AN11" s="182" t="str">
        <f>PAC!U23</f>
        <v>seventh lord</v>
      </c>
      <c r="AO11" s="183" t="str">
        <f t="shared" si="0"/>
        <v>Mar</v>
      </c>
      <c r="AP11" s="181">
        <f>PAC!U34</f>
        <v>5</v>
      </c>
      <c r="AR11" s="184" t="s">
        <v>7</v>
      </c>
      <c r="AS11" s="187">
        <f>Ephemeris!M14</f>
        <v>8</v>
      </c>
      <c r="AT11" s="187">
        <f>Ephemeris!N14</f>
        <v>0</v>
      </c>
      <c r="AU11" s="188" t="s">
        <v>256</v>
      </c>
      <c r="AV11" s="187">
        <f>Ephemeris!O14</f>
        <v>55</v>
      </c>
      <c r="AW11" s="187" t="str">
        <f>IF(Ephemeris!L14="Retro","R"," ")</f>
        <v xml:space="preserve"> </v>
      </c>
    </row>
    <row r="12" spans="1:49">
      <c r="R12" s="518" t="str">
        <f>CONCATENATE(IF($D$26=6,"@ ",""),IF($E$26=6,"Su ",""),IF($F$26=6,"Mo ",""),IF($G$26=6,"Me ",""),IF($H$26=6,"V ",""),IF($I$26=6,"Ma ",""),IF($J$26=6,"J ",""),IF($K$26=6,"Sa ",""),IF($L$26=6,"R ",""),IF($M$26=6,"K ",""))</f>
        <v xml:space="preserve">Su Me K </v>
      </c>
      <c r="S12" s="519"/>
      <c r="T12" s="514" t="str">
        <f>CONCATENATE(IF($D$26=7,"@ ",""),IF($E$26=7,"Su ",""),IF($F$26=7,"Mo ",""),IF($G$26=7,"Me ",""),IF($H$26=7,"V ",""),IF($I$26=7,"Ma ",""),IF($J$26=7,"J ",""),IF($K$26=7,"Sa ",""),IF($L$26=7,"R ",""),IF($M$26=7,"K ",""))</f>
        <v xml:space="preserve">@ </v>
      </c>
      <c r="U12" s="515"/>
      <c r="V12" s="526" t="str">
        <f>CONCATENATE(IF($D$26=8,"@ ",""),IF($E$26=8,"Su ",""),IF($F$26=8,"Mo ",""),IF($G$26=8,"Me ",""),IF($H$26=8,"V ",""),IF($I$26=8,"Ma ",""),IF($J$26=8,"J ",""),IF($K$26=8,"Sa ",""),IF($L$26=8,"R ",""),IF($M$26=8,"K ",""))</f>
        <v xml:space="preserve">Mo Ma </v>
      </c>
      <c r="W12" s="527"/>
      <c r="AE12" s="518" t="str">
        <f>CONCATENATE(IF(AF11=1,$F$4,""),IF(AF11=2,$H$4,""),IF(AF11=3,$J$4,""),IF(AF11=4,$J$6,""),IF(AF11=5,$J$8,""),IF(AF11=6,$J$10,""),IF(AF11=7,$H$10,""),IF(AF11=8,$F$10,""),IF(AF11=9,$D$10,""),IF(AF11=10,$D$8,""),IF(AF11=11,$D$6,""),IF(AF11=12,$D$4,""))</f>
        <v xml:space="preserve">R </v>
      </c>
      <c r="AF12" s="519"/>
      <c r="AG12" s="514" t="str">
        <f>CONCATENATE(IF(AH11=1,$F$4,""),IF(AH11=2,$H$4,""),IF(AH11=3,$J$4,""),IF(AH11=4,$J$6,""),IF(AH11=5,$J$8,""),IF(AH11=6,$J$10,""),IF(AH11=7,$H$10,""),IF(AH11=8,$F$10,""),IF(AH11=9,$D$10,""),IF(AH11=10,$D$8,""),IF(AH11=11,$D$6,""),IF(AH11=12,$D$4,""))</f>
        <v/>
      </c>
      <c r="AH12" s="515"/>
      <c r="AI12" s="526" t="str">
        <f>CONCATENATE(IF(AI11=1,$F$4,""),IF(AI11=2,$H$4,""),IF(AI11=3,$J$4,""),IF(AI11=4,$J$6,""),IF(AI11=5,$J$8,""),IF(AI11=6,$J$10,""),IF(AI11=7,$H$10,""),IF(AI11=8,$F$10,""),IF(AI11=9,$D$10,""),IF(AI11=10,$D$8,""),IF(AI11=11,$D$6,""),IF(AI11=12,$D$4,""))</f>
        <v/>
      </c>
      <c r="AJ12" s="527"/>
      <c r="AN12" s="182" t="str">
        <f>PAC!V23</f>
        <v>eighth lord</v>
      </c>
      <c r="AO12" s="183" t="str">
        <f t="shared" si="0"/>
        <v>Ven</v>
      </c>
      <c r="AP12" s="181">
        <f>PAC!V34</f>
        <v>4</v>
      </c>
      <c r="AR12" s="184" t="s">
        <v>8</v>
      </c>
      <c r="AS12" s="187">
        <f>Ephemeris!M15</f>
        <v>11</v>
      </c>
      <c r="AT12" s="187">
        <f>Ephemeris!N15</f>
        <v>6</v>
      </c>
      <c r="AU12" s="188" t="s">
        <v>256</v>
      </c>
      <c r="AV12" s="187">
        <f>Ephemeris!O15</f>
        <v>37</v>
      </c>
      <c r="AW12" s="187" t="str">
        <f>IF(Ephemeris!L15="Retro","R"," ")</f>
        <v>R</v>
      </c>
    </row>
    <row r="13" spans="1:49" ht="13.8" thickBot="1">
      <c r="R13" s="520"/>
      <c r="S13" s="521"/>
      <c r="T13" s="516"/>
      <c r="U13" s="517"/>
      <c r="V13" s="528"/>
      <c r="W13" s="529"/>
      <c r="AE13" s="520"/>
      <c r="AF13" s="521"/>
      <c r="AG13" s="516"/>
      <c r="AH13" s="517"/>
      <c r="AI13" s="528"/>
      <c r="AJ13" s="529"/>
      <c r="AN13" s="182" t="str">
        <f>PAC!W23</f>
        <v>ninth lord</v>
      </c>
      <c r="AO13" s="183" t="str">
        <f t="shared" si="0"/>
        <v>Mer</v>
      </c>
      <c r="AP13" s="181">
        <f>PAC!W34</f>
        <v>3</v>
      </c>
      <c r="AR13" s="184" t="s">
        <v>9</v>
      </c>
      <c r="AS13" s="187">
        <f>Ephemeris!M16</f>
        <v>5</v>
      </c>
      <c r="AT13" s="187">
        <f>Ephemeris!N16</f>
        <v>29</v>
      </c>
      <c r="AU13" s="188" t="s">
        <v>256</v>
      </c>
      <c r="AV13" s="187">
        <f>Ephemeris!O16</f>
        <v>40</v>
      </c>
      <c r="AW13" s="187" t="str">
        <f>IF(Ephemeris!L16="Retro","R"," ")</f>
        <v xml:space="preserve"> </v>
      </c>
    </row>
    <row r="14" spans="1:49">
      <c r="AN14" s="182" t="str">
        <f>PAC!X23</f>
        <v>tenth lord</v>
      </c>
      <c r="AO14" s="183" t="str">
        <f t="shared" si="0"/>
        <v>Mon</v>
      </c>
      <c r="AP14" s="181">
        <f>PAC!X34</f>
        <v>2</v>
      </c>
      <c r="AR14" s="184" t="s">
        <v>10</v>
      </c>
      <c r="AS14" s="187">
        <f>Ephemeris!M18</f>
        <v>12</v>
      </c>
      <c r="AT14" s="187">
        <f>Ephemeris!N18</f>
        <v>5</v>
      </c>
      <c r="AU14" s="187" t="s">
        <v>256</v>
      </c>
      <c r="AV14" s="187">
        <f>Ephemeris!O18</f>
        <v>14</v>
      </c>
      <c r="AW14" s="189"/>
    </row>
    <row r="15" spans="1:49">
      <c r="F15" s="509" t="s">
        <v>205</v>
      </c>
      <c r="G15" s="509"/>
      <c r="H15" s="509"/>
      <c r="I15" s="509"/>
      <c r="S15" s="509" t="s">
        <v>206</v>
      </c>
      <c r="T15" s="509"/>
      <c r="U15" s="509"/>
      <c r="V15" s="509"/>
      <c r="AE15" s="509" t="s">
        <v>207</v>
      </c>
      <c r="AF15" s="507"/>
      <c r="AG15" s="507"/>
      <c r="AH15" s="507"/>
      <c r="AI15" s="507"/>
      <c r="AJ15" s="507"/>
      <c r="AN15" s="182" t="str">
        <f>PAC!Y23</f>
        <v>eleventh lord</v>
      </c>
      <c r="AO15" s="183" t="str">
        <f t="shared" si="0"/>
        <v>Sun</v>
      </c>
      <c r="AP15" s="181">
        <f>PAC!Y34</f>
        <v>1</v>
      </c>
    </row>
    <row r="16" spans="1:49">
      <c r="AN16" s="182" t="str">
        <f>PAC!Z23</f>
        <v>twelveth lord</v>
      </c>
      <c r="AO16" s="183" t="str">
        <f t="shared" si="0"/>
        <v>Mer</v>
      </c>
      <c r="AP16" s="181">
        <f>PAC!Z34</f>
        <v>3</v>
      </c>
    </row>
    <row r="17" spans="1:41">
      <c r="A17" s="7"/>
      <c r="B17" s="13"/>
      <c r="D17" s="250" t="s">
        <v>337</v>
      </c>
      <c r="E17" s="10"/>
      <c r="F17" s="10"/>
      <c r="G17" s="10"/>
      <c r="H17" s="10"/>
      <c r="I17" s="10"/>
      <c r="J17" s="10"/>
      <c r="K17" s="10"/>
      <c r="L17" s="10"/>
      <c r="M17" s="10"/>
      <c r="N17" s="10"/>
      <c r="AA17" s="10"/>
      <c r="AB17" s="10"/>
      <c r="AC17" s="10"/>
      <c r="AD17" s="10"/>
      <c r="AE17" s="10"/>
      <c r="AF17" s="10"/>
      <c r="AG17" s="10"/>
      <c r="AH17" s="10"/>
      <c r="AI17" s="10"/>
      <c r="AJ17" s="11"/>
      <c r="AK17" s="11"/>
      <c r="AL17" s="11"/>
      <c r="AM17" s="12"/>
      <c r="AN17" s="1"/>
    </row>
    <row r="18" spans="1:41">
      <c r="A18" s="7"/>
      <c r="B18" s="13"/>
      <c r="C18" s="5"/>
      <c r="D18" s="14"/>
      <c r="E18" s="4"/>
      <c r="F18" s="4"/>
      <c r="G18" s="4"/>
      <c r="H18" s="4"/>
      <c r="I18" s="4"/>
      <c r="J18" s="4"/>
      <c r="K18" s="4"/>
      <c r="L18" s="4"/>
      <c r="M18" s="4"/>
      <c r="AB18" s="4"/>
      <c r="AC18" s="4"/>
      <c r="AD18" s="4"/>
      <c r="AE18" s="4"/>
      <c r="AF18" s="4"/>
      <c r="AG18" s="4"/>
      <c r="AH18" s="4"/>
      <c r="AI18" s="4"/>
      <c r="AJ18" s="4"/>
      <c r="AK18" s="4"/>
      <c r="AL18" s="4"/>
      <c r="AN18" s="1"/>
    </row>
    <row r="19" spans="1:41" ht="17.399999999999999">
      <c r="A19" s="245" t="s">
        <v>336</v>
      </c>
      <c r="B19" s="246"/>
      <c r="C19" s="246"/>
      <c r="D19" s="246"/>
      <c r="E19" s="246"/>
      <c r="F19" s="246"/>
      <c r="G19" s="246"/>
      <c r="H19" s="246"/>
      <c r="I19" s="245" t="str">
        <f>D2</f>
        <v>natal</v>
      </c>
      <c r="J19" s="246"/>
      <c r="K19" s="246"/>
      <c r="L19" s="246"/>
      <c r="M19" s="249" t="s">
        <v>313</v>
      </c>
      <c r="N19" s="247"/>
      <c r="O19" s="247"/>
      <c r="P19" s="247"/>
      <c r="Q19" s="247"/>
      <c r="R19" s="247"/>
      <c r="S19" s="247"/>
      <c r="T19" s="247"/>
      <c r="U19" s="247"/>
      <c r="V19" s="247"/>
      <c r="W19" s="247"/>
      <c r="X19" s="247"/>
      <c r="Y19" s="247"/>
      <c r="Z19" s="247"/>
      <c r="AA19" s="247"/>
      <c r="AB19" s="247"/>
      <c r="AC19" s="247"/>
      <c r="AD19" s="247"/>
      <c r="AE19" s="247"/>
      <c r="AF19" s="247"/>
      <c r="AG19" s="247"/>
      <c r="AH19" s="247"/>
      <c r="AI19" s="247"/>
      <c r="AJ19" s="247"/>
      <c r="AK19" s="247"/>
      <c r="AL19" s="247"/>
      <c r="AM19" s="247"/>
      <c r="AN19" s="248"/>
      <c r="AO19" s="248"/>
    </row>
    <row r="20" spans="1:41">
      <c r="A20" s="7"/>
      <c r="B20" s="13"/>
      <c r="C20" s="5"/>
      <c r="D20" s="14"/>
      <c r="E20" s="4"/>
      <c r="F20" s="4"/>
      <c r="G20" s="4"/>
      <c r="H20" s="4"/>
      <c r="I20" s="4"/>
      <c r="J20" s="4"/>
      <c r="K20" s="4"/>
      <c r="L20" s="4"/>
      <c r="M20" s="4"/>
      <c r="AB20" s="4"/>
      <c r="AC20" s="4"/>
      <c r="AD20" s="4"/>
      <c r="AE20" s="4"/>
      <c r="AF20" s="4"/>
      <c r="AG20" s="4"/>
      <c r="AH20" s="4"/>
      <c r="AI20" s="4"/>
      <c r="AJ20" s="4"/>
      <c r="AK20" s="4"/>
      <c r="AL20" s="4"/>
      <c r="AN20" s="1"/>
    </row>
    <row r="21" spans="1:41">
      <c r="A21" s="7"/>
      <c r="B21" s="13"/>
      <c r="C21" s="5"/>
      <c r="D21" s="4"/>
      <c r="E21" s="4"/>
      <c r="F21" s="4"/>
      <c r="G21" s="4"/>
      <c r="H21" s="4"/>
      <c r="I21" s="4"/>
      <c r="J21" s="4"/>
      <c r="K21" s="4"/>
      <c r="L21" s="4"/>
      <c r="M21" s="4"/>
      <c r="AB21" s="4"/>
      <c r="AC21" s="4"/>
      <c r="AD21" s="4"/>
      <c r="AE21" s="4"/>
      <c r="AF21" s="4"/>
      <c r="AG21" s="4"/>
      <c r="AH21" s="4"/>
      <c r="AI21" s="4"/>
      <c r="AJ21" s="4"/>
      <c r="AK21" s="4"/>
      <c r="AL21" s="4"/>
      <c r="AM21" s="16"/>
      <c r="AN21" s="1"/>
    </row>
    <row r="22" spans="1:41" ht="15.6">
      <c r="A22" s="7"/>
      <c r="B22" s="3"/>
      <c r="C22" s="4"/>
      <c r="D22" s="17"/>
      <c r="E22" s="508" t="s">
        <v>12</v>
      </c>
      <c r="F22" s="508"/>
      <c r="G22" s="508"/>
      <c r="H22" s="508"/>
      <c r="I22" s="508"/>
      <c r="J22" s="508"/>
      <c r="K22" s="508"/>
      <c r="L22" s="508"/>
      <c r="M22" s="508"/>
      <c r="O22" s="508" t="s">
        <v>13</v>
      </c>
      <c r="P22" s="508"/>
      <c r="Q22" s="508"/>
      <c r="R22" s="508"/>
      <c r="S22" s="508"/>
      <c r="T22" s="508"/>
      <c r="U22" s="508"/>
      <c r="V22" s="508"/>
      <c r="W22" s="508"/>
      <c r="X22" s="508"/>
      <c r="Y22" s="508"/>
      <c r="Z22" s="508"/>
      <c r="AB22" s="508" t="s">
        <v>14</v>
      </c>
      <c r="AC22" s="508"/>
      <c r="AD22" s="508"/>
      <c r="AE22" s="508"/>
      <c r="AF22" s="508"/>
      <c r="AG22" s="508"/>
      <c r="AH22" s="508"/>
      <c r="AI22" s="508"/>
      <c r="AJ22" s="508"/>
      <c r="AK22" s="508"/>
      <c r="AL22" s="508"/>
      <c r="AM22" s="508"/>
      <c r="AN22" s="1"/>
    </row>
    <row r="23" spans="1:41" ht="69">
      <c r="A23" s="18" t="s">
        <v>15</v>
      </c>
      <c r="B23" s="3"/>
      <c r="C23" s="4"/>
      <c r="D23" s="19" t="s">
        <v>16</v>
      </c>
      <c r="E23" s="19" t="s">
        <v>17</v>
      </c>
      <c r="F23" s="19" t="s">
        <v>18</v>
      </c>
      <c r="G23" s="19" t="s">
        <v>19</v>
      </c>
      <c r="H23" s="19" t="s">
        <v>20</v>
      </c>
      <c r="I23" s="19" t="s">
        <v>21</v>
      </c>
      <c r="J23" s="19" t="s">
        <v>22</v>
      </c>
      <c r="K23" s="19" t="s">
        <v>23</v>
      </c>
      <c r="L23" s="19" t="s">
        <v>24</v>
      </c>
      <c r="M23" s="19" t="s">
        <v>25</v>
      </c>
      <c r="O23" s="19" t="s">
        <v>26</v>
      </c>
      <c r="P23" s="19" t="s">
        <v>27</v>
      </c>
      <c r="Q23" s="19" t="s">
        <v>28</v>
      </c>
      <c r="R23" s="19" t="s">
        <v>29</v>
      </c>
      <c r="S23" s="19" t="s">
        <v>30</v>
      </c>
      <c r="T23" s="19" t="s">
        <v>31</v>
      </c>
      <c r="U23" s="19" t="s">
        <v>32</v>
      </c>
      <c r="V23" s="19" t="s">
        <v>33</v>
      </c>
      <c r="W23" s="19" t="s">
        <v>34</v>
      </c>
      <c r="X23" s="19" t="s">
        <v>35</v>
      </c>
      <c r="Y23" s="19" t="s">
        <v>36</v>
      </c>
      <c r="Z23" s="19" t="s">
        <v>37</v>
      </c>
      <c r="AB23" s="20" t="s">
        <v>38</v>
      </c>
      <c r="AC23" s="20" t="s">
        <v>39</v>
      </c>
      <c r="AD23" s="20" t="s">
        <v>40</v>
      </c>
      <c r="AE23" s="20" t="s">
        <v>41</v>
      </c>
      <c r="AF23" s="20" t="s">
        <v>42</v>
      </c>
      <c r="AG23" s="20" t="s">
        <v>43</v>
      </c>
      <c r="AH23" s="20" t="s">
        <v>44</v>
      </c>
      <c r="AI23" s="20" t="s">
        <v>45</v>
      </c>
      <c r="AJ23" s="20" t="s">
        <v>46</v>
      </c>
      <c r="AK23" s="20" t="s">
        <v>47</v>
      </c>
      <c r="AL23" s="20" t="s">
        <v>48</v>
      </c>
      <c r="AM23" s="20" t="s">
        <v>49</v>
      </c>
      <c r="AN23" s="1"/>
    </row>
    <row r="24" spans="1:41" ht="15.6">
      <c r="A24" s="21" t="s">
        <v>50</v>
      </c>
      <c r="B24" s="22" t="s">
        <v>51</v>
      </c>
      <c r="C24" s="23"/>
      <c r="D24" s="23" t="s">
        <v>52</v>
      </c>
      <c r="E24" s="23" t="s">
        <v>53</v>
      </c>
      <c r="F24" s="23" t="s">
        <v>54</v>
      </c>
      <c r="G24" s="23" t="s">
        <v>55</v>
      </c>
      <c r="H24" s="23" t="s">
        <v>56</v>
      </c>
      <c r="I24" s="23" t="s">
        <v>57</v>
      </c>
      <c r="J24" s="23" t="s">
        <v>58</v>
      </c>
      <c r="K24" s="23" t="s">
        <v>59</v>
      </c>
      <c r="L24" s="23" t="s">
        <v>60</v>
      </c>
      <c r="M24" s="23" t="s">
        <v>61</v>
      </c>
      <c r="N24" s="24"/>
      <c r="O24" s="23" t="s">
        <v>62</v>
      </c>
      <c r="P24" s="23" t="s">
        <v>63</v>
      </c>
      <c r="Q24" s="23" t="s">
        <v>64</v>
      </c>
      <c r="R24" s="23" t="s">
        <v>65</v>
      </c>
      <c r="S24" s="23" t="s">
        <v>66</v>
      </c>
      <c r="T24" s="23" t="s">
        <v>67</v>
      </c>
      <c r="U24" s="23" t="s">
        <v>68</v>
      </c>
      <c r="V24" s="23" t="s">
        <v>69</v>
      </c>
      <c r="W24" s="23" t="s">
        <v>70</v>
      </c>
      <c r="X24" s="23" t="s">
        <v>71</v>
      </c>
      <c r="Y24" s="23" t="s">
        <v>72</v>
      </c>
      <c r="Z24" s="23" t="s">
        <v>73</v>
      </c>
      <c r="AA24" s="24"/>
      <c r="AB24" s="23" t="s">
        <v>74</v>
      </c>
      <c r="AC24" s="23" t="s">
        <v>75</v>
      </c>
      <c r="AD24" s="23" t="s">
        <v>76</v>
      </c>
      <c r="AE24" s="23" t="s">
        <v>77</v>
      </c>
      <c r="AF24" s="23" t="s">
        <v>76</v>
      </c>
      <c r="AG24" s="23" t="s">
        <v>78</v>
      </c>
      <c r="AH24" s="23" t="s">
        <v>79</v>
      </c>
      <c r="AI24" s="23" t="s">
        <v>80</v>
      </c>
      <c r="AJ24" s="23" t="s">
        <v>81</v>
      </c>
      <c r="AK24" s="23" t="s">
        <v>82</v>
      </c>
      <c r="AL24" s="23" t="s">
        <v>83</v>
      </c>
      <c r="AM24" s="23" t="s">
        <v>84</v>
      </c>
      <c r="AN24" s="1"/>
    </row>
    <row r="25" spans="1:41" ht="16.2" thickBot="1">
      <c r="A25" s="25"/>
      <c r="B25" s="26" t="s">
        <v>85</v>
      </c>
      <c r="C25" s="27"/>
      <c r="D25" s="28"/>
      <c r="E25" s="29"/>
      <c r="F25" s="29"/>
      <c r="G25" s="29"/>
      <c r="H25" s="29"/>
      <c r="I25" s="29"/>
      <c r="J25" s="29"/>
      <c r="K25" s="29"/>
      <c r="L25" s="29"/>
      <c r="M25" s="29"/>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1"/>
    </row>
    <row r="26" spans="1:41">
      <c r="A26" s="25" t="s">
        <v>86</v>
      </c>
      <c r="B26" s="5" t="s">
        <v>87</v>
      </c>
      <c r="C26" s="3"/>
      <c r="D26" s="32">
        <f>IF(AND(D27&gt;=0,D27&lt;30),1,IF(AND(D27&gt;=30,D27&lt;60),2,IF(AND(D27&gt;=60,D27&lt;90),3,IF(AND(D27&gt;=90,D27&lt;120),4,IF(AND(D27&gt;=120,D27&lt;150),5,IF(AND(D27&gt;=150,D27&lt;180),6,0))))))+IF(AND(D27&gt;=180,D27&lt;210),7,IF(AND(D27&gt;=210,D27&lt;240),8,IF(AND(D27&gt;=240,D27&lt;270),9,IF(AND(D27&gt;=270,D27&lt;300),10,IF(AND(D27&gt;=300,D27&lt;330),11,IF(AND(D27&gt;=330,D27&lt;360),12,0))))))</f>
        <v>7</v>
      </c>
      <c r="E26" s="32">
        <f t="shared" ref="E26:M26" si="1">IF(AND(E27&gt;=0,E27&lt;30),1,IF(AND(E27&gt;=30,E27&lt;60),2,IF(AND(E27&gt;=60,E27&lt;90),3,IF(AND(E27&gt;=90,E27&lt;120),4,IF(AND(E27&gt;=120,E27&lt;150),5,IF(AND(E27&gt;=150,E27&lt;180),6,0))))))+IF(AND(E27&gt;=180,E27&lt;210),7,IF(AND(E27&gt;=210,E27&lt;240),8,IF(AND(E27&gt;=240,E27&lt;270),9,IF(AND(E27&gt;=270,E27&lt;300),10,IF(AND(E27&gt;=300,E27&lt;330),11,IF(AND(E27&gt;=330,E27&lt;360),12,0))))))</f>
        <v>6</v>
      </c>
      <c r="F26" s="32">
        <f t="shared" si="1"/>
        <v>8</v>
      </c>
      <c r="G26" s="32">
        <f t="shared" si="1"/>
        <v>6</v>
      </c>
      <c r="H26" s="32">
        <f t="shared" si="1"/>
        <v>5</v>
      </c>
      <c r="I26" s="32">
        <f t="shared" si="1"/>
        <v>8</v>
      </c>
      <c r="J26" s="32">
        <f t="shared" si="1"/>
        <v>11</v>
      </c>
      <c r="K26" s="32">
        <f t="shared" si="1"/>
        <v>5</v>
      </c>
      <c r="L26" s="32">
        <f t="shared" si="1"/>
        <v>12</v>
      </c>
      <c r="M26" s="32">
        <f t="shared" si="1"/>
        <v>6</v>
      </c>
      <c r="N26" s="33"/>
      <c r="O26" s="34">
        <f ca="1">IF(ISBLANK(OFFSET(O26,0,-11+O$34))," ",OFFSET(O26,0,-11+O$34))</f>
        <v>5</v>
      </c>
      <c r="P26" s="34">
        <f ca="1">IF(ISBLANK(OFFSET(P26,0,-12+P$34))," ",OFFSET(P26,0,-12+P$34))</f>
        <v>8</v>
      </c>
      <c r="Q26" s="34">
        <f ca="1">IF(ISBLANK(OFFSET(Q26,0,-13+Q$34))," ",OFFSET(Q26,0,-13+Q$34))</f>
        <v>11</v>
      </c>
      <c r="R26" s="34">
        <f ca="1">IF(ISBLANK(OFFSET(R26,0,-14+R$34))," ",OFFSET(R26,0,-14+R$34))</f>
        <v>5</v>
      </c>
      <c r="S26" s="34">
        <f ca="1">IF(ISBLANK(OFFSET(S26,0,-15+S$34))," ",OFFSET(S26,0,-15+S$34))</f>
        <v>5</v>
      </c>
      <c r="T26" s="34">
        <f ca="1">IF(ISBLANK(OFFSET(T26,0,-16+T$34))," ",OFFSET(T26,0,-16+T$34))</f>
        <v>11</v>
      </c>
      <c r="U26" s="34">
        <f ca="1">IF(ISBLANK(OFFSET(U26,0,-17+U$34))," ",OFFSET(U26,0,-17+U$34))</f>
        <v>8</v>
      </c>
      <c r="V26" s="34">
        <f ca="1">IF(ISBLANK(OFFSET(V26,0,-18+V$34))," ",OFFSET(V26,0,-18+V$34))</f>
        <v>5</v>
      </c>
      <c r="W26" s="34">
        <f ca="1">IF(ISBLANK(OFFSET(W26,0,-19+W$34))," ",OFFSET(W26,0,-19+W$34))</f>
        <v>6</v>
      </c>
      <c r="X26" s="34">
        <f ca="1">IF(ISBLANK(OFFSET(X26,0,-20+X$34))," ",OFFSET(X26,0,-20+X$34))</f>
        <v>8</v>
      </c>
      <c r="Y26" s="34">
        <f ca="1">IF(ISBLANK(OFFSET(Y26,0,-21+Y$34))," ",OFFSET(Y26,0,-21+Y$34))</f>
        <v>6</v>
      </c>
      <c r="Z26" s="34">
        <f ca="1">IF(ISBLANK(OFFSET(Z26,0,-22+Z$34))," ",OFFSET(Z26,0,-22+Z$34))</f>
        <v>6</v>
      </c>
      <c r="AA26" s="35"/>
      <c r="AB26" s="36">
        <f>D26</f>
        <v>7</v>
      </c>
      <c r="AC26" s="36">
        <f>IF((MOD(AB26+1,12)&gt;0),MOD(AB26+1,12),12)</f>
        <v>8</v>
      </c>
      <c r="AD26" s="36">
        <f>IF((MOD(AC26+1,12)&gt;0),MOD(AC26+1,12),12)</f>
        <v>9</v>
      </c>
      <c r="AE26" s="36">
        <f t="shared" ref="AE26:AM26" si="2">IF((MOD(AD26+1,12)&gt;0),MOD(AD26+1,12),12)</f>
        <v>10</v>
      </c>
      <c r="AF26" s="36">
        <f t="shared" si="2"/>
        <v>11</v>
      </c>
      <c r="AG26" s="36">
        <f t="shared" si="2"/>
        <v>12</v>
      </c>
      <c r="AH26" s="36">
        <f t="shared" si="2"/>
        <v>1</v>
      </c>
      <c r="AI26" s="36">
        <f t="shared" si="2"/>
        <v>2</v>
      </c>
      <c r="AJ26" s="36">
        <f t="shared" si="2"/>
        <v>3</v>
      </c>
      <c r="AK26" s="36">
        <f t="shared" si="2"/>
        <v>4</v>
      </c>
      <c r="AL26" s="36">
        <f t="shared" si="2"/>
        <v>5</v>
      </c>
      <c r="AM26" s="36">
        <f t="shared" si="2"/>
        <v>6</v>
      </c>
      <c r="AN26" s="3"/>
    </row>
    <row r="27" spans="1:41">
      <c r="A27" s="25" t="s">
        <v>88</v>
      </c>
      <c r="B27" s="37" t="s">
        <v>89</v>
      </c>
      <c r="C27" s="1"/>
      <c r="D27" s="38">
        <f>Ephemeris!C40</f>
        <v>192.27</v>
      </c>
      <c r="E27" s="38">
        <f>Ephemeris!D40</f>
        <v>150.55000000000001</v>
      </c>
      <c r="F27" s="38">
        <f>Ephemeris!E40</f>
        <v>217.97</v>
      </c>
      <c r="G27" s="38">
        <f>Ephemeris!F40</f>
        <v>150.87</v>
      </c>
      <c r="H27" s="38">
        <f>Ephemeris!G40</f>
        <v>135.63</v>
      </c>
      <c r="I27" s="38">
        <f>Ephemeris!H40</f>
        <v>210.91</v>
      </c>
      <c r="J27" s="38">
        <f>Ephemeris!I40</f>
        <v>306.62</v>
      </c>
      <c r="K27" s="38">
        <f>Ephemeris!J40</f>
        <v>149.66</v>
      </c>
      <c r="L27" s="38">
        <f>Ephemeris!K40</f>
        <v>335.23</v>
      </c>
      <c r="M27" s="38">
        <f>Ephemeris!L40</f>
        <v>155.23000000000002</v>
      </c>
      <c r="N27" s="39"/>
      <c r="O27" s="40">
        <f ca="1">IF(ISBLANK(OFFSET(O27,0,-11+O$34))," ",OFFSET(O27,0,-11+O$34))</f>
        <v>135.63</v>
      </c>
      <c r="P27" s="40">
        <f ca="1">IF(ISBLANK(OFFSET(P27,0,-12+P$34))," ",OFFSET(P27,0,-12+P$34))</f>
        <v>210.91</v>
      </c>
      <c r="Q27" s="40">
        <f ca="1">IF(ISBLANK(OFFSET(Q27,0,-13+Q$34))," ",OFFSET(Q27,0,-13+Q$34))</f>
        <v>306.62</v>
      </c>
      <c r="R27" s="40">
        <f ca="1">IF(ISBLANK(OFFSET(R27,0,-14+R$34))," ",OFFSET(R27,0,-14+R$34))</f>
        <v>149.66</v>
      </c>
      <c r="S27" s="40">
        <f ca="1">IF(ISBLANK(OFFSET(S27,0,-15+S$34))," ",OFFSET(S27,0,-15+S$34))</f>
        <v>149.66</v>
      </c>
      <c r="T27" s="40">
        <f ca="1">IF(ISBLANK(OFFSET(T27,0,-16+T$34))," ",OFFSET(T27,0,-16+T$34))</f>
        <v>306.62</v>
      </c>
      <c r="U27" s="40">
        <f ca="1">IF(ISBLANK(OFFSET(U27,0,-17+U$34))," ",OFFSET(U27,0,-17+U$34))</f>
        <v>210.91</v>
      </c>
      <c r="V27" s="40">
        <f ca="1">IF(ISBLANK(OFFSET(V27,0,-18+V$34))," ",OFFSET(V27,0,-18+V$34))</f>
        <v>135.63</v>
      </c>
      <c r="W27" s="40">
        <f ca="1">IF(ISBLANK(OFFSET(W27,0,-19+W$34))," ",OFFSET(W27,0,-19+W$34))</f>
        <v>150.87</v>
      </c>
      <c r="X27" s="40">
        <f ca="1">IF(ISBLANK(OFFSET(X27,0,-20+X$34))," ",OFFSET(X27,0,-20+X$34))</f>
        <v>217.97</v>
      </c>
      <c r="Y27" s="40">
        <f ca="1">IF(ISBLANK(OFFSET(Y27,0,-21+Y$34))," ",OFFSET(Y27,0,-21+Y$34))</f>
        <v>150.55000000000001</v>
      </c>
      <c r="Z27" s="40">
        <f ca="1">IF(ISBLANK(OFFSET(Z27,0,-22+Z$34))," ",OFFSET(Z27,0,-22+Z$34))</f>
        <v>150.87</v>
      </c>
      <c r="AA27" s="39"/>
      <c r="AB27" s="39"/>
      <c r="AC27" s="39"/>
      <c r="AD27" s="39"/>
      <c r="AE27" s="39"/>
      <c r="AF27" s="39"/>
      <c r="AG27" s="39"/>
      <c r="AH27" s="39"/>
      <c r="AI27" s="39"/>
      <c r="AJ27" s="39"/>
      <c r="AK27" s="39"/>
      <c r="AL27" s="39"/>
      <c r="AM27" s="39"/>
      <c r="AN27" s="41"/>
    </row>
    <row r="28" spans="1:41">
      <c r="A28" s="25" t="s">
        <v>90</v>
      </c>
      <c r="B28" s="37" t="s">
        <v>91</v>
      </c>
      <c r="C28" s="1"/>
      <c r="D28" s="42">
        <f t="shared" ref="D28:M28" si="3">IF(D$27&lt;13.33,1,IF(D$27&lt;26.67,2,IF(D$27&lt;40,3,IF(D$27&lt;53.33,4,IF(D$27&lt;66.67,5,IF(D$27&lt;80,6,IF(D$27&lt;93.33,7,0)))))))+IF(D$27&gt;93.33,IF(D$27&lt;106.67,8,IF(D$27&lt;120,9,IF(D$27&lt;133.33,10,IF(D$27&lt;146.67,11,IF(D$27&lt;160,12,IF(D$27&lt;173.33,13,IF(D$27&lt;186.67,14,0))))))),0)+IF(D$27&gt;=186.67,IF(D$27&lt;200,15,IF(D$27&lt;213.33,16,IF(D$27&lt;226.67,17,IF(D$27&lt;240,18,IF(D$27&lt;253.33,19,IF(D$27&lt;266.67,20,IF(D$27&lt;280,21,0))))))),0)+IF(D$27&gt;=266.67,IF(D$27&lt;293.33,22,IF(D$27&lt;306.67,23,IF(D$27&lt;320,24,IF(D$27&lt;333.33,25,IF(D$27&lt;346.67,26,IF(D$27&lt;360,27,"E")))))),0)</f>
        <v>15</v>
      </c>
      <c r="E28" s="42">
        <f t="shared" si="3"/>
        <v>12</v>
      </c>
      <c r="F28" s="42">
        <f t="shared" si="3"/>
        <v>17</v>
      </c>
      <c r="G28" s="42">
        <f t="shared" si="3"/>
        <v>12</v>
      </c>
      <c r="H28" s="42">
        <f t="shared" si="3"/>
        <v>11</v>
      </c>
      <c r="I28" s="42">
        <f t="shared" si="3"/>
        <v>16</v>
      </c>
      <c r="J28" s="42">
        <f t="shared" si="3"/>
        <v>23</v>
      </c>
      <c r="K28" s="42">
        <f t="shared" si="3"/>
        <v>12</v>
      </c>
      <c r="L28" s="42">
        <f t="shared" si="3"/>
        <v>26</v>
      </c>
      <c r="M28" s="42">
        <f t="shared" si="3"/>
        <v>12</v>
      </c>
      <c r="N28" s="39"/>
      <c r="O28" s="43">
        <f ca="1">IF(ISBLANK(OFFSET(O28,0,-11+O$34))," ",OFFSET(O28,0,-11+O$34))</f>
        <v>11</v>
      </c>
      <c r="P28" s="43">
        <f ca="1">IF(ISBLANK(OFFSET(P28,0,-12+P$34))," ",OFFSET(P28,0,-12+P$34))</f>
        <v>16</v>
      </c>
      <c r="Q28" s="43">
        <f ca="1">IF(ISBLANK(OFFSET(Q28,0,-13+Q$34))," ",OFFSET(Q28,0,-13+Q$34))</f>
        <v>23</v>
      </c>
      <c r="R28" s="43">
        <f ca="1">IF(ISBLANK(OFFSET(R28,0,-14+R$34))," ",OFFSET(R28,0,-14+R$34))</f>
        <v>12</v>
      </c>
      <c r="S28" s="43">
        <f ca="1">IF(ISBLANK(OFFSET(S28,0,-15+S$34))," ",OFFSET(S28,0,-15+S$34))</f>
        <v>12</v>
      </c>
      <c r="T28" s="43">
        <f ca="1">IF(ISBLANK(OFFSET(T28,0,-16+T$34))," ",OFFSET(T28,0,-16+T$34))</f>
        <v>23</v>
      </c>
      <c r="U28" s="43">
        <f ca="1">IF(ISBLANK(OFFSET(U28,0,-17+U$34))," ",OFFSET(U28,0,-17+U$34))</f>
        <v>16</v>
      </c>
      <c r="V28" s="43">
        <f ca="1">IF(ISBLANK(OFFSET(V28,0,-18+V$34))," ",OFFSET(V28,0,-18+V$34))</f>
        <v>11</v>
      </c>
      <c r="W28" s="43">
        <f ca="1">IF(ISBLANK(OFFSET(W28,0,-19+W$34))," ",OFFSET(W28,0,-19+W$34))</f>
        <v>12</v>
      </c>
      <c r="X28" s="43">
        <f ca="1">IF(ISBLANK(OFFSET(X28,0,-20+X$34))," ",OFFSET(X28,0,-20+X$34))</f>
        <v>17</v>
      </c>
      <c r="Y28" s="43">
        <f ca="1">IF(ISBLANK(OFFSET(Y28,0,-21+Y$34))," ",OFFSET(Y28,0,-21+Y$34))</f>
        <v>12</v>
      </c>
      <c r="Z28" s="43">
        <f ca="1">IF(ISBLANK(OFFSET(Z28,0,-22+Z$34))," ",OFFSET(Z28,0,-22+Z$34))</f>
        <v>12</v>
      </c>
      <c r="AA28" s="39"/>
      <c r="AB28" s="39"/>
      <c r="AC28" s="39"/>
      <c r="AD28" s="39"/>
      <c r="AE28" s="39"/>
      <c r="AF28" s="39"/>
      <c r="AG28" s="39"/>
      <c r="AH28" s="39"/>
      <c r="AI28" s="39"/>
      <c r="AJ28" s="39"/>
      <c r="AK28" s="39"/>
      <c r="AL28" s="39"/>
      <c r="AM28" s="39"/>
      <c r="AN28" s="3"/>
    </row>
    <row r="29" spans="1:41">
      <c r="A29" s="25"/>
      <c r="B29" s="3"/>
      <c r="C29" s="6" t="s">
        <v>92</v>
      </c>
      <c r="D29" s="44" t="str">
        <f>CONCATENATE(IF(D26=1,"Ari",""),IF(D26=2,"Tau",""),IF(D26=3,"Gem",""),IF(D26=4,"Can",""),IF(D26=5,"Leo",""),IF(D26=6,"Vir",""),IF(D26=7,"Lib",""),IF(D26=8,"Sco",""),IF(D26=9,"Sag",""),IF(D26=10,"Cap",""),IF(D26=11,"Acq",""),IF(D26=12,"Pis",""))</f>
        <v>Lib</v>
      </c>
      <c r="E29" s="44" t="str">
        <f t="shared" ref="E29:M29" si="4">CONCATENATE(IF(E26=1,"Ari",""),IF(E26=2,"Tau",""),IF(E26=3,"Gem",""),IF(E26=4,"Can",""),IF(E26=5,"Leo",""),IF(E26=6,"Vir",""),IF(E26=7,"Lib",""),IF(E26=8,"Sco",""),IF(E26=9,"Sag",""),IF(E26=10,"Cap",""),IF(E26=11,"Acq",""),IF(E26=12,"Pis",""))</f>
        <v>Vir</v>
      </c>
      <c r="F29" s="44" t="str">
        <f t="shared" si="4"/>
        <v>Sco</v>
      </c>
      <c r="G29" s="44" t="str">
        <f t="shared" si="4"/>
        <v>Vir</v>
      </c>
      <c r="H29" s="44" t="str">
        <f t="shared" si="4"/>
        <v>Leo</v>
      </c>
      <c r="I29" s="44" t="str">
        <f t="shared" si="4"/>
        <v>Sco</v>
      </c>
      <c r="J29" s="44" t="str">
        <f t="shared" si="4"/>
        <v>Acq</v>
      </c>
      <c r="K29" s="44" t="str">
        <f t="shared" si="4"/>
        <v>Leo</v>
      </c>
      <c r="L29" s="44" t="str">
        <f t="shared" si="4"/>
        <v>Pis</v>
      </c>
      <c r="M29" s="44" t="str">
        <f t="shared" si="4"/>
        <v>Vir</v>
      </c>
      <c r="N29" s="39"/>
      <c r="O29" s="43" t="str">
        <f ca="1">IF(ISBLANK(OFFSET(O29,0,-11+O$34))," ",OFFSET(O29,0,-11+O$34))</f>
        <v>Leo</v>
      </c>
      <c r="P29" s="43" t="str">
        <f ca="1">IF(ISBLANK(OFFSET(P29,0,-12+P$34))," ",OFFSET(P29,0,-12+P$34))</f>
        <v>Sco</v>
      </c>
      <c r="Q29" s="43" t="str">
        <f ca="1">IF(ISBLANK(OFFSET(Q29,0,-13+Q$34))," ",OFFSET(Q29,0,-13+Q$34))</f>
        <v>Acq</v>
      </c>
      <c r="R29" s="43" t="str">
        <f ca="1">IF(ISBLANK(OFFSET(R29,0,-14+R$34))," ",OFFSET(R29,0,-14+R$34))</f>
        <v>Leo</v>
      </c>
      <c r="S29" s="43" t="str">
        <f ca="1">IF(ISBLANK(OFFSET(S29,0,-15+S$34))," ",OFFSET(S29,0,-15+S$34))</f>
        <v>Leo</v>
      </c>
      <c r="T29" s="43" t="str">
        <f ca="1">IF(ISBLANK(OFFSET(T29,0,-16+T$34))," ",OFFSET(T29,0,-16+T$34))</f>
        <v>Acq</v>
      </c>
      <c r="U29" s="43" t="str">
        <f ca="1">IF(ISBLANK(OFFSET(U29,0,-17+U$34))," ",OFFSET(U29,0,-17+U$34))</f>
        <v>Sco</v>
      </c>
      <c r="V29" s="43" t="str">
        <f ca="1">IF(ISBLANK(OFFSET(V29,0,-18+V$34))," ",OFFSET(V29,0,-18+V$34))</f>
        <v>Leo</v>
      </c>
      <c r="W29" s="43" t="str">
        <f ca="1">IF(ISBLANK(OFFSET(W29,0,-19+W$34))," ",OFFSET(W29,0,-19+W$34))</f>
        <v>Vir</v>
      </c>
      <c r="X29" s="43" t="str">
        <f ca="1">IF(ISBLANK(OFFSET(X29,0,-20+X$34))," ",OFFSET(X29,0,-20+X$34))</f>
        <v>Sco</v>
      </c>
      <c r="Y29" s="43" t="str">
        <f ca="1">IF(ISBLANK(OFFSET(Y29,0,-21+Y$34))," ",OFFSET(Y29,0,-21+Y$34))</f>
        <v>Vir</v>
      </c>
      <c r="Z29" s="43" t="str">
        <f ca="1">IF(ISBLANK(OFFSET(Z29,0,-22+Z$34))," ",OFFSET(Z29,0,-22+Z$34))</f>
        <v>Vir</v>
      </c>
      <c r="AA29" s="39"/>
      <c r="AB29" s="44" t="str">
        <f>CONCATENATE(IF(AB26=1,"Ari",""),IF(AB26=2,"Tau",""),IF(AB26=3,"Gem",""),IF(AB26=4,"Can",""),IF(AB26=5,"Leo",""),IF(AB26=6,"Vir",""),IF(AB26=7,"Lib",""),IF(AB26=8,"Sco",""),IF(AB26=9,"Sag",""),IF(AB26=10,"Cap",""),IF(AB26=11,"Acq",""),IF(AB26=12,"Pis",""))</f>
        <v>Lib</v>
      </c>
      <c r="AC29" s="44" t="str">
        <f t="shared" ref="AC29:AM29" si="5">CONCATENATE(IF(AC26=1,"Ari",""),IF(AC26=2,"Tau",""),IF(AC26=3,"Gem",""),IF(AC26=4,"Can",""),IF(AC26=5,"Leo",""),IF(AC26=6,"Vir",""),IF(AC26=7,"Lib",""),IF(AC26=8,"Sco",""),IF(AC26=9,"Sag",""),IF(AC26=10,"Cap",""),IF(AC26=11,"Acq",""),IF(AC26=12,"Pis",""))</f>
        <v>Sco</v>
      </c>
      <c r="AD29" s="44" t="str">
        <f t="shared" si="5"/>
        <v>Sag</v>
      </c>
      <c r="AE29" s="44" t="str">
        <f t="shared" si="5"/>
        <v>Cap</v>
      </c>
      <c r="AF29" s="44" t="str">
        <f t="shared" si="5"/>
        <v>Acq</v>
      </c>
      <c r="AG29" s="44" t="str">
        <f t="shared" si="5"/>
        <v>Pis</v>
      </c>
      <c r="AH29" s="44" t="str">
        <f t="shared" si="5"/>
        <v>Ari</v>
      </c>
      <c r="AI29" s="44" t="str">
        <f t="shared" si="5"/>
        <v>Tau</v>
      </c>
      <c r="AJ29" s="44" t="str">
        <f t="shared" si="5"/>
        <v>Gem</v>
      </c>
      <c r="AK29" s="44" t="str">
        <f t="shared" si="5"/>
        <v>Can</v>
      </c>
      <c r="AL29" s="44" t="str">
        <f t="shared" si="5"/>
        <v>Leo</v>
      </c>
      <c r="AM29" s="44" t="str">
        <f t="shared" si="5"/>
        <v>Vir</v>
      </c>
      <c r="AN29" s="1"/>
    </row>
    <row r="30" spans="1:41">
      <c r="A30" s="25" t="s">
        <v>93</v>
      </c>
      <c r="B30" s="5" t="s">
        <v>94</v>
      </c>
      <c r="C30" s="3"/>
      <c r="D30" s="45"/>
      <c r="E30" s="42">
        <f t="shared" ref="E30:M30" si="6">IF((E$26 &gt;= $D$26),(E$26-$D$26+1),(E$26-$D$26+1+12))</f>
        <v>12</v>
      </c>
      <c r="F30" s="42">
        <f t="shared" si="6"/>
        <v>2</v>
      </c>
      <c r="G30" s="42">
        <f t="shared" si="6"/>
        <v>12</v>
      </c>
      <c r="H30" s="42">
        <f t="shared" si="6"/>
        <v>11</v>
      </c>
      <c r="I30" s="42">
        <f t="shared" si="6"/>
        <v>2</v>
      </c>
      <c r="J30" s="42">
        <f t="shared" si="6"/>
        <v>5</v>
      </c>
      <c r="K30" s="42">
        <f t="shared" si="6"/>
        <v>11</v>
      </c>
      <c r="L30" s="42">
        <f t="shared" si="6"/>
        <v>6</v>
      </c>
      <c r="M30" s="42">
        <f t="shared" si="6"/>
        <v>12</v>
      </c>
      <c r="N30" s="46"/>
      <c r="O30" s="43">
        <f ca="1">IF(ISBLANK(OFFSET(O30,0,-11+O$34))," ",OFFSET(O30,0,-11+O$34))</f>
        <v>11</v>
      </c>
      <c r="P30" s="43">
        <f ca="1">IF(ISBLANK(OFFSET(P30,0,-12+P$34))," ",OFFSET(P30,0,-12+P$34))</f>
        <v>2</v>
      </c>
      <c r="Q30" s="43">
        <f ca="1">IF(ISBLANK(OFFSET(Q30,0,-13+Q$34))," ",OFFSET(Q30,0,-13+Q$34))</f>
        <v>5</v>
      </c>
      <c r="R30" s="43">
        <f ca="1">IF(ISBLANK(OFFSET(R30,0,-14+R$34))," ",OFFSET(R30,0,-14+R$34))</f>
        <v>11</v>
      </c>
      <c r="S30" s="43">
        <f ca="1">IF(ISBLANK(OFFSET(S30,0,-15+S$34))," ",OFFSET(S30,0,-15+S$34))</f>
        <v>11</v>
      </c>
      <c r="T30" s="43">
        <f ca="1">IF(ISBLANK(OFFSET(T30,0,-16+T$34))," ",OFFSET(T30,0,-16+T$34))</f>
        <v>5</v>
      </c>
      <c r="U30" s="43">
        <f ca="1">IF(ISBLANK(OFFSET(U30,0,-17+U$34))," ",OFFSET(U30,0,-17+U$34))</f>
        <v>2</v>
      </c>
      <c r="V30" s="43">
        <f ca="1">IF(ISBLANK(OFFSET(V30,0,-18+V$34))," ",OFFSET(V30,0,-18+V$34))</f>
        <v>11</v>
      </c>
      <c r="W30" s="43">
        <f ca="1">IF(ISBLANK(OFFSET(W30,0,-19+W$34))," ",OFFSET(W30,0,-19+W$34))</f>
        <v>12</v>
      </c>
      <c r="X30" s="43">
        <f ca="1">IF(ISBLANK(OFFSET(X30,0,-20+X$34))," ",OFFSET(X30,0,-20+X$34))</f>
        <v>2</v>
      </c>
      <c r="Y30" s="43">
        <f ca="1">IF(ISBLANK(OFFSET(Y30,0,-21+Y$34))," ",OFFSET(Y30,0,-21+Y$34))</f>
        <v>12</v>
      </c>
      <c r="Z30" s="43">
        <f ca="1">IF(ISBLANK(OFFSET(Z30,0,-22+Z$34))," ",OFFSET(Z30,0,-22+Z$34))</f>
        <v>12</v>
      </c>
      <c r="AA30" s="35"/>
      <c r="AB30" s="35"/>
      <c r="AC30" s="35"/>
      <c r="AD30" s="35"/>
      <c r="AE30" s="35"/>
      <c r="AF30" s="35"/>
      <c r="AG30" s="35"/>
      <c r="AH30" s="35"/>
      <c r="AI30" s="35"/>
      <c r="AJ30" s="35"/>
      <c r="AK30" s="35"/>
      <c r="AL30" s="35"/>
      <c r="AM30" s="35"/>
      <c r="AN30" s="1"/>
    </row>
    <row r="31" spans="1:41">
      <c r="A31" s="25"/>
      <c r="B31" s="3"/>
      <c r="C31" s="1"/>
      <c r="N31" s="39"/>
      <c r="AA31" s="39"/>
      <c r="AB31" s="39"/>
      <c r="AC31" s="39"/>
      <c r="AD31" s="39"/>
      <c r="AE31" s="39"/>
      <c r="AF31" s="39"/>
      <c r="AG31" s="39"/>
      <c r="AH31" s="39"/>
      <c r="AI31" s="39"/>
      <c r="AJ31" s="39"/>
      <c r="AK31" s="39"/>
      <c r="AL31" s="39"/>
      <c r="AM31" s="39"/>
      <c r="AN31" s="1"/>
    </row>
    <row r="32" spans="1:41">
      <c r="A32" s="25" t="s">
        <v>95</v>
      </c>
      <c r="B32" s="5" t="s">
        <v>96</v>
      </c>
      <c r="C32" s="1"/>
      <c r="D32" s="39"/>
      <c r="E32" s="42">
        <f>MATCH(1,$O$34:$Z$34,0)</f>
        <v>11</v>
      </c>
      <c r="F32" s="42">
        <f>MATCH(2,$O$34:$Z$34,0)</f>
        <v>10</v>
      </c>
      <c r="G32" s="42">
        <f>MATCH(3,$O$34:$Z$34,0)</f>
        <v>9</v>
      </c>
      <c r="H32" s="42">
        <f>MATCH(4,$O$34:$Z$34,0)</f>
        <v>1</v>
      </c>
      <c r="I32" s="42">
        <f>MATCH(5,$O$34:$Z$34,0)</f>
        <v>2</v>
      </c>
      <c r="J32" s="42">
        <f>MATCH(6,$O$34:$Z$34,0)</f>
        <v>3</v>
      </c>
      <c r="K32" s="42">
        <f>MATCH(7,$O$34:$Z$34,0)</f>
        <v>4</v>
      </c>
      <c r="L32" s="35"/>
      <c r="M32" s="35"/>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1"/>
    </row>
    <row r="33" spans="1:40">
      <c r="A33" s="25" t="s">
        <v>97</v>
      </c>
      <c r="B33" s="5" t="s">
        <v>96</v>
      </c>
      <c r="C33" s="1"/>
      <c r="D33" s="39"/>
      <c r="E33" s="47"/>
      <c r="F33" s="47"/>
      <c r="G33" s="42">
        <f>12-MATCH(3,$O$35:$Z$35,0)+1</f>
        <v>12</v>
      </c>
      <c r="H33" s="42">
        <f>12-MATCH(4,$O$35:$Z$35,0)+1</f>
        <v>8</v>
      </c>
      <c r="I33" s="42">
        <f>12-MATCH(5,$O$35:$Z$35,0)+1</f>
        <v>7</v>
      </c>
      <c r="J33" s="42">
        <f>12-MATCH(6,$O$35:$Z$35,0)+1</f>
        <v>6</v>
      </c>
      <c r="K33" s="42">
        <f>12-MATCH(7,$O$35:$Z$35,0)+1</f>
        <v>5</v>
      </c>
      <c r="L33" s="35"/>
      <c r="M33" s="35"/>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1"/>
    </row>
    <row r="34" spans="1:40">
      <c r="A34" s="25" t="s">
        <v>98</v>
      </c>
      <c r="B34" s="5" t="s">
        <v>99</v>
      </c>
      <c r="C34" s="1"/>
      <c r="D34" s="39"/>
      <c r="E34" s="39"/>
      <c r="F34" s="39"/>
      <c r="G34" s="39"/>
      <c r="H34" s="39"/>
      <c r="I34" s="39"/>
      <c r="J34" s="39"/>
      <c r="K34" s="39"/>
      <c r="L34" s="39"/>
      <c r="M34" s="39"/>
      <c r="N34" s="39"/>
      <c r="O34" s="42">
        <f t="shared" ref="O34:Z34" si="7">IF(AB$26=5,1,IF(AB$26=4,2,IF(OR((AB$26=3),(AB$26=6)),3,IF(OR((AB$26=2),(AB$26=7)),4,IF(OR((AB$26=1),(AB$26=8)),5,IF(OR((AB$26=12),(AB$26=9)),6,IF(OR((AB$26=11),(AB$26=10)),7,"E")))))))</f>
        <v>4</v>
      </c>
      <c r="P34" s="42">
        <f t="shared" si="7"/>
        <v>5</v>
      </c>
      <c r="Q34" s="42">
        <f t="shared" si="7"/>
        <v>6</v>
      </c>
      <c r="R34" s="42">
        <f t="shared" si="7"/>
        <v>7</v>
      </c>
      <c r="S34" s="42">
        <f t="shared" si="7"/>
        <v>7</v>
      </c>
      <c r="T34" s="42">
        <f t="shared" si="7"/>
        <v>6</v>
      </c>
      <c r="U34" s="42">
        <f t="shared" si="7"/>
        <v>5</v>
      </c>
      <c r="V34" s="42">
        <f t="shared" si="7"/>
        <v>4</v>
      </c>
      <c r="W34" s="42">
        <f t="shared" si="7"/>
        <v>3</v>
      </c>
      <c r="X34" s="42">
        <f t="shared" si="7"/>
        <v>2</v>
      </c>
      <c r="Y34" s="42">
        <f t="shared" si="7"/>
        <v>1</v>
      </c>
      <c r="Z34" s="42">
        <f t="shared" si="7"/>
        <v>3</v>
      </c>
      <c r="AA34" s="39"/>
      <c r="AB34" s="39"/>
      <c r="AC34" s="39"/>
      <c r="AD34" s="39"/>
      <c r="AE34" s="39"/>
      <c r="AF34" s="39"/>
      <c r="AG34" s="39"/>
      <c r="AH34" s="39"/>
      <c r="AI34" s="39"/>
      <c r="AJ34" s="39"/>
      <c r="AK34" s="39"/>
      <c r="AL34" s="39"/>
      <c r="AM34" s="39"/>
      <c r="AN34" s="1"/>
    </row>
    <row r="35" spans="1:40">
      <c r="A35" s="48" t="s">
        <v>382</v>
      </c>
      <c r="B35" s="125" t="s">
        <v>383</v>
      </c>
      <c r="O35" s="10">
        <f>Z34</f>
        <v>3</v>
      </c>
      <c r="P35" s="10">
        <f>Y34</f>
        <v>1</v>
      </c>
      <c r="Q35" s="10">
        <f>X34</f>
        <v>2</v>
      </c>
      <c r="R35" s="10">
        <f>W34</f>
        <v>3</v>
      </c>
      <c r="S35" s="10">
        <f>V34</f>
        <v>4</v>
      </c>
      <c r="T35" s="10">
        <f>U34</f>
        <v>5</v>
      </c>
      <c r="U35" s="10">
        <f>T34</f>
        <v>6</v>
      </c>
      <c r="V35" s="10">
        <f>S34</f>
        <v>7</v>
      </c>
      <c r="W35" s="10">
        <f>R34</f>
        <v>7</v>
      </c>
      <c r="X35" s="10">
        <f>Q34</f>
        <v>6</v>
      </c>
      <c r="Y35" s="10">
        <f>P34</f>
        <v>5</v>
      </c>
      <c r="Z35" s="10">
        <f>O34</f>
        <v>4</v>
      </c>
      <c r="AB35" s="320">
        <f>IF(E113="Y",1,0)+IF(F113="Y",1,0)+IF(G113="Y",1,0)+IF(H113="Y",1,0)+IF(I113="Y",1,0)+IF(J113="Y",1,0)+IF(K113="Y",1,0)+IF(L113="Y",1,0)+IF(M113="Y",1,0)</f>
        <v>0</v>
      </c>
      <c r="AC35" s="320">
        <f>IF(E114="Y",1,0)+IF(F114="Y",1,0)+IF(G114="Y",1,0)+IF(H114="Y",1,0)+IF(I114="Y",1,0)+IF(J114="Y",1,0)+IF(K114="Y",1,0)+IF(L114="Y",1,0)+IF(M114="Y",1,0)</f>
        <v>2</v>
      </c>
      <c r="AD35" s="320">
        <f>IF(E115="Y",1,0)+IF(F115="Y",1,0)+IF(G115="Y",1,0)+IF(H115="Y",1,0)+IF(I115="Y",1,0)+IF(J115="Y",1,0)+IF(K115="Y",1,0)+IF(L115="Y",1,0)+IF(M115="Y",1,0)</f>
        <v>0</v>
      </c>
      <c r="AE35" s="320">
        <f>IF(E116="Y",1,0)+IF(F116="Y",1,0)+IF(G116="Y",1,0)+IF(H116="Y",1,0)+IF(I116="Y",1,0)+IF(J116="Y",1,0)+IF(K116="Y",1,0)+IF(L116="Y",1,0)+IF(M116="Y",1,0)</f>
        <v>0</v>
      </c>
      <c r="AF35" s="320">
        <f>IF(E117="Y",1,0)+IF(F117="Y",1,0)+IF(G117="Y",1,0)+IF(H117="Y",1,0)+IF(I117="Y",1,0)+IF(J117="Y",1,0)+IF(K117="Y",1,0)+IF(L117="Y",1,0)+IF(M117="Y",1,0)</f>
        <v>1</v>
      </c>
      <c r="AG35" s="320">
        <f>IF(E118="Y",1,0)+IF(F118="Y",1,0)+IF(G118="Y",1,0)+IF(H118="Y",1,0)+IF(I118="Y",1,0)+IF(J118="Y",1,0)+IF(K118="Y",1,0)+IF(L118="Y",1,0)+IF(M118="Y",1,0)</f>
        <v>1</v>
      </c>
      <c r="AH35" s="320">
        <f>IF(E119="Y",1,0)+IF(F119="Y",1,0)+IF(G119="Y",1,0)+IF(H119="Y",1,0)+IF(I119="Y",1,0)+IF(J119="Y",1,0)+IF(K119="Y",1,0)+IF(L119="Y",1,0)+IF(M119="Y",1,0)</f>
        <v>0</v>
      </c>
      <c r="AI35" s="320">
        <f>IF(E120="Y",1,0)+IF(F120="Y",1,0)+IF(G120="Y",1,0)+IF(H120="Y",1,0)+IF(I120="Y",1,0)+IF(J120="Y",1,0)+IF(K120="Y",1,0)+IF(L120="Y",1,0)+IF(M120="Y",1,0)</f>
        <v>0</v>
      </c>
      <c r="AJ35" s="320">
        <f>IF(E121="Y",1,0)+IF(F121="Y",1,0)+IF(G121="Y",1,0)+IF(H121="Y",1,0)+IF(I121="Y",1,0)+IF(J121="Y",1,0)+IF(K121="Y",1,0)+IF(L121="Y",1,0)+IF(M121="Y",1,0)</f>
        <v>0</v>
      </c>
      <c r="AK35" s="320">
        <f>IF(E122="Y",1,0)+IF(F122="Y",1,0)+IF(G122="Y",1,0)+IF(H122="Y",1,0)+IF(I122="Y",1,0)+IF(J122="Y",1,0)+IF(K122="Y",1,0)+IF(L122="Y",1,0)+IF(M122="Y",1,0)</f>
        <v>0</v>
      </c>
      <c r="AL35" s="320">
        <f>IF(E123="Y",1,0)+IF(F123="Y",1,0)+IF(G123="Y",1,0)+IF(H123="Y",1,0)+IF(I123="Y",1,0)+IF(J123="Y",1,0)+IF(K123="Y",1,0)+IF(L123="Y",1,0)+IF(M123="Y",1,0)</f>
        <v>2</v>
      </c>
      <c r="AM35" s="320">
        <f>IF(E124="Y",1,0)+IF(F124="Y",1,0)+IF(G124="Y",1,0)+IF(H124="Y",1,0)+IF(I124="Y",1,0)+IF(J124="Y",1,0)+IF(K124="Y",1,0)+IF(L124="Y",1,0)+IF(M124="Y",1,0)</f>
        <v>3</v>
      </c>
      <c r="AN35" s="13">
        <f>SUM(AB35:AM35)</f>
        <v>9</v>
      </c>
    </row>
    <row r="36" spans="1:40" ht="16.2" thickBot="1">
      <c r="A36" s="25"/>
      <c r="B36" s="50" t="s">
        <v>1</v>
      </c>
      <c r="C36" s="51"/>
      <c r="D36" s="52"/>
      <c r="E36" s="52"/>
      <c r="F36" s="52"/>
      <c r="G36" s="53"/>
      <c r="H36" s="53"/>
      <c r="I36" s="53"/>
      <c r="J36" s="53"/>
      <c r="K36" s="53"/>
      <c r="L36" s="53"/>
      <c r="M36" s="53"/>
      <c r="N36" s="53"/>
      <c r="O36" s="53"/>
      <c r="P36" s="53"/>
      <c r="Q36" s="53"/>
      <c r="R36" s="53"/>
      <c r="S36" s="53"/>
      <c r="T36" s="53"/>
      <c r="U36" s="53"/>
      <c r="V36" s="53"/>
      <c r="W36" s="53"/>
      <c r="X36" s="53"/>
      <c r="Y36" s="53"/>
      <c r="Z36" s="53"/>
      <c r="AA36" s="53"/>
      <c r="AB36" s="53"/>
      <c r="AC36" s="52"/>
      <c r="AD36" s="52"/>
      <c r="AE36" s="52"/>
      <c r="AF36" s="52"/>
      <c r="AG36" s="52"/>
      <c r="AH36" s="52"/>
      <c r="AI36" s="52"/>
      <c r="AJ36" s="52"/>
      <c r="AK36" s="52"/>
      <c r="AL36" s="52"/>
      <c r="AM36" s="52"/>
      <c r="AN36" s="1"/>
    </row>
    <row r="37" spans="1:40">
      <c r="A37" s="25"/>
      <c r="B37" s="3"/>
      <c r="C37" s="6"/>
      <c r="AN37" s="1"/>
    </row>
    <row r="38" spans="1:40">
      <c r="A38" s="25" t="s">
        <v>100</v>
      </c>
      <c r="B38" s="2" t="s">
        <v>101</v>
      </c>
      <c r="C38" s="5" t="s">
        <v>102</v>
      </c>
      <c r="D38" s="151"/>
      <c r="E38" s="24" t="str">
        <f>IF(AND(E$27&gt;0,E$27&lt;=30),"Y","")</f>
        <v/>
      </c>
      <c r="F38" s="24" t="str">
        <f>IF(AND(F$27&gt;30,F$27&lt;=33),"Y","")</f>
        <v/>
      </c>
      <c r="G38" s="24" t="str">
        <f>IF(AND(G$27&gt;150,G$27&lt;=165),"Y","")</f>
        <v>Y</v>
      </c>
      <c r="H38" s="24" t="str">
        <f>IF(AND(H$27&gt;330,H$27&lt;=357),"Y","")</f>
        <v/>
      </c>
      <c r="I38" s="24" t="str">
        <f>IF(AND(I$27&gt;270,I$27&lt;=298),"Y","")</f>
        <v/>
      </c>
      <c r="J38" s="24" t="str">
        <f>IF(AND(J$27&gt;90,J$27&lt;=95),"Y","")</f>
        <v/>
      </c>
      <c r="K38" s="24" t="str">
        <f>IF(AND(K$27&gt;180,K$27&lt;=200),"Y","")</f>
        <v/>
      </c>
      <c r="L38" s="251"/>
      <c r="M38" s="251"/>
      <c r="O38" s="252" t="str">
        <f t="shared" ref="O38:O47" ca="1" si="8">IF(ISBLANK(OFFSET(O38,0,-11+O$34))," ",OFFSET(O38,0,-11+O$34))</f>
        <v/>
      </c>
      <c r="P38" s="252" t="str">
        <f t="shared" ref="P38:P47" ca="1" si="9">IF(ISBLANK(OFFSET(P38,0,-12+P$34))," ",OFFSET(P38,0,-12+P$34))</f>
        <v/>
      </c>
      <c r="Q38" s="252" t="str">
        <f t="shared" ref="Q38:Q47" ca="1" si="10">IF(ISBLANK(OFFSET(Q38,0,-13+Q$34))," ",OFFSET(Q38,0,-13+Q$34))</f>
        <v/>
      </c>
      <c r="R38" s="252" t="str">
        <f t="shared" ref="R38:R47" ca="1" si="11">IF(ISBLANK(OFFSET(R38,0,-14+R$34))," ",OFFSET(R38,0,-14+R$34))</f>
        <v/>
      </c>
      <c r="S38" s="252" t="str">
        <f t="shared" ref="S38:S47" ca="1" si="12">IF(ISBLANK(OFFSET(S38,0,-15+S$34))," ",OFFSET(S38,0,-15+S$34))</f>
        <v/>
      </c>
      <c r="T38" s="252" t="str">
        <f t="shared" ref="T38:T47" ca="1" si="13">IF(ISBLANK(OFFSET(T38,0,-16+T$34))," ",OFFSET(T38,0,-16+T$34))</f>
        <v/>
      </c>
      <c r="U38" s="252" t="str">
        <f t="shared" ref="U38:U47" ca="1" si="14">IF(ISBLANK(OFFSET(U38,0,-17+U$34))," ",OFFSET(U38,0,-17+U$34))</f>
        <v/>
      </c>
      <c r="V38" s="252" t="str">
        <f t="shared" ref="V38:V47" ca="1" si="15">IF(ISBLANK(OFFSET(V38,0,-18+V$34))," ",OFFSET(V38,0,-18+V$34))</f>
        <v/>
      </c>
      <c r="W38" s="252" t="str">
        <f t="shared" ref="W38:W47" ca="1" si="16">IF(ISBLANK(OFFSET(W38,0,-19+W$34))," ",OFFSET(W38,0,-19+W$34))</f>
        <v>Y</v>
      </c>
      <c r="X38" s="252" t="str">
        <f t="shared" ref="X38:X47" ca="1" si="17">IF(ISBLANK(OFFSET(X38,0,-20+X$34))," ",OFFSET(X38,0,-20+X$34))</f>
        <v/>
      </c>
      <c r="Y38" s="252" t="str">
        <f t="shared" ref="Y38:Y47" ca="1" si="18">IF(ISBLANK(OFFSET(Y38,0,-21+Y$34))," ",OFFSET(Y38,0,-21+Y$34))</f>
        <v/>
      </c>
      <c r="Z38" s="252" t="str">
        <f t="shared" ref="Z38:Z47" ca="1" si="19">IF(ISBLANK(OFFSET(Z38,0,-22+Z$34))," ",OFFSET(Z38,0,-22+Z$34))</f>
        <v>Y</v>
      </c>
      <c r="AB38" s="151"/>
      <c r="AC38" s="151"/>
      <c r="AD38" s="151"/>
      <c r="AE38" s="151"/>
      <c r="AF38" s="151"/>
      <c r="AG38" s="151"/>
      <c r="AH38" s="151"/>
      <c r="AI38" s="151"/>
      <c r="AJ38" s="151"/>
      <c r="AK38" s="151"/>
      <c r="AL38" s="151"/>
      <c r="AM38" s="151"/>
      <c r="AN38" s="1"/>
    </row>
    <row r="39" spans="1:40">
      <c r="A39" s="25" t="s">
        <v>103</v>
      </c>
      <c r="B39" s="2" t="s">
        <v>101</v>
      </c>
      <c r="C39" s="5" t="s">
        <v>104</v>
      </c>
      <c r="D39" s="151"/>
      <c r="E39" s="24" t="str">
        <f>IF(AND(E$27&gt;180,E$27&lt;=190),"Y","")</f>
        <v/>
      </c>
      <c r="F39" s="24" t="str">
        <f>IF(AND(F$27&gt;210,F$27&lt;=213),"Y","")</f>
        <v/>
      </c>
      <c r="G39" s="24" t="str">
        <f>IF(AND(G$27&gt;330,G$27&lt;=345),"Y","")</f>
        <v/>
      </c>
      <c r="H39" s="24" t="str">
        <f>IF(AND(H$27&gt;150,H$27&lt;=177),"Y","")</f>
        <v/>
      </c>
      <c r="I39" s="24" t="str">
        <f>IF(AND(I$27&gt;90,I$27&lt;=118),"Y","")</f>
        <v/>
      </c>
      <c r="J39" s="24" t="str">
        <f>IF(AND(J$27&gt;270,J$27&lt;=275),"Y","")</f>
        <v/>
      </c>
      <c r="K39" s="24" t="str">
        <f>IF(AND(K$27&gt;0,K$27&lt;=20),"Y","")</f>
        <v/>
      </c>
      <c r="L39" s="251"/>
      <c r="M39" s="251"/>
      <c r="O39" s="252" t="str">
        <f t="shared" ca="1" si="8"/>
        <v/>
      </c>
      <c r="P39" s="252" t="str">
        <f t="shared" ca="1" si="9"/>
        <v/>
      </c>
      <c r="Q39" s="252" t="str">
        <f t="shared" ca="1" si="10"/>
        <v/>
      </c>
      <c r="R39" s="252" t="str">
        <f t="shared" ca="1" si="11"/>
        <v/>
      </c>
      <c r="S39" s="252" t="str">
        <f t="shared" ca="1" si="12"/>
        <v/>
      </c>
      <c r="T39" s="252" t="str">
        <f t="shared" ca="1" si="13"/>
        <v/>
      </c>
      <c r="U39" s="252" t="str">
        <f t="shared" ca="1" si="14"/>
        <v/>
      </c>
      <c r="V39" s="252" t="str">
        <f t="shared" ca="1" si="15"/>
        <v/>
      </c>
      <c r="W39" s="252" t="str">
        <f t="shared" ca="1" si="16"/>
        <v/>
      </c>
      <c r="X39" s="252" t="str">
        <f t="shared" ca="1" si="17"/>
        <v/>
      </c>
      <c r="Y39" s="252" t="str">
        <f t="shared" ca="1" si="18"/>
        <v/>
      </c>
      <c r="Z39" s="252" t="str">
        <f t="shared" ca="1" si="19"/>
        <v/>
      </c>
      <c r="AB39" s="151"/>
      <c r="AC39" s="151"/>
      <c r="AD39" s="151"/>
      <c r="AE39" s="151"/>
      <c r="AF39" s="151"/>
      <c r="AG39" s="151"/>
      <c r="AH39" s="151"/>
      <c r="AI39" s="151"/>
      <c r="AJ39" s="151"/>
      <c r="AK39" s="151"/>
      <c r="AL39" s="151"/>
      <c r="AM39" s="151"/>
      <c r="AN39" s="1"/>
    </row>
    <row r="40" spans="1:40">
      <c r="A40" s="25" t="s">
        <v>105</v>
      </c>
      <c r="B40" s="2" t="s">
        <v>101</v>
      </c>
      <c r="C40" s="5" t="s">
        <v>106</v>
      </c>
      <c r="D40" s="151"/>
      <c r="E40" s="24" t="str">
        <f>IF(AND(E$27&gt;120,E$27&lt;=140),"Y","")</f>
        <v/>
      </c>
      <c r="F40" s="24" t="str">
        <f>IF(AND(F$27&gt;30,F$27&lt;=57),"Y","")</f>
        <v/>
      </c>
      <c r="G40" s="24" t="str">
        <f>IF(AND(G$27&gt;150,G$27&lt;=170),"Y","")</f>
        <v>Y</v>
      </c>
      <c r="H40" s="24" t="str">
        <f>IF(AND(H$27&gt;180,H$27&lt;=195),"Y","")</f>
        <v/>
      </c>
      <c r="I40" s="24" t="str">
        <f>IF(AND(I$27&gt;0,I$27&lt;=12),"Y","")</f>
        <v/>
      </c>
      <c r="J40" s="24" t="str">
        <f>IF(AND(J$27&gt;240,J$27&lt;=250),"Y","")</f>
        <v/>
      </c>
      <c r="K40" s="24" t="str">
        <f>IF(AND(K$27&gt;300,K$27&lt;=320),"Y","")</f>
        <v/>
      </c>
      <c r="L40" s="251"/>
      <c r="M40" s="251"/>
      <c r="O40" s="252" t="str">
        <f t="shared" ca="1" si="8"/>
        <v/>
      </c>
      <c r="P40" s="252" t="str">
        <f t="shared" ca="1" si="9"/>
        <v/>
      </c>
      <c r="Q40" s="252" t="str">
        <f t="shared" ca="1" si="10"/>
        <v/>
      </c>
      <c r="R40" s="252" t="str">
        <f t="shared" ca="1" si="11"/>
        <v/>
      </c>
      <c r="S40" s="252" t="str">
        <f t="shared" ca="1" si="12"/>
        <v/>
      </c>
      <c r="T40" s="252" t="str">
        <f t="shared" ca="1" si="13"/>
        <v/>
      </c>
      <c r="U40" s="252" t="str">
        <f t="shared" ca="1" si="14"/>
        <v/>
      </c>
      <c r="V40" s="252" t="str">
        <f t="shared" ca="1" si="15"/>
        <v/>
      </c>
      <c r="W40" s="252" t="str">
        <f t="shared" ca="1" si="16"/>
        <v>Y</v>
      </c>
      <c r="X40" s="252" t="str">
        <f t="shared" ca="1" si="17"/>
        <v/>
      </c>
      <c r="Y40" s="252" t="str">
        <f t="shared" ca="1" si="18"/>
        <v/>
      </c>
      <c r="Z40" s="252" t="str">
        <f t="shared" ca="1" si="19"/>
        <v>Y</v>
      </c>
      <c r="AB40" s="151"/>
      <c r="AC40" s="151"/>
      <c r="AD40" s="151"/>
      <c r="AE40" s="151"/>
      <c r="AF40" s="151"/>
      <c r="AG40" s="151"/>
      <c r="AH40" s="151"/>
      <c r="AI40" s="151"/>
      <c r="AJ40" s="151"/>
      <c r="AK40" s="151"/>
      <c r="AL40" s="151"/>
      <c r="AM40" s="151"/>
      <c r="AN40" s="1"/>
    </row>
    <row r="41" spans="1:40">
      <c r="A41" s="25" t="s">
        <v>107</v>
      </c>
      <c r="B41" s="2" t="s">
        <v>101</v>
      </c>
      <c r="C41" s="5" t="s">
        <v>108</v>
      </c>
      <c r="D41" s="151"/>
      <c r="E41" s="24" t="str">
        <f>IF(AND(E$27&gt;140,E$27&lt;=150),"Y","")</f>
        <v/>
      </c>
      <c r="F41" s="24" t="str">
        <f>IF(AND(F$27&gt;90,F$27&lt;=120),"Y","")</f>
        <v/>
      </c>
      <c r="G41" s="24" t="str">
        <f>IF(OR(AND(G$27&gt;=80,G$27&lt;=90),AND(G$27&gt;=170,G$27&lt;=180)),"Y","")</f>
        <v/>
      </c>
      <c r="H41" s="24" t="str">
        <f>IF(OR(AND(H$27&gt;=45,H$27&lt;=60),AND(H$27&gt;=195,H$27&lt;=210)),"Y","")</f>
        <v/>
      </c>
      <c r="I41" s="24" t="str">
        <f>IF(OR(AND(I$27&gt;=222,I$27&lt;=240),AND(I$27&gt;12,I$27&lt;=30)),"Y","")</f>
        <v/>
      </c>
      <c r="J41" s="24" t="str">
        <f>IF(OR(AND(J$27&gt;=340,J$27&lt;=360),AND(J$27&gt;=250,J$27&lt;=270)),"Y","")</f>
        <v/>
      </c>
      <c r="K41" s="24" t="str">
        <f>IF(OR(AND(K$27&gt;=290,K$27&lt;=300),AND(K$27&gt;320,K$27&lt;=330)),"Y","")</f>
        <v/>
      </c>
      <c r="L41" s="251"/>
      <c r="M41" s="251"/>
      <c r="O41" s="252" t="str">
        <f t="shared" ca="1" si="8"/>
        <v/>
      </c>
      <c r="P41" s="252" t="str">
        <f t="shared" ca="1" si="9"/>
        <v/>
      </c>
      <c r="Q41" s="252" t="str">
        <f t="shared" ca="1" si="10"/>
        <v/>
      </c>
      <c r="R41" s="252" t="str">
        <f t="shared" ca="1" si="11"/>
        <v/>
      </c>
      <c r="S41" s="252" t="str">
        <f t="shared" ca="1" si="12"/>
        <v/>
      </c>
      <c r="T41" s="252" t="str">
        <f t="shared" ca="1" si="13"/>
        <v/>
      </c>
      <c r="U41" s="252" t="str">
        <f t="shared" ca="1" si="14"/>
        <v/>
      </c>
      <c r="V41" s="252" t="str">
        <f t="shared" ca="1" si="15"/>
        <v/>
      </c>
      <c r="W41" s="252" t="str">
        <f t="shared" ca="1" si="16"/>
        <v/>
      </c>
      <c r="X41" s="252" t="str">
        <f t="shared" ca="1" si="17"/>
        <v/>
      </c>
      <c r="Y41" s="252" t="str">
        <f t="shared" ca="1" si="18"/>
        <v/>
      </c>
      <c r="Z41" s="252" t="str">
        <f t="shared" ca="1" si="19"/>
        <v/>
      </c>
      <c r="AB41" s="151"/>
      <c r="AC41" s="151"/>
      <c r="AD41" s="151"/>
      <c r="AE41" s="151"/>
      <c r="AF41" s="151"/>
      <c r="AG41" s="151"/>
      <c r="AH41" s="151"/>
      <c r="AI41" s="151"/>
      <c r="AJ41" s="151"/>
      <c r="AK41" s="151"/>
      <c r="AL41" s="151"/>
      <c r="AM41" s="151"/>
      <c r="AN41" s="1"/>
    </row>
    <row r="42" spans="1:40">
      <c r="A42" s="25" t="s">
        <v>109</v>
      </c>
      <c r="B42" s="2" t="s">
        <v>101</v>
      </c>
      <c r="C42" s="5" t="s">
        <v>110</v>
      </c>
      <c r="D42" s="151"/>
      <c r="E42" s="24" t="str">
        <f>IF(OR(E$26=4,E$26=1,E$26=8,E$26=9,E$26=12),"Y","")</f>
        <v/>
      </c>
      <c r="F42" s="24" t="str">
        <f>IF(OR(F$26=5,F$26=3,F$26=6),"Y","")</f>
        <v/>
      </c>
      <c r="G42" s="24" t="str">
        <f>IF(OR(G$26=5,G$26=2,G$26=7),"Y","")</f>
        <v/>
      </c>
      <c r="H42" s="24" t="str">
        <f>IF(OR(H$26=3,H$26=6),"Y","")</f>
        <v/>
      </c>
      <c r="I42" s="24" t="str">
        <f>IF(OR(I$26=5,I$26=4,I$26=9,I$26=12),"Y","")</f>
        <v/>
      </c>
      <c r="J42" s="24" t="str">
        <f>IF(OR(J$26=5,J$26=4,J$26=1,J$26=8),"Y","")</f>
        <v/>
      </c>
      <c r="K42" s="24" t="str">
        <f>IF(OR(K$26=3,K$26=6),"Y","")</f>
        <v/>
      </c>
      <c r="L42" s="251"/>
      <c r="M42" s="251"/>
      <c r="O42" s="252" t="str">
        <f t="shared" ca="1" si="8"/>
        <v/>
      </c>
      <c r="P42" s="252" t="str">
        <f t="shared" ca="1" si="9"/>
        <v/>
      </c>
      <c r="Q42" s="252" t="str">
        <f t="shared" ca="1" si="10"/>
        <v/>
      </c>
      <c r="R42" s="252" t="str">
        <f t="shared" ca="1" si="11"/>
        <v/>
      </c>
      <c r="S42" s="252" t="str">
        <f t="shared" ca="1" si="12"/>
        <v/>
      </c>
      <c r="T42" s="252" t="str">
        <f t="shared" ca="1" si="13"/>
        <v/>
      </c>
      <c r="U42" s="252" t="str">
        <f t="shared" ca="1" si="14"/>
        <v/>
      </c>
      <c r="V42" s="252" t="str">
        <f t="shared" ca="1" si="15"/>
        <v/>
      </c>
      <c r="W42" s="252" t="str">
        <f t="shared" ca="1" si="16"/>
        <v/>
      </c>
      <c r="X42" s="252" t="str">
        <f t="shared" ca="1" si="17"/>
        <v/>
      </c>
      <c r="Y42" s="252" t="str">
        <f t="shared" ca="1" si="18"/>
        <v/>
      </c>
      <c r="Z42" s="252" t="str">
        <f t="shared" ca="1" si="19"/>
        <v/>
      </c>
      <c r="AB42" s="151"/>
      <c r="AC42" s="151"/>
      <c r="AD42" s="151"/>
      <c r="AE42" s="151"/>
      <c r="AF42" s="151"/>
      <c r="AG42" s="151"/>
      <c r="AH42" s="151"/>
      <c r="AI42" s="151"/>
      <c r="AJ42" s="151"/>
      <c r="AK42" s="151"/>
      <c r="AL42" s="151"/>
      <c r="AM42" s="151"/>
      <c r="AN42" s="1"/>
    </row>
    <row r="43" spans="1:40">
      <c r="A43" s="25" t="s">
        <v>111</v>
      </c>
      <c r="B43" s="2" t="s">
        <v>101</v>
      </c>
      <c r="C43" s="5" t="s">
        <v>112</v>
      </c>
      <c r="D43" s="151"/>
      <c r="E43" s="24" t="str">
        <f>IF(OR(E$26=2,E$26=7,E$26=10,E$26=11),"Y","")</f>
        <v/>
      </c>
      <c r="F43" s="24"/>
      <c r="G43" s="24" t="str">
        <f>IF(OR(G$26=4),"Y","")</f>
        <v/>
      </c>
      <c r="H43" s="24" t="str">
        <f>IF(OR(H$26=5,H$26=4,H$26=1,H$26=8),"Y","")</f>
        <v>Y</v>
      </c>
      <c r="I43" s="24" t="str">
        <f>IF(OR(I$26=3,I$26=6),"Y","")</f>
        <v/>
      </c>
      <c r="J43" s="24" t="str">
        <f>IF(OR(J$26=3,J$26=6,J$26=2,J$26=7),"Y","")</f>
        <v/>
      </c>
      <c r="K43" s="24" t="str">
        <f>IF(OR(K$26=5,K$26=4),"Y","")</f>
        <v>Y</v>
      </c>
      <c r="L43" s="251"/>
      <c r="M43" s="251"/>
      <c r="O43" s="252" t="str">
        <f t="shared" ca="1" si="8"/>
        <v>Y</v>
      </c>
      <c r="P43" s="252" t="str">
        <f t="shared" ca="1" si="9"/>
        <v/>
      </c>
      <c r="Q43" s="252" t="str">
        <f t="shared" ca="1" si="10"/>
        <v/>
      </c>
      <c r="R43" s="252" t="str">
        <f t="shared" ca="1" si="11"/>
        <v>Y</v>
      </c>
      <c r="S43" s="252" t="str">
        <f t="shared" ca="1" si="12"/>
        <v>Y</v>
      </c>
      <c r="T43" s="252" t="str">
        <f t="shared" ca="1" si="13"/>
        <v/>
      </c>
      <c r="U43" s="252" t="str">
        <f t="shared" ca="1" si="14"/>
        <v/>
      </c>
      <c r="V43" s="252" t="str">
        <f t="shared" ca="1" si="15"/>
        <v>Y</v>
      </c>
      <c r="W43" s="252" t="str">
        <f t="shared" ca="1" si="16"/>
        <v/>
      </c>
      <c r="X43" s="252" t="str">
        <f t="shared" ca="1" si="17"/>
        <v xml:space="preserve"> </v>
      </c>
      <c r="Y43" s="252" t="str">
        <f t="shared" ca="1" si="18"/>
        <v/>
      </c>
      <c r="Z43" s="252" t="str">
        <f t="shared" ca="1" si="19"/>
        <v/>
      </c>
      <c r="AB43" s="151"/>
      <c r="AC43" s="151"/>
      <c r="AD43" s="151"/>
      <c r="AE43" s="151"/>
      <c r="AF43" s="151"/>
      <c r="AG43" s="151"/>
      <c r="AH43" s="151"/>
      <c r="AI43" s="151"/>
      <c r="AJ43" s="151"/>
      <c r="AK43" s="151"/>
      <c r="AL43" s="151"/>
      <c r="AM43" s="151"/>
      <c r="AN43" s="1"/>
    </row>
    <row r="44" spans="1:40">
      <c r="A44" s="25" t="s">
        <v>113</v>
      </c>
      <c r="B44" s="2" t="s">
        <v>101</v>
      </c>
      <c r="C44" s="5" t="s">
        <v>114</v>
      </c>
      <c r="D44" s="151"/>
      <c r="E44" s="24" t="str">
        <f>IF(OR(E$26=3,E$26=6),"Y","")</f>
        <v>Y</v>
      </c>
      <c r="F44" s="24" t="str">
        <f>IF(OR(F$26=1,F$26=8,F$26=9,F$26=12,F$26=2,F$26=7,F$26=10,F$26=11),"Y","")</f>
        <v>Y</v>
      </c>
      <c r="G44" s="24" t="str">
        <f>IF(OR(G$26=10,G$26=11,G$26=1,G$26=8,G$26=9,G$26=12),"Y","")</f>
        <v/>
      </c>
      <c r="H44" s="24" t="str">
        <f>IF(OR(H$26=9,H$26=12),"Y","")</f>
        <v/>
      </c>
      <c r="I44" s="24" t="str">
        <f>IF(OR(I$26=10,I$26=11,I$26=2,I$26=7),"Y","")</f>
        <v/>
      </c>
      <c r="J44" s="24" t="str">
        <f>IF(OR(J$26=10,J$26=11),"Y","")</f>
        <v>Y</v>
      </c>
      <c r="K44" s="24" t="str">
        <f>IF(OR(K$26=1,K$26=8,K$26=9,K$26=12),"Y","")</f>
        <v/>
      </c>
      <c r="L44" s="251"/>
      <c r="M44" s="251"/>
      <c r="O44" s="252" t="str">
        <f t="shared" ca="1" si="8"/>
        <v/>
      </c>
      <c r="P44" s="252" t="str">
        <f t="shared" ca="1" si="9"/>
        <v/>
      </c>
      <c r="Q44" s="252" t="str">
        <f t="shared" ca="1" si="10"/>
        <v>Y</v>
      </c>
      <c r="R44" s="252" t="str">
        <f t="shared" ca="1" si="11"/>
        <v/>
      </c>
      <c r="S44" s="252" t="str">
        <f t="shared" ca="1" si="12"/>
        <v/>
      </c>
      <c r="T44" s="252" t="str">
        <f t="shared" ca="1" si="13"/>
        <v>Y</v>
      </c>
      <c r="U44" s="252" t="str">
        <f t="shared" ca="1" si="14"/>
        <v/>
      </c>
      <c r="V44" s="252" t="str">
        <f t="shared" ca="1" si="15"/>
        <v/>
      </c>
      <c r="W44" s="252" t="str">
        <f t="shared" ca="1" si="16"/>
        <v/>
      </c>
      <c r="X44" s="252" t="str">
        <f t="shared" ca="1" si="17"/>
        <v>Y</v>
      </c>
      <c r="Y44" s="252" t="str">
        <f t="shared" ca="1" si="18"/>
        <v>Y</v>
      </c>
      <c r="Z44" s="252" t="str">
        <f t="shared" ca="1" si="19"/>
        <v/>
      </c>
      <c r="AB44" s="151"/>
      <c r="AC44" s="151"/>
      <c r="AD44" s="151"/>
      <c r="AE44" s="151"/>
      <c r="AF44" s="151"/>
      <c r="AG44" s="151"/>
      <c r="AH44" s="151"/>
      <c r="AI44" s="151"/>
      <c r="AJ44" s="151"/>
      <c r="AK44" s="151"/>
      <c r="AL44" s="151"/>
      <c r="AM44" s="151"/>
      <c r="AN44" s="1"/>
    </row>
    <row r="45" spans="1:40">
      <c r="A45" s="25" t="s">
        <v>115</v>
      </c>
      <c r="B45" s="2" t="s">
        <v>101</v>
      </c>
      <c r="C45" s="5" t="s">
        <v>116</v>
      </c>
      <c r="D45" s="151"/>
      <c r="E45" s="256"/>
      <c r="F45" s="256"/>
      <c r="G45" s="24" t="str">
        <f>Ephemeris!F41</f>
        <v>Y</v>
      </c>
      <c r="H45" s="24" t="str">
        <f>Ephemeris!G41</f>
        <v xml:space="preserve"> </v>
      </c>
      <c r="I45" s="24" t="str">
        <f>Ephemeris!H41</f>
        <v xml:space="preserve"> </v>
      </c>
      <c r="J45" s="24" t="str">
        <f>Ephemeris!I41</f>
        <v>Y</v>
      </c>
      <c r="K45" s="24" t="str">
        <f>Ephemeris!J41</f>
        <v xml:space="preserve"> </v>
      </c>
      <c r="L45" s="257"/>
      <c r="M45" s="257"/>
      <c r="O45" s="252" t="str">
        <f t="shared" ca="1" si="8"/>
        <v xml:space="preserve"> </v>
      </c>
      <c r="P45" s="252" t="str">
        <f t="shared" ca="1" si="9"/>
        <v xml:space="preserve"> </v>
      </c>
      <c r="Q45" s="252" t="str">
        <f t="shared" ca="1" si="10"/>
        <v>Y</v>
      </c>
      <c r="R45" s="252" t="str">
        <f t="shared" ca="1" si="11"/>
        <v xml:space="preserve"> </v>
      </c>
      <c r="S45" s="252" t="str">
        <f t="shared" ca="1" si="12"/>
        <v xml:space="preserve"> </v>
      </c>
      <c r="T45" s="252" t="str">
        <f t="shared" ca="1" si="13"/>
        <v>Y</v>
      </c>
      <c r="U45" s="252" t="str">
        <f t="shared" ca="1" si="14"/>
        <v xml:space="preserve"> </v>
      </c>
      <c r="V45" s="252" t="str">
        <f t="shared" ca="1" si="15"/>
        <v xml:space="preserve"> </v>
      </c>
      <c r="W45" s="252" t="str">
        <f t="shared" ca="1" si="16"/>
        <v>Y</v>
      </c>
      <c r="X45" s="252" t="str">
        <f t="shared" ca="1" si="17"/>
        <v xml:space="preserve"> </v>
      </c>
      <c r="Y45" s="252" t="str">
        <f t="shared" ca="1" si="18"/>
        <v xml:space="preserve"> </v>
      </c>
      <c r="Z45" s="252" t="str">
        <f t="shared" ca="1" si="19"/>
        <v>Y</v>
      </c>
      <c r="AB45" s="151"/>
      <c r="AC45" s="151"/>
      <c r="AD45" s="151"/>
      <c r="AE45" s="151"/>
      <c r="AF45" s="151"/>
      <c r="AG45" s="151"/>
      <c r="AH45" s="151"/>
      <c r="AI45" s="151"/>
      <c r="AJ45" s="151"/>
      <c r="AK45" s="151"/>
      <c r="AL45" s="151"/>
      <c r="AM45" s="151"/>
      <c r="AN45" s="1"/>
    </row>
    <row r="46" spans="1:40">
      <c r="A46" s="48" t="s">
        <v>299</v>
      </c>
      <c r="B46" s="164" t="s">
        <v>101</v>
      </c>
      <c r="C46" s="125" t="s">
        <v>301</v>
      </c>
      <c r="D46" s="151"/>
      <c r="E46" s="124" t="s">
        <v>303</v>
      </c>
      <c r="F46" s="55"/>
      <c r="G46" s="55"/>
      <c r="H46" s="55"/>
      <c r="I46" s="124" t="s">
        <v>303</v>
      </c>
      <c r="J46" s="55"/>
      <c r="K46" s="124" t="s">
        <v>303</v>
      </c>
      <c r="L46" s="123" t="s">
        <v>303</v>
      </c>
      <c r="M46" s="123" t="s">
        <v>303</v>
      </c>
      <c r="O46" s="253" t="str">
        <f t="shared" ca="1" si="8"/>
        <v xml:space="preserve"> </v>
      </c>
      <c r="P46" s="253" t="str">
        <f t="shared" ca="1" si="9"/>
        <v>Y</v>
      </c>
      <c r="Q46" s="253" t="str">
        <f t="shared" ca="1" si="10"/>
        <v xml:space="preserve"> </v>
      </c>
      <c r="R46" s="253" t="str">
        <f t="shared" ca="1" si="11"/>
        <v>Y</v>
      </c>
      <c r="S46" s="253" t="str">
        <f t="shared" ca="1" si="12"/>
        <v>Y</v>
      </c>
      <c r="T46" s="253" t="str">
        <f t="shared" ca="1" si="13"/>
        <v xml:space="preserve"> </v>
      </c>
      <c r="U46" s="253" t="str">
        <f t="shared" ca="1" si="14"/>
        <v>Y</v>
      </c>
      <c r="V46" s="253" t="str">
        <f t="shared" ca="1" si="15"/>
        <v xml:space="preserve"> </v>
      </c>
      <c r="W46" s="253" t="str">
        <f t="shared" ca="1" si="16"/>
        <v xml:space="preserve"> </v>
      </c>
      <c r="X46" s="253" t="str">
        <f t="shared" ca="1" si="17"/>
        <v xml:space="preserve"> </v>
      </c>
      <c r="Y46" s="253" t="str">
        <f t="shared" ca="1" si="18"/>
        <v>Y</v>
      </c>
      <c r="Z46" s="253" t="str">
        <f t="shared" ca="1" si="19"/>
        <v xml:space="preserve"> </v>
      </c>
      <c r="AB46" s="151"/>
      <c r="AC46" s="151"/>
      <c r="AD46" s="151"/>
      <c r="AE46" s="151"/>
      <c r="AF46" s="151"/>
      <c r="AG46" s="151"/>
      <c r="AH46" s="151"/>
      <c r="AI46" s="151"/>
      <c r="AJ46" s="151"/>
      <c r="AK46" s="151"/>
      <c r="AL46" s="151"/>
      <c r="AM46" s="151"/>
    </row>
    <row r="47" spans="1:40" ht="13.8" thickBot="1">
      <c r="A47" s="166" t="s">
        <v>300</v>
      </c>
      <c r="B47" s="165" t="s">
        <v>101</v>
      </c>
      <c r="C47" s="167" t="s">
        <v>302</v>
      </c>
      <c r="D47" s="172"/>
      <c r="E47" s="172"/>
      <c r="F47" s="168" t="str">
        <f>IF(OR(F74="Y",F78="Y",F80="Y",F81="Y",F82="Y"),"","Y")</f>
        <v/>
      </c>
      <c r="G47" s="168" t="str">
        <f>IF(OR(G74="Y",G78="Y",G80="Y",G81="Y",G82="Y",G45="Y"),"","Y")</f>
        <v/>
      </c>
      <c r="H47" s="168" t="str">
        <f>IF(OR(H74="Y",H78="Y",H80="Y",H81="Y",H82="Y",H45="Y"),"","Y")</f>
        <v/>
      </c>
      <c r="I47" s="172"/>
      <c r="J47" s="168" t="str">
        <f>IF(OR(J74="Y",J78="Y",J80="Y",J81="Y",J82="Y",J45="Y"),"","Y")</f>
        <v/>
      </c>
      <c r="K47" s="168"/>
      <c r="L47" s="172"/>
      <c r="M47" s="172"/>
      <c r="N47" s="168"/>
      <c r="O47" s="253" t="str">
        <f t="shared" ca="1" si="8"/>
        <v/>
      </c>
      <c r="P47" s="253" t="str">
        <f t="shared" ca="1" si="9"/>
        <v xml:space="preserve"> </v>
      </c>
      <c r="Q47" s="253" t="str">
        <f t="shared" ca="1" si="10"/>
        <v/>
      </c>
      <c r="R47" s="253" t="str">
        <f t="shared" ca="1" si="11"/>
        <v xml:space="preserve"> </v>
      </c>
      <c r="S47" s="253" t="str">
        <f t="shared" ca="1" si="12"/>
        <v xml:space="preserve"> </v>
      </c>
      <c r="T47" s="253" t="str">
        <f t="shared" ca="1" si="13"/>
        <v/>
      </c>
      <c r="U47" s="253" t="str">
        <f t="shared" ca="1" si="14"/>
        <v xml:space="preserve"> </v>
      </c>
      <c r="V47" s="253" t="str">
        <f t="shared" ca="1" si="15"/>
        <v/>
      </c>
      <c r="W47" s="253" t="str">
        <f t="shared" ca="1" si="16"/>
        <v/>
      </c>
      <c r="X47" s="253" t="str">
        <f t="shared" ca="1" si="17"/>
        <v/>
      </c>
      <c r="Y47" s="253" t="str">
        <f t="shared" ca="1" si="18"/>
        <v xml:space="preserve"> </v>
      </c>
      <c r="Z47" s="253" t="str">
        <f t="shared" ca="1" si="19"/>
        <v/>
      </c>
      <c r="AA47" s="168"/>
      <c r="AB47" s="172"/>
      <c r="AC47" s="172"/>
      <c r="AD47" s="172"/>
      <c r="AE47" s="172"/>
      <c r="AF47" s="172"/>
      <c r="AG47" s="172"/>
      <c r="AH47" s="172"/>
      <c r="AI47" s="172"/>
      <c r="AJ47" s="172"/>
      <c r="AK47" s="172"/>
      <c r="AL47" s="172"/>
      <c r="AM47" s="172"/>
      <c r="AN47" s="169"/>
    </row>
    <row r="48" spans="1:40" ht="16.2" thickBot="1">
      <c r="A48" s="25"/>
      <c r="B48" s="56" t="s">
        <v>117</v>
      </c>
      <c r="C48" s="51"/>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1"/>
    </row>
    <row r="49" spans="1:40">
      <c r="A49" s="25" t="s">
        <v>118</v>
      </c>
      <c r="B49" s="2" t="s">
        <v>119</v>
      </c>
      <c r="C49" s="5" t="s">
        <v>17</v>
      </c>
      <c r="D49" s="254" t="str">
        <f>IF(IF((MOD($E$26+6,12)&gt;0),MOD($E$26+6,12),12)=D$26,"Y","")</f>
        <v/>
      </c>
      <c r="E49" s="254"/>
      <c r="F49" s="254" t="str">
        <f t="shared" ref="F49:M49" si="20">IF(IF((MOD($E$26+6,12)&gt;0),MOD($E$26+6,12),12)=F$26,"Y","")</f>
        <v/>
      </c>
      <c r="G49" s="254" t="str">
        <f t="shared" si="20"/>
        <v/>
      </c>
      <c r="H49" s="254" t="str">
        <f t="shared" si="20"/>
        <v/>
      </c>
      <c r="I49" s="254" t="str">
        <f t="shared" si="20"/>
        <v/>
      </c>
      <c r="J49" s="254" t="str">
        <f t="shared" si="20"/>
        <v/>
      </c>
      <c r="K49" s="254" t="str">
        <f t="shared" si="20"/>
        <v/>
      </c>
      <c r="L49" s="254" t="str">
        <f t="shared" si="20"/>
        <v>Y</v>
      </c>
      <c r="M49" s="254" t="str">
        <f t="shared" si="20"/>
        <v/>
      </c>
      <c r="O49" s="252" t="str">
        <f t="shared" ref="O49:O57" ca="1" si="21">IF(ISBLANK(OFFSET(O49,0,-11+O$34))," ",OFFSET(O49,0,-11+O$34))</f>
        <v/>
      </c>
      <c r="P49" s="252" t="str">
        <f t="shared" ref="P49:P57" ca="1" si="22">IF(ISBLANK(OFFSET(P49,0,-12+P$34))," ",OFFSET(P49,0,-12+P$34))</f>
        <v/>
      </c>
      <c r="Q49" s="252" t="str">
        <f t="shared" ref="Q49:Q57" ca="1" si="23">IF(ISBLANK(OFFSET(Q49,0,-13+Q$34))," ",OFFSET(Q49,0,-13+Q$34))</f>
        <v/>
      </c>
      <c r="R49" s="252" t="str">
        <f t="shared" ref="R49:R57" ca="1" si="24">IF(ISBLANK(OFFSET(R49,0,-14+R$34))," ",OFFSET(R49,0,-14+R$34))</f>
        <v/>
      </c>
      <c r="S49" s="252" t="str">
        <f t="shared" ref="S49:S57" ca="1" si="25">IF(ISBLANK(OFFSET(S49,0,-15+S$34))," ",OFFSET(S49,0,-15+S$34))</f>
        <v/>
      </c>
      <c r="T49" s="252" t="str">
        <f t="shared" ref="T49:T57" ca="1" si="26">IF(ISBLANK(OFFSET(T49,0,-16+T$34))," ",OFFSET(T49,0,-16+T$34))</f>
        <v/>
      </c>
      <c r="U49" s="252" t="str">
        <f t="shared" ref="U49:U57" ca="1" si="27">IF(ISBLANK(OFFSET(U49,0,-17+U$34))," ",OFFSET(U49,0,-17+U$34))</f>
        <v/>
      </c>
      <c r="V49" s="252" t="str">
        <f t="shared" ref="V49:V57" ca="1" si="28">IF(ISBLANK(OFFSET(V49,0,-18+V$34))," ",OFFSET(V49,0,-18+V$34))</f>
        <v/>
      </c>
      <c r="W49" s="252" t="str">
        <f t="shared" ref="W49:W57" ca="1" si="29">IF(ISBLANK(OFFSET(W49,0,-19+W$34))," ",OFFSET(W49,0,-19+W$34))</f>
        <v/>
      </c>
      <c r="X49" s="252" t="str">
        <f t="shared" ref="X49:X57" ca="1" si="30">IF(ISBLANK(OFFSET(X49,0,-20+X$34))," ",OFFSET(X49,0,-20+X$34))</f>
        <v/>
      </c>
      <c r="Y49" s="252" t="str">
        <f t="shared" ref="Y49:Y57" ca="1" si="31">IF(ISBLANK(OFFSET(Y49,0,-21+Y$34))," ",OFFSET(Y49,0,-21+Y$34))</f>
        <v xml:space="preserve"> </v>
      </c>
      <c r="Z49" s="252" t="str">
        <f t="shared" ref="Z49:Z57" ca="1" si="32">IF(ISBLANK(OFFSET(Z49,0,-22+Z$34))," ",OFFSET(Z49,0,-22+Z$34))</f>
        <v/>
      </c>
      <c r="AB49" s="254" t="str">
        <f t="shared" ref="AB49:AM49" si="33">IF(IF((MOD($E$26+6,12)&gt;0),MOD($E$26+6,12),12)=AB$26,"Y","")</f>
        <v/>
      </c>
      <c r="AC49" s="254" t="str">
        <f t="shared" si="33"/>
        <v/>
      </c>
      <c r="AD49" s="254" t="str">
        <f t="shared" si="33"/>
        <v/>
      </c>
      <c r="AE49" s="254" t="str">
        <f t="shared" si="33"/>
        <v/>
      </c>
      <c r="AF49" s="254" t="str">
        <f t="shared" si="33"/>
        <v/>
      </c>
      <c r="AG49" s="254" t="str">
        <f t="shared" si="33"/>
        <v>Y</v>
      </c>
      <c r="AH49" s="254" t="str">
        <f t="shared" si="33"/>
        <v/>
      </c>
      <c r="AI49" s="254" t="str">
        <f t="shared" si="33"/>
        <v/>
      </c>
      <c r="AJ49" s="254" t="str">
        <f t="shared" si="33"/>
        <v/>
      </c>
      <c r="AK49" s="254" t="str">
        <f t="shared" si="33"/>
        <v/>
      </c>
      <c r="AL49" s="254" t="str">
        <f t="shared" si="33"/>
        <v/>
      </c>
      <c r="AM49" s="254" t="str">
        <f t="shared" si="33"/>
        <v/>
      </c>
      <c r="AN49" s="1"/>
    </row>
    <row r="50" spans="1:40">
      <c r="A50" s="25" t="s">
        <v>120</v>
      </c>
      <c r="B50" s="2" t="s">
        <v>119</v>
      </c>
      <c r="C50" s="5" t="s">
        <v>18</v>
      </c>
      <c r="D50" s="254" t="str">
        <f>IF(IF((MOD($F$26+6,12)&gt;0),MOD($F$26+6,12),12)=D$26,"Y","")</f>
        <v/>
      </c>
      <c r="E50" s="254" t="str">
        <f>IF(IF((MOD($F$26+6,12)&gt;0),MOD($F$26+6,12),12)=E$26,"Y","")</f>
        <v/>
      </c>
      <c r="F50" s="254"/>
      <c r="G50" s="254" t="str">
        <f t="shared" ref="G50:M50" si="34">IF(IF((MOD($F$26+6,12)&gt;0),MOD($F$26+6,12),12)=G$26,"Y","")</f>
        <v/>
      </c>
      <c r="H50" s="254" t="str">
        <f t="shared" si="34"/>
        <v/>
      </c>
      <c r="I50" s="254" t="str">
        <f t="shared" si="34"/>
        <v/>
      </c>
      <c r="J50" s="254" t="str">
        <f t="shared" si="34"/>
        <v/>
      </c>
      <c r="K50" s="254" t="str">
        <f t="shared" si="34"/>
        <v/>
      </c>
      <c r="L50" s="254" t="str">
        <f t="shared" si="34"/>
        <v/>
      </c>
      <c r="M50" s="254" t="str">
        <f t="shared" si="34"/>
        <v/>
      </c>
      <c r="O50" s="252" t="str">
        <f t="shared" ca="1" si="21"/>
        <v/>
      </c>
      <c r="P50" s="252" t="str">
        <f t="shared" ca="1" si="22"/>
        <v/>
      </c>
      <c r="Q50" s="252" t="str">
        <f t="shared" ca="1" si="23"/>
        <v/>
      </c>
      <c r="R50" s="252" t="str">
        <f t="shared" ca="1" si="24"/>
        <v/>
      </c>
      <c r="S50" s="252" t="str">
        <f t="shared" ca="1" si="25"/>
        <v/>
      </c>
      <c r="T50" s="252" t="str">
        <f t="shared" ca="1" si="26"/>
        <v/>
      </c>
      <c r="U50" s="252" t="str">
        <f t="shared" ca="1" si="27"/>
        <v/>
      </c>
      <c r="V50" s="252" t="str">
        <f t="shared" ca="1" si="28"/>
        <v/>
      </c>
      <c r="W50" s="252" t="str">
        <f t="shared" ca="1" si="29"/>
        <v/>
      </c>
      <c r="X50" s="252" t="str">
        <f t="shared" ca="1" si="30"/>
        <v xml:space="preserve"> </v>
      </c>
      <c r="Y50" s="252" t="str">
        <f t="shared" ca="1" si="31"/>
        <v/>
      </c>
      <c r="Z50" s="252" t="str">
        <f t="shared" ca="1" si="32"/>
        <v/>
      </c>
      <c r="AB50" s="254" t="str">
        <f t="shared" ref="AB50:AM50" si="35">IF(IF((MOD($F$26+6,12)&gt;0),MOD($F$26+6,12),12)=AB$26,"Y","")</f>
        <v/>
      </c>
      <c r="AC50" s="254" t="str">
        <f t="shared" si="35"/>
        <v/>
      </c>
      <c r="AD50" s="254" t="str">
        <f t="shared" si="35"/>
        <v/>
      </c>
      <c r="AE50" s="254" t="str">
        <f t="shared" si="35"/>
        <v/>
      </c>
      <c r="AF50" s="254" t="str">
        <f t="shared" si="35"/>
        <v/>
      </c>
      <c r="AG50" s="254" t="str">
        <f t="shared" si="35"/>
        <v/>
      </c>
      <c r="AH50" s="254" t="str">
        <f t="shared" si="35"/>
        <v/>
      </c>
      <c r="AI50" s="254" t="str">
        <f t="shared" si="35"/>
        <v>Y</v>
      </c>
      <c r="AJ50" s="254" t="str">
        <f t="shared" si="35"/>
        <v/>
      </c>
      <c r="AK50" s="254" t="str">
        <f t="shared" si="35"/>
        <v/>
      </c>
      <c r="AL50" s="254" t="str">
        <f t="shared" si="35"/>
        <v/>
      </c>
      <c r="AM50" s="254" t="str">
        <f t="shared" si="35"/>
        <v/>
      </c>
      <c r="AN50" s="1"/>
    </row>
    <row r="51" spans="1:40">
      <c r="A51" s="25" t="s">
        <v>121</v>
      </c>
      <c r="B51" s="2" t="s">
        <v>119</v>
      </c>
      <c r="C51" s="5" t="s">
        <v>19</v>
      </c>
      <c r="D51" s="254" t="str">
        <f>IF(IF((MOD($G$26+6,12)&gt;0),MOD($G$26+6,12),12)=D$26,"Y","")</f>
        <v/>
      </c>
      <c r="E51" s="254" t="str">
        <f>IF(IF((MOD($G$26+6,12)&gt;0),MOD($G$26+6,12),12)=E$26,"Y","")</f>
        <v/>
      </c>
      <c r="F51" s="254" t="str">
        <f>IF(IF((MOD($G$26+6,12)&gt;0),MOD($G$26+6,12),12)=F$26,"Y","")</f>
        <v/>
      </c>
      <c r="G51" s="254"/>
      <c r="H51" s="254" t="str">
        <f t="shared" ref="H51:M51" si="36">IF(IF((MOD($G$26+6,12)&gt;0),MOD($G$26+6,12),12)=H$26,"Y","")</f>
        <v/>
      </c>
      <c r="I51" s="254" t="str">
        <f t="shared" si="36"/>
        <v/>
      </c>
      <c r="J51" s="254" t="str">
        <f t="shared" si="36"/>
        <v/>
      </c>
      <c r="K51" s="254" t="str">
        <f t="shared" si="36"/>
        <v/>
      </c>
      <c r="L51" s="254" t="str">
        <f t="shared" si="36"/>
        <v>Y</v>
      </c>
      <c r="M51" s="254" t="str">
        <f t="shared" si="36"/>
        <v/>
      </c>
      <c r="O51" s="252" t="str">
        <f t="shared" ca="1" si="21"/>
        <v/>
      </c>
      <c r="P51" s="252" t="str">
        <f t="shared" ca="1" si="22"/>
        <v/>
      </c>
      <c r="Q51" s="252" t="str">
        <f t="shared" ca="1" si="23"/>
        <v/>
      </c>
      <c r="R51" s="252" t="str">
        <f t="shared" ca="1" si="24"/>
        <v/>
      </c>
      <c r="S51" s="252" t="str">
        <f t="shared" ca="1" si="25"/>
        <v/>
      </c>
      <c r="T51" s="252" t="str">
        <f t="shared" ca="1" si="26"/>
        <v/>
      </c>
      <c r="U51" s="252" t="str">
        <f t="shared" ca="1" si="27"/>
        <v/>
      </c>
      <c r="V51" s="252" t="str">
        <f t="shared" ca="1" si="28"/>
        <v/>
      </c>
      <c r="W51" s="252" t="str">
        <f t="shared" ca="1" si="29"/>
        <v xml:space="preserve"> </v>
      </c>
      <c r="X51" s="252" t="str">
        <f t="shared" ca="1" si="30"/>
        <v/>
      </c>
      <c r="Y51" s="252" t="str">
        <f t="shared" ca="1" si="31"/>
        <v/>
      </c>
      <c r="Z51" s="252" t="str">
        <f t="shared" ca="1" si="32"/>
        <v xml:space="preserve"> </v>
      </c>
      <c r="AB51" s="254" t="str">
        <f t="shared" ref="AB51:AM51" si="37">IF(IF((MOD($G$26+6,12)&gt;0),MOD($G$26+6,12),12)=AB$26,"Y","")</f>
        <v/>
      </c>
      <c r="AC51" s="254" t="str">
        <f t="shared" si="37"/>
        <v/>
      </c>
      <c r="AD51" s="254" t="str">
        <f t="shared" si="37"/>
        <v/>
      </c>
      <c r="AE51" s="254" t="str">
        <f t="shared" si="37"/>
        <v/>
      </c>
      <c r="AF51" s="254" t="str">
        <f t="shared" si="37"/>
        <v/>
      </c>
      <c r="AG51" s="254" t="str">
        <f t="shared" si="37"/>
        <v>Y</v>
      </c>
      <c r="AH51" s="254" t="str">
        <f t="shared" si="37"/>
        <v/>
      </c>
      <c r="AI51" s="254" t="str">
        <f t="shared" si="37"/>
        <v/>
      </c>
      <c r="AJ51" s="254" t="str">
        <f t="shared" si="37"/>
        <v/>
      </c>
      <c r="AK51" s="254" t="str">
        <f t="shared" si="37"/>
        <v/>
      </c>
      <c r="AL51" s="254" t="str">
        <f t="shared" si="37"/>
        <v/>
      </c>
      <c r="AM51" s="254" t="str">
        <f t="shared" si="37"/>
        <v/>
      </c>
      <c r="AN51" s="1"/>
    </row>
    <row r="52" spans="1:40">
      <c r="A52" s="25" t="s">
        <v>122</v>
      </c>
      <c r="B52" s="2" t="s">
        <v>119</v>
      </c>
      <c r="C52" s="5" t="s">
        <v>20</v>
      </c>
      <c r="D52" s="254" t="str">
        <f>IF(IF((MOD($H$26+6,12)&gt;0),MOD($H$26+6,12),12)=D$26,"Y","")</f>
        <v/>
      </c>
      <c r="E52" s="254" t="str">
        <f>IF(IF((MOD($H$26+6,12)&gt;0),MOD($H$26+6,12),12)=E$26,"Y","")</f>
        <v/>
      </c>
      <c r="F52" s="254" t="str">
        <f>IF(IF((MOD($H$26+6,12)&gt;0),MOD($H$26+6,12),12)=F$26,"Y","")</f>
        <v/>
      </c>
      <c r="G52" s="254" t="str">
        <f>IF(IF((MOD($H$26+6,12)&gt;0),MOD($H$26+6,12),12)=G$26,"Y","")</f>
        <v/>
      </c>
      <c r="H52" s="254"/>
      <c r="I52" s="254" t="str">
        <f>IF(IF((MOD($H$26+6,12)&gt;0),MOD($H$26+6,12),12)=I$26,"Y","")</f>
        <v/>
      </c>
      <c r="J52" s="254" t="str">
        <f>IF(IF((MOD($H$26+6,12)&gt;0),MOD($H$26+6,12),12)=J$26,"Y","")</f>
        <v>Y</v>
      </c>
      <c r="K52" s="254" t="str">
        <f>IF(IF((MOD($H$26+6,12)&gt;0),MOD($H$26+6,12),12)=K$26,"Y","")</f>
        <v/>
      </c>
      <c r="L52" s="254" t="str">
        <f>IF(IF((MOD($H$26+6,12)&gt;0),MOD($H$26+6,12),12)=L$26,"Y","")</f>
        <v/>
      </c>
      <c r="M52" s="254" t="str">
        <f>IF(IF((MOD($H$26+6,12)&gt;0),MOD($H$26+6,12),12)=M$26,"Y","")</f>
        <v/>
      </c>
      <c r="O52" s="252" t="str">
        <f t="shared" ca="1" si="21"/>
        <v xml:space="preserve"> </v>
      </c>
      <c r="P52" s="252" t="str">
        <f t="shared" ca="1" si="22"/>
        <v/>
      </c>
      <c r="Q52" s="252" t="str">
        <f t="shared" ca="1" si="23"/>
        <v>Y</v>
      </c>
      <c r="R52" s="252" t="str">
        <f t="shared" ca="1" si="24"/>
        <v/>
      </c>
      <c r="S52" s="252" t="str">
        <f t="shared" ca="1" si="25"/>
        <v/>
      </c>
      <c r="T52" s="252" t="str">
        <f t="shared" ca="1" si="26"/>
        <v>Y</v>
      </c>
      <c r="U52" s="252" t="str">
        <f t="shared" ca="1" si="27"/>
        <v/>
      </c>
      <c r="V52" s="252" t="str">
        <f t="shared" ca="1" si="28"/>
        <v xml:space="preserve"> </v>
      </c>
      <c r="W52" s="252" t="str">
        <f t="shared" ca="1" si="29"/>
        <v/>
      </c>
      <c r="X52" s="252" t="str">
        <f t="shared" ca="1" si="30"/>
        <v/>
      </c>
      <c r="Y52" s="252" t="str">
        <f t="shared" ca="1" si="31"/>
        <v/>
      </c>
      <c r="Z52" s="252" t="str">
        <f t="shared" ca="1" si="32"/>
        <v/>
      </c>
      <c r="AB52" s="254" t="str">
        <f t="shared" ref="AB52:AM52" si="38">IF(IF((MOD($H$26+6,12)&gt;0),MOD($H$26+6,12),12)=AB$26,"Y","")</f>
        <v/>
      </c>
      <c r="AC52" s="254" t="str">
        <f t="shared" si="38"/>
        <v/>
      </c>
      <c r="AD52" s="254" t="str">
        <f t="shared" si="38"/>
        <v/>
      </c>
      <c r="AE52" s="254" t="str">
        <f t="shared" si="38"/>
        <v/>
      </c>
      <c r="AF52" s="254" t="str">
        <f t="shared" si="38"/>
        <v>Y</v>
      </c>
      <c r="AG52" s="254" t="str">
        <f t="shared" si="38"/>
        <v/>
      </c>
      <c r="AH52" s="254" t="str">
        <f t="shared" si="38"/>
        <v/>
      </c>
      <c r="AI52" s="254" t="str">
        <f t="shared" si="38"/>
        <v/>
      </c>
      <c r="AJ52" s="254" t="str">
        <f t="shared" si="38"/>
        <v/>
      </c>
      <c r="AK52" s="254" t="str">
        <f t="shared" si="38"/>
        <v/>
      </c>
      <c r="AL52" s="254" t="str">
        <f t="shared" si="38"/>
        <v/>
      </c>
      <c r="AM52" s="254" t="str">
        <f t="shared" si="38"/>
        <v/>
      </c>
      <c r="AN52" s="1"/>
    </row>
    <row r="53" spans="1:40">
      <c r="A53" s="25" t="s">
        <v>123</v>
      </c>
      <c r="B53" s="2" t="s">
        <v>119</v>
      </c>
      <c r="C53" s="5" t="s">
        <v>21</v>
      </c>
      <c r="D53" s="254" t="str">
        <f>CONCATENATE(IF(IF((MOD($I$26+6,12)&gt;0),MOD($I$26+6,12),12)=D$26,"Y",""),IF(IF((MOD($I$26+3,12)&gt;0),MOD($I$26+3,12),12)=D$26,"Y",""),IF(IF((MOD($I$26+7,12)&gt;0),MOD($I$26+7,12),12)=D$26,"Y",""))</f>
        <v/>
      </c>
      <c r="E53" s="254" t="str">
        <f>CONCATENATE(IF(IF((MOD($I$26+6,12)&gt;0),MOD($I$26+6,12),12)=E$26,"Y",""),IF(IF((MOD($I$26+3,12)&gt;0),MOD($I$26+3,12),12)=E$26,"Y",""),IF(IF((MOD($I$26+7,12)&gt;0),MOD($I$26+7,12),12)=E$26,"Y",""))</f>
        <v/>
      </c>
      <c r="F53" s="254" t="str">
        <f>CONCATENATE(IF(IF((MOD($I$26+6,12)&gt;0),MOD($I$26+6,12),12)=F$26,"Y",""),IF(IF((MOD($I$26+3,12)&gt;0),MOD($I$26+3,12),12)=F$26,"Y",""),IF(IF((MOD($I$26+7,12)&gt;0),MOD($I$26+7,12),12)=F$26,"Y",""))</f>
        <v/>
      </c>
      <c r="G53" s="254" t="str">
        <f>CONCATENATE(IF(IF((MOD($I$26+6,12)&gt;0),MOD($I$26+6,12),12)=G$26,"Y",""),IF(IF((MOD($I$26+3,12)&gt;0),MOD($I$26+3,12),12)=G$26,"Y",""),IF(IF((MOD($I$26+7,12)&gt;0),MOD($I$26+7,12),12)=G$26,"Y",""))</f>
        <v/>
      </c>
      <c r="H53" s="254" t="str">
        <f>CONCATENATE(IF(IF((MOD($I$26+6,12)&gt;0),MOD($I$26+6,12),12)=H$26,"Y",""),IF(IF((MOD($I$26+3,12)&gt;0),MOD($I$26+3,12),12)=H$26,"Y",""),IF(IF((MOD($I$26+7,12)&gt;0),MOD($I$26+7,12),12)=H$26,"Y",""))</f>
        <v/>
      </c>
      <c r="I53" s="254"/>
      <c r="J53" s="254" t="str">
        <f>CONCATENATE(IF(IF((MOD($I$26+6,12)&gt;0),MOD($I$26+6,12),12)=J$26,"Y",""),IF(IF((MOD($I$26+3,12)&gt;0),MOD($I$26+3,12),12)=J$26,"Y",""),IF(IF((MOD($I$26+7,12)&gt;0),MOD($I$26+7,12),12)=J$26,"Y",""))</f>
        <v>Y</v>
      </c>
      <c r="K53" s="254" t="str">
        <f>CONCATENATE(IF(IF((MOD($I$26+6,12)&gt;0),MOD($I$26+6,12),12)=K$26,"Y",""),IF(IF((MOD($I$26+3,12)&gt;0),MOD($I$26+3,12),12)=K$26,"Y",""),IF(IF((MOD($I$26+7,12)&gt;0),MOD($I$26+7,12),12)=K$26,"Y",""))</f>
        <v/>
      </c>
      <c r="L53" s="254" t="str">
        <f>CONCATENATE(IF(IF((MOD($I$26+6,12)&gt;0),MOD($I$26+6,12),12)=L$26,"Y",""),IF(IF((MOD($I$26+3,12)&gt;0),MOD($I$26+3,12),12)=L$26,"Y",""),IF(IF((MOD($I$26+7,12)&gt;0),MOD($I$26+7,12),12)=L$26,"Y",""))</f>
        <v/>
      </c>
      <c r="M53" s="254" t="str">
        <f>CONCATENATE(IF(IF((MOD($I$26+6,12)&gt;0),MOD($I$26+6,12),12)=M$26,"Y",""),IF(IF((MOD($I$26+3,12)&gt;0),MOD($I$26+3,12),12)=M$26,"Y",""),IF(IF((MOD($I$26+7,12)&gt;0),MOD($I$26+7,12),12)=M$26,"Y",""))</f>
        <v/>
      </c>
      <c r="O53" s="252" t="str">
        <f t="shared" ca="1" si="21"/>
        <v/>
      </c>
      <c r="P53" s="252" t="str">
        <f t="shared" ca="1" si="22"/>
        <v xml:space="preserve"> </v>
      </c>
      <c r="Q53" s="252" t="str">
        <f t="shared" ca="1" si="23"/>
        <v>Y</v>
      </c>
      <c r="R53" s="252" t="str">
        <f t="shared" ca="1" si="24"/>
        <v/>
      </c>
      <c r="S53" s="252" t="str">
        <f t="shared" ca="1" si="25"/>
        <v/>
      </c>
      <c r="T53" s="252" t="str">
        <f t="shared" ca="1" si="26"/>
        <v>Y</v>
      </c>
      <c r="U53" s="252" t="str">
        <f t="shared" ca="1" si="27"/>
        <v xml:space="preserve"> </v>
      </c>
      <c r="V53" s="252" t="str">
        <f t="shared" ca="1" si="28"/>
        <v/>
      </c>
      <c r="W53" s="252" t="str">
        <f t="shared" ca="1" si="29"/>
        <v/>
      </c>
      <c r="X53" s="252" t="str">
        <f t="shared" ca="1" si="30"/>
        <v/>
      </c>
      <c r="Y53" s="252" t="str">
        <f t="shared" ca="1" si="31"/>
        <v/>
      </c>
      <c r="Z53" s="252" t="str">
        <f t="shared" ca="1" si="32"/>
        <v/>
      </c>
      <c r="AB53" s="254" t="str">
        <f t="shared" ref="AB53:AM53" si="39">CONCATENATE(IF(IF((MOD($I$26+6,12)&gt;0),MOD($I$26+6,12),12)=AB$26,"Y",""),IF(IF((MOD($I$26+3,12)&gt;0),MOD($I$26+3,12),12)=AB$26,"Y",""),IF(IF((MOD($I$26+7,12)&gt;0),MOD($I$26+7,12),12)=AB$26,"Y",""))</f>
        <v/>
      </c>
      <c r="AC53" s="254" t="str">
        <f t="shared" si="39"/>
        <v/>
      </c>
      <c r="AD53" s="254" t="str">
        <f t="shared" si="39"/>
        <v/>
      </c>
      <c r="AE53" s="254" t="str">
        <f t="shared" si="39"/>
        <v/>
      </c>
      <c r="AF53" s="254" t="str">
        <f t="shared" si="39"/>
        <v>Y</v>
      </c>
      <c r="AG53" s="254" t="str">
        <f t="shared" si="39"/>
        <v/>
      </c>
      <c r="AH53" s="254" t="str">
        <f t="shared" si="39"/>
        <v/>
      </c>
      <c r="AI53" s="254" t="str">
        <f t="shared" si="39"/>
        <v>Y</v>
      </c>
      <c r="AJ53" s="254" t="str">
        <f t="shared" si="39"/>
        <v>Y</v>
      </c>
      <c r="AK53" s="254" t="str">
        <f t="shared" si="39"/>
        <v/>
      </c>
      <c r="AL53" s="254" t="str">
        <f t="shared" si="39"/>
        <v/>
      </c>
      <c r="AM53" s="254" t="str">
        <f t="shared" si="39"/>
        <v/>
      </c>
      <c r="AN53" s="1"/>
    </row>
    <row r="54" spans="1:40">
      <c r="A54" s="25" t="s">
        <v>124</v>
      </c>
      <c r="B54" s="2" t="s">
        <v>119</v>
      </c>
      <c r="C54" s="5" t="s">
        <v>22</v>
      </c>
      <c r="D54" s="254" t="str">
        <f t="shared" ref="D54:I54" si="40">CONCATENATE(IF(IF((MOD($J$26+6,12)&gt;0),MOD($J$26+6,12),12)=D$26,"Y",""),IF(IF((MOD($J$26+4,12)&gt;0),MOD($J$26+4,12),12)=D$26,"Y",""),IF(IF((MOD($J$26+8,12)&gt;0),MOD($J$26+8,12),12)=D$26,"Y",""))</f>
        <v>Y</v>
      </c>
      <c r="E54" s="254" t="str">
        <f t="shared" si="40"/>
        <v/>
      </c>
      <c r="F54" s="254" t="str">
        <f t="shared" si="40"/>
        <v/>
      </c>
      <c r="G54" s="254" t="str">
        <f t="shared" si="40"/>
        <v/>
      </c>
      <c r="H54" s="254" t="str">
        <f t="shared" si="40"/>
        <v>Y</v>
      </c>
      <c r="I54" s="254" t="str">
        <f t="shared" si="40"/>
        <v/>
      </c>
      <c r="J54" s="254"/>
      <c r="K54" s="254" t="str">
        <f>CONCATENATE(IF(IF((MOD($J$26+6,12)&gt;0),MOD($J$26+6,12),12)=K$26,"Y",""),IF(IF((MOD($J$26+4,12)&gt;0),MOD($J$26+4,12),12)=K$26,"Y",""),IF(IF((MOD($J$26+8,12)&gt;0),MOD($J$26+8,12),12)=K$26,"Y",""))</f>
        <v>Y</v>
      </c>
      <c r="L54" s="254" t="str">
        <f>CONCATENATE(IF(IF((MOD($J$26+6,12)&gt;0),MOD($J$26+6,12),12)=L$26,"Y",""),IF(IF((MOD($J$26+4,12)&gt;0),MOD($J$26+4,12),12)=L$26,"Y",""),IF(IF((MOD($J$26+8,12)&gt;0),MOD($J$26+8,12),12)=L$26,"Y",""))</f>
        <v/>
      </c>
      <c r="M54" s="254" t="str">
        <f>CONCATENATE(IF(IF((MOD($J$26+6,12)&gt;0),MOD($J$26+6,12),12)=M$26,"Y",""),IF(IF((MOD($J$26+4,12)&gt;0),MOD($J$26+4,12),12)=M$26,"Y",""),IF(IF((MOD($J$26+8,12)&gt;0),MOD($J$26+8,12),12)=M$26,"Y",""))</f>
        <v/>
      </c>
      <c r="O54" s="252" t="str">
        <f t="shared" ca="1" si="21"/>
        <v>Y</v>
      </c>
      <c r="P54" s="252" t="str">
        <f t="shared" ca="1" si="22"/>
        <v/>
      </c>
      <c r="Q54" s="252" t="str">
        <f t="shared" ca="1" si="23"/>
        <v xml:space="preserve"> </v>
      </c>
      <c r="R54" s="252" t="str">
        <f t="shared" ca="1" si="24"/>
        <v>Y</v>
      </c>
      <c r="S54" s="252" t="str">
        <f t="shared" ca="1" si="25"/>
        <v>Y</v>
      </c>
      <c r="T54" s="252" t="str">
        <f t="shared" ca="1" si="26"/>
        <v xml:space="preserve"> </v>
      </c>
      <c r="U54" s="252" t="str">
        <f t="shared" ca="1" si="27"/>
        <v/>
      </c>
      <c r="V54" s="252" t="str">
        <f t="shared" ca="1" si="28"/>
        <v>Y</v>
      </c>
      <c r="W54" s="252" t="str">
        <f t="shared" ca="1" si="29"/>
        <v/>
      </c>
      <c r="X54" s="252" t="str">
        <f t="shared" ca="1" si="30"/>
        <v/>
      </c>
      <c r="Y54" s="252" t="str">
        <f t="shared" ca="1" si="31"/>
        <v/>
      </c>
      <c r="Z54" s="252" t="str">
        <f t="shared" ca="1" si="32"/>
        <v/>
      </c>
      <c r="AB54" s="254" t="str">
        <f t="shared" ref="AB54:AM54" si="41">CONCATENATE(IF(IF((MOD($J$26+6,12)&gt;0),MOD($J$26+6,12),12)=AB$26,"Y",""),IF(IF((MOD($J$26+4,12)&gt;0),MOD($J$26+4,12),12)=AB$26,"Y",""),IF(IF((MOD($J$26+8,12)&gt;0),MOD($J$26+8,12),12)=AB$26,"Y",""))</f>
        <v>Y</v>
      </c>
      <c r="AC54" s="254" t="str">
        <f t="shared" si="41"/>
        <v/>
      </c>
      <c r="AD54" s="254" t="str">
        <f t="shared" si="41"/>
        <v/>
      </c>
      <c r="AE54" s="254" t="str">
        <f t="shared" si="41"/>
        <v/>
      </c>
      <c r="AF54" s="254" t="str">
        <f t="shared" si="41"/>
        <v/>
      </c>
      <c r="AG54" s="254" t="str">
        <f t="shared" si="41"/>
        <v/>
      </c>
      <c r="AH54" s="254" t="str">
        <f t="shared" si="41"/>
        <v/>
      </c>
      <c r="AI54" s="254" t="str">
        <f t="shared" si="41"/>
        <v/>
      </c>
      <c r="AJ54" s="254" t="str">
        <f t="shared" si="41"/>
        <v>Y</v>
      </c>
      <c r="AK54" s="254" t="str">
        <f t="shared" si="41"/>
        <v/>
      </c>
      <c r="AL54" s="254" t="str">
        <f t="shared" si="41"/>
        <v>Y</v>
      </c>
      <c r="AM54" s="254" t="str">
        <f t="shared" si="41"/>
        <v/>
      </c>
      <c r="AN54" s="1"/>
    </row>
    <row r="55" spans="1:40">
      <c r="A55" s="25" t="s">
        <v>125</v>
      </c>
      <c r="B55" s="2" t="s">
        <v>119</v>
      </c>
      <c r="C55" s="5" t="s">
        <v>23</v>
      </c>
      <c r="D55" s="254" t="str">
        <f t="shared" ref="D55:J55" si="42">CONCATENATE(IF(IF((MOD($K$26+6,12)&gt;0),MOD($K$26+6,12),12)=D$26,"Y",""),IF(IF((MOD($K$26+2,12)&gt;0),MOD($K$26+2,12),12)=D$26,"Y",""),IF(IF((MOD($K$26+9,12)&gt;0),MOD($K$26+9,12),12)=D$26,"Y",""))</f>
        <v>Y</v>
      </c>
      <c r="E55" s="254" t="str">
        <f t="shared" si="42"/>
        <v/>
      </c>
      <c r="F55" s="254" t="str">
        <f t="shared" si="42"/>
        <v/>
      </c>
      <c r="G55" s="254" t="str">
        <f t="shared" si="42"/>
        <v/>
      </c>
      <c r="H55" s="254" t="str">
        <f t="shared" si="42"/>
        <v/>
      </c>
      <c r="I55" s="254" t="str">
        <f t="shared" si="42"/>
        <v/>
      </c>
      <c r="J55" s="254" t="str">
        <f t="shared" si="42"/>
        <v>Y</v>
      </c>
      <c r="K55" s="254"/>
      <c r="L55" s="254" t="str">
        <f>CONCATENATE(IF(IF((MOD($K$26+6,12)&gt;0),MOD($K$26+6,12),12)=L$26,"Y",""),IF(IF((MOD($K$26+2,12)&gt;0),MOD($K$26+2,12),12)=L$26,"Y",""),IF(IF((MOD($K$26+9,12)&gt;0),MOD($K$26+9,12),12)=L$26,"Y",""))</f>
        <v/>
      </c>
      <c r="M55" s="254" t="str">
        <f>CONCATENATE(IF(IF((MOD($K$26+6,12)&gt;0),MOD($K$26+6,12),12)=M$26,"Y",""),IF(IF((MOD($K$26+2,12)&gt;0),MOD($K$26+2,12),12)=M$26,"Y",""),IF(IF((MOD($K$26+9,12)&gt;0),MOD($K$26+9,12),12)=M$26,"Y",""))</f>
        <v/>
      </c>
      <c r="O55" s="252" t="str">
        <f t="shared" ca="1" si="21"/>
        <v/>
      </c>
      <c r="P55" s="252" t="str">
        <f t="shared" ca="1" si="22"/>
        <v/>
      </c>
      <c r="Q55" s="252" t="str">
        <f t="shared" ca="1" si="23"/>
        <v>Y</v>
      </c>
      <c r="R55" s="252" t="str">
        <f t="shared" ca="1" si="24"/>
        <v xml:space="preserve"> </v>
      </c>
      <c r="S55" s="252" t="str">
        <f t="shared" ca="1" si="25"/>
        <v xml:space="preserve"> </v>
      </c>
      <c r="T55" s="252" t="str">
        <f t="shared" ca="1" si="26"/>
        <v>Y</v>
      </c>
      <c r="U55" s="252" t="str">
        <f t="shared" ca="1" si="27"/>
        <v/>
      </c>
      <c r="V55" s="252" t="str">
        <f t="shared" ca="1" si="28"/>
        <v/>
      </c>
      <c r="W55" s="252" t="str">
        <f t="shared" ca="1" si="29"/>
        <v/>
      </c>
      <c r="X55" s="252" t="str">
        <f t="shared" ca="1" si="30"/>
        <v/>
      </c>
      <c r="Y55" s="252" t="str">
        <f t="shared" ca="1" si="31"/>
        <v/>
      </c>
      <c r="Z55" s="252" t="str">
        <f t="shared" ca="1" si="32"/>
        <v/>
      </c>
      <c r="AB55" s="254" t="str">
        <f t="shared" ref="AB55:AM55" si="43">CONCATENATE(IF(IF((MOD($K$26+6,12)&gt;0),MOD($K$26+6,12),12)=AB$26,"Y",""),IF(IF((MOD($K$26+2,12)&gt;0),MOD($K$26+2,12),12)=AB$26,"Y",""),IF(IF((MOD($K$26+9,12)&gt;0),MOD($K$26+9,12),12)=AB$26,"Y",""))</f>
        <v>Y</v>
      </c>
      <c r="AC55" s="254" t="str">
        <f t="shared" si="43"/>
        <v/>
      </c>
      <c r="AD55" s="254" t="str">
        <f t="shared" si="43"/>
        <v/>
      </c>
      <c r="AE55" s="254" t="str">
        <f t="shared" si="43"/>
        <v/>
      </c>
      <c r="AF55" s="254" t="str">
        <f t="shared" si="43"/>
        <v>Y</v>
      </c>
      <c r="AG55" s="254" t="str">
        <f t="shared" si="43"/>
        <v/>
      </c>
      <c r="AH55" s="254" t="str">
        <f t="shared" si="43"/>
        <v/>
      </c>
      <c r="AI55" s="254" t="str">
        <f t="shared" si="43"/>
        <v>Y</v>
      </c>
      <c r="AJ55" s="254" t="str">
        <f t="shared" si="43"/>
        <v/>
      </c>
      <c r="AK55" s="254" t="str">
        <f t="shared" si="43"/>
        <v/>
      </c>
      <c r="AL55" s="254" t="str">
        <f t="shared" si="43"/>
        <v/>
      </c>
      <c r="AM55" s="254" t="str">
        <f t="shared" si="43"/>
        <v/>
      </c>
      <c r="AN55" s="1"/>
    </row>
    <row r="56" spans="1:40">
      <c r="A56" s="25" t="s">
        <v>126</v>
      </c>
      <c r="B56" s="2" t="s">
        <v>119</v>
      </c>
      <c r="C56" s="5" t="s">
        <v>24</v>
      </c>
      <c r="D56" s="254" t="str">
        <f t="shared" ref="D56:K56" si="44">IF(IF((MOD($L$26+6,12)&gt;0),MOD($L$26+6,12),12)=D$26,"Y","")</f>
        <v/>
      </c>
      <c r="E56" s="254" t="str">
        <f t="shared" si="44"/>
        <v>Y</v>
      </c>
      <c r="F56" s="254" t="str">
        <f t="shared" si="44"/>
        <v/>
      </c>
      <c r="G56" s="254" t="str">
        <f t="shared" si="44"/>
        <v>Y</v>
      </c>
      <c r="H56" s="254" t="str">
        <f t="shared" si="44"/>
        <v/>
      </c>
      <c r="I56" s="254" t="str">
        <f t="shared" si="44"/>
        <v/>
      </c>
      <c r="J56" s="254" t="str">
        <f t="shared" si="44"/>
        <v/>
      </c>
      <c r="K56" s="254" t="str">
        <f t="shared" si="44"/>
        <v/>
      </c>
      <c r="L56" s="254"/>
      <c r="M56" s="254"/>
      <c r="O56" s="252" t="str">
        <f t="shared" ca="1" si="21"/>
        <v/>
      </c>
      <c r="P56" s="252" t="str">
        <f t="shared" ca="1" si="22"/>
        <v/>
      </c>
      <c r="Q56" s="252" t="str">
        <f t="shared" ca="1" si="23"/>
        <v/>
      </c>
      <c r="R56" s="252" t="str">
        <f t="shared" ca="1" si="24"/>
        <v/>
      </c>
      <c r="S56" s="252" t="str">
        <f t="shared" ca="1" si="25"/>
        <v/>
      </c>
      <c r="T56" s="252" t="str">
        <f t="shared" ca="1" si="26"/>
        <v/>
      </c>
      <c r="U56" s="252" t="str">
        <f t="shared" ca="1" si="27"/>
        <v/>
      </c>
      <c r="V56" s="252" t="str">
        <f t="shared" ca="1" si="28"/>
        <v/>
      </c>
      <c r="W56" s="252" t="str">
        <f t="shared" ca="1" si="29"/>
        <v>Y</v>
      </c>
      <c r="X56" s="252" t="str">
        <f t="shared" ca="1" si="30"/>
        <v/>
      </c>
      <c r="Y56" s="252" t="str">
        <f t="shared" ca="1" si="31"/>
        <v>Y</v>
      </c>
      <c r="Z56" s="252" t="str">
        <f t="shared" ca="1" si="32"/>
        <v>Y</v>
      </c>
      <c r="AB56" s="254" t="str">
        <f t="shared" ref="AB56:AM56" si="45">IF(IF((MOD($L$26+6,12)&gt;0),MOD($L$26+6,12),12)=AB$26,"Y","")</f>
        <v/>
      </c>
      <c r="AC56" s="254" t="str">
        <f t="shared" si="45"/>
        <v/>
      </c>
      <c r="AD56" s="254" t="str">
        <f t="shared" si="45"/>
        <v/>
      </c>
      <c r="AE56" s="254" t="str">
        <f t="shared" si="45"/>
        <v/>
      </c>
      <c r="AF56" s="254" t="str">
        <f t="shared" si="45"/>
        <v/>
      </c>
      <c r="AG56" s="254" t="str">
        <f t="shared" si="45"/>
        <v/>
      </c>
      <c r="AH56" s="254" t="str">
        <f t="shared" si="45"/>
        <v/>
      </c>
      <c r="AI56" s="254" t="str">
        <f t="shared" si="45"/>
        <v/>
      </c>
      <c r="AJ56" s="254" t="str">
        <f t="shared" si="45"/>
        <v/>
      </c>
      <c r="AK56" s="254" t="str">
        <f t="shared" si="45"/>
        <v/>
      </c>
      <c r="AL56" s="254" t="str">
        <f t="shared" si="45"/>
        <v/>
      </c>
      <c r="AM56" s="254" t="str">
        <f t="shared" si="45"/>
        <v>Y</v>
      </c>
      <c r="AN56" s="1"/>
    </row>
    <row r="57" spans="1:40">
      <c r="A57" s="25" t="s">
        <v>127</v>
      </c>
      <c r="B57" s="2" t="s">
        <v>119</v>
      </c>
      <c r="C57" s="5" t="s">
        <v>25</v>
      </c>
      <c r="D57" s="254" t="str">
        <f t="shared" ref="D57:K57" si="46">IF(IF((MOD($M$26+6,12)&gt;0),MOD($M$26+6,12),12)=D$26,"Y","")</f>
        <v/>
      </c>
      <c r="E57" s="254" t="str">
        <f t="shared" si="46"/>
        <v/>
      </c>
      <c r="F57" s="254" t="str">
        <f t="shared" si="46"/>
        <v/>
      </c>
      <c r="G57" s="254" t="str">
        <f t="shared" si="46"/>
        <v/>
      </c>
      <c r="H57" s="254" t="str">
        <f t="shared" si="46"/>
        <v/>
      </c>
      <c r="I57" s="254" t="str">
        <f t="shared" si="46"/>
        <v/>
      </c>
      <c r="J57" s="254" t="str">
        <f t="shared" si="46"/>
        <v/>
      </c>
      <c r="K57" s="254" t="str">
        <f t="shared" si="46"/>
        <v/>
      </c>
      <c r="L57" s="254"/>
      <c r="M57" s="254"/>
      <c r="O57" s="252" t="str">
        <f t="shared" ca="1" si="21"/>
        <v/>
      </c>
      <c r="P57" s="252" t="str">
        <f t="shared" ca="1" si="22"/>
        <v/>
      </c>
      <c r="Q57" s="252" t="str">
        <f t="shared" ca="1" si="23"/>
        <v/>
      </c>
      <c r="R57" s="252" t="str">
        <f t="shared" ca="1" si="24"/>
        <v/>
      </c>
      <c r="S57" s="252" t="str">
        <f t="shared" ca="1" si="25"/>
        <v/>
      </c>
      <c r="T57" s="252" t="str">
        <f t="shared" ca="1" si="26"/>
        <v/>
      </c>
      <c r="U57" s="252" t="str">
        <f t="shared" ca="1" si="27"/>
        <v/>
      </c>
      <c r="V57" s="252" t="str">
        <f t="shared" ca="1" si="28"/>
        <v/>
      </c>
      <c r="W57" s="252" t="str">
        <f t="shared" ca="1" si="29"/>
        <v/>
      </c>
      <c r="X57" s="252" t="str">
        <f t="shared" ca="1" si="30"/>
        <v/>
      </c>
      <c r="Y57" s="252" t="str">
        <f t="shared" ca="1" si="31"/>
        <v/>
      </c>
      <c r="Z57" s="252" t="str">
        <f t="shared" ca="1" si="32"/>
        <v/>
      </c>
      <c r="AB57" s="254" t="str">
        <f t="shared" ref="AB57:AM57" si="47">IF(IF((MOD($M$26+6,12)&gt;0),MOD($M$26+6,12),12)=AB$26,"Y","")</f>
        <v/>
      </c>
      <c r="AC57" s="254" t="str">
        <f t="shared" si="47"/>
        <v/>
      </c>
      <c r="AD57" s="254" t="str">
        <f t="shared" si="47"/>
        <v/>
      </c>
      <c r="AE57" s="254" t="str">
        <f t="shared" si="47"/>
        <v/>
      </c>
      <c r="AF57" s="254" t="str">
        <f t="shared" si="47"/>
        <v/>
      </c>
      <c r="AG57" s="254" t="str">
        <f t="shared" si="47"/>
        <v>Y</v>
      </c>
      <c r="AH57" s="254" t="str">
        <f t="shared" si="47"/>
        <v/>
      </c>
      <c r="AI57" s="254" t="str">
        <f t="shared" si="47"/>
        <v/>
      </c>
      <c r="AJ57" s="254" t="str">
        <f t="shared" si="47"/>
        <v/>
      </c>
      <c r="AK57" s="254" t="str">
        <f t="shared" si="47"/>
        <v/>
      </c>
      <c r="AL57" s="254" t="str">
        <f t="shared" si="47"/>
        <v/>
      </c>
      <c r="AM57" s="254" t="str">
        <f t="shared" si="47"/>
        <v/>
      </c>
      <c r="AN57" s="1"/>
    </row>
    <row r="58" spans="1:40">
      <c r="A58" s="25"/>
      <c r="B58" s="3"/>
      <c r="C58" s="6"/>
      <c r="O58" s="57"/>
      <c r="P58" s="57"/>
      <c r="Q58" s="57"/>
      <c r="R58" s="57"/>
      <c r="S58" s="57"/>
      <c r="T58" s="57"/>
      <c r="U58" s="57"/>
      <c r="V58" s="57"/>
      <c r="W58" s="57"/>
      <c r="X58" s="57"/>
      <c r="Y58" s="57"/>
      <c r="Z58" s="57"/>
      <c r="AN58" s="1"/>
    </row>
    <row r="59" spans="1:40">
      <c r="A59" s="25" t="s">
        <v>128</v>
      </c>
      <c r="B59" s="2" t="s">
        <v>119</v>
      </c>
      <c r="C59" s="5" t="s">
        <v>26</v>
      </c>
      <c r="D59" s="254" t="str">
        <f t="shared" ref="D59:M59" ca="1" si="48">IF(ISBLANK(OFFSET(D$48,$O$34,0)),"",OFFSET(D$48,$O$34,0))</f>
        <v/>
      </c>
      <c r="E59" s="254" t="str">
        <f t="shared" ca="1" si="48"/>
        <v/>
      </c>
      <c r="F59" s="254" t="str">
        <f t="shared" ca="1" si="48"/>
        <v/>
      </c>
      <c r="G59" s="254" t="str">
        <f t="shared" ca="1" si="48"/>
        <v/>
      </c>
      <c r="H59" s="254" t="str">
        <f t="shared" ca="1" si="48"/>
        <v/>
      </c>
      <c r="I59" s="254" t="str">
        <f t="shared" ca="1" si="48"/>
        <v/>
      </c>
      <c r="J59" s="254" t="str">
        <f t="shared" ca="1" si="48"/>
        <v>Y</v>
      </c>
      <c r="K59" s="254" t="str">
        <f t="shared" ca="1" si="48"/>
        <v/>
      </c>
      <c r="L59" s="254" t="str">
        <f t="shared" ca="1" si="48"/>
        <v/>
      </c>
      <c r="M59" s="254" t="str">
        <f t="shared" ca="1" si="48"/>
        <v/>
      </c>
      <c r="O59" s="252" t="str">
        <f t="shared" ref="O59:O70" ca="1" si="49">IF(ISBLANK(OFFSET(O59,0,-11+O$34))," ",OFFSET(O59,0,-11+O$34))</f>
        <v/>
      </c>
      <c r="P59" s="252" t="str">
        <f t="shared" ref="P59:P70" ca="1" si="50">IF(ISBLANK(OFFSET(P59,0,-12+P$34))," ",OFFSET(P59,0,-12+P$34))</f>
        <v/>
      </c>
      <c r="Q59" s="252" t="str">
        <f t="shared" ref="Q59:Q70" ca="1" si="51">IF(ISBLANK(OFFSET(Q59,0,-13+Q$34))," ",OFFSET(Q59,0,-13+Q$34))</f>
        <v>Y</v>
      </c>
      <c r="R59" s="252" t="str">
        <f t="shared" ref="R59:R70" ca="1" si="52">IF(ISBLANK(OFFSET(R59,0,-14+R$34))," ",OFFSET(R59,0,-14+R$34))</f>
        <v/>
      </c>
      <c r="S59" s="252" t="str">
        <f t="shared" ref="S59:S70" ca="1" si="53">IF(ISBLANK(OFFSET(S59,0,-15+S$34))," ",OFFSET(S59,0,-15+S$34))</f>
        <v/>
      </c>
      <c r="T59" s="252" t="str">
        <f t="shared" ref="T59:T70" ca="1" si="54">IF(ISBLANK(OFFSET(T59,0,-16+T$34))," ",OFFSET(T59,0,-16+T$34))</f>
        <v>Y</v>
      </c>
      <c r="U59" s="252" t="str">
        <f t="shared" ref="U59:U70" ca="1" si="55">IF(ISBLANK(OFFSET(U59,0,-17+U$34))," ",OFFSET(U59,0,-17+U$34))</f>
        <v/>
      </c>
      <c r="V59" s="252" t="str">
        <f t="shared" ref="V59:V70" ca="1" si="56">IF(ISBLANK(OFFSET(V59,0,-18+V$34))," ",OFFSET(V59,0,-18+V$34))</f>
        <v/>
      </c>
      <c r="W59" s="252" t="str">
        <f t="shared" ref="W59:W70" ca="1" si="57">IF(ISBLANK(OFFSET(W59,0,-19+W$34))," ",OFFSET(W59,0,-19+W$34))</f>
        <v/>
      </c>
      <c r="X59" s="252" t="str">
        <f t="shared" ref="X59:X70" ca="1" si="58">IF(ISBLANK(OFFSET(X59,0,-20+X$34))," ",OFFSET(X59,0,-20+X$34))</f>
        <v/>
      </c>
      <c r="Y59" s="252" t="str">
        <f t="shared" ref="Y59:Y70" ca="1" si="59">IF(ISBLANK(OFFSET(Y59,0,-21+Y$34))," ",OFFSET(Y59,0,-21+Y$34))</f>
        <v/>
      </c>
      <c r="Z59" s="252" t="str">
        <f t="shared" ref="Z59:Z70" ca="1" si="60">IF(ISBLANK(OFFSET(Z59,0,-22+Z$34))," ",OFFSET(Z59,0,-22+Z$34))</f>
        <v/>
      </c>
      <c r="AB59" s="254" t="str">
        <f t="shared" ref="AB59:AM59" ca="1" si="61">IF(ISBLANK(OFFSET(AB$48,$O$34,0)),"",OFFSET(AB$48,$O$34,0))</f>
        <v/>
      </c>
      <c r="AC59" s="254" t="str">
        <f t="shared" ca="1" si="61"/>
        <v/>
      </c>
      <c r="AD59" s="254" t="str">
        <f t="shared" ca="1" si="61"/>
        <v/>
      </c>
      <c r="AE59" s="254" t="str">
        <f t="shared" ca="1" si="61"/>
        <v/>
      </c>
      <c r="AF59" s="254" t="str">
        <f t="shared" ca="1" si="61"/>
        <v>Y</v>
      </c>
      <c r="AG59" s="254" t="str">
        <f t="shared" ca="1" si="61"/>
        <v/>
      </c>
      <c r="AH59" s="254" t="str">
        <f t="shared" ca="1" si="61"/>
        <v/>
      </c>
      <c r="AI59" s="254" t="str">
        <f t="shared" ca="1" si="61"/>
        <v/>
      </c>
      <c r="AJ59" s="254" t="str">
        <f t="shared" ca="1" si="61"/>
        <v/>
      </c>
      <c r="AK59" s="254" t="str">
        <f t="shared" ca="1" si="61"/>
        <v/>
      </c>
      <c r="AL59" s="254" t="str">
        <f t="shared" ca="1" si="61"/>
        <v/>
      </c>
      <c r="AM59" s="254" t="str">
        <f t="shared" ca="1" si="61"/>
        <v/>
      </c>
      <c r="AN59" s="1"/>
    </row>
    <row r="60" spans="1:40">
      <c r="A60" s="25" t="s">
        <v>129</v>
      </c>
      <c r="B60" s="2" t="s">
        <v>119</v>
      </c>
      <c r="C60" s="5" t="s">
        <v>27</v>
      </c>
      <c r="D60" s="254" t="str">
        <f t="shared" ref="D60:M60" ca="1" si="62">IF(ISBLANK(OFFSET(D$48,$P$34,0)),"",OFFSET(D$48,$P$34,0))</f>
        <v/>
      </c>
      <c r="E60" s="254" t="str">
        <f t="shared" ca="1" si="62"/>
        <v/>
      </c>
      <c r="F60" s="254" t="str">
        <f t="shared" ca="1" si="62"/>
        <v/>
      </c>
      <c r="G60" s="254" t="str">
        <f t="shared" ca="1" si="62"/>
        <v/>
      </c>
      <c r="H60" s="254" t="str">
        <f t="shared" ca="1" si="62"/>
        <v/>
      </c>
      <c r="I60" s="254" t="str">
        <f t="shared" ca="1" si="62"/>
        <v/>
      </c>
      <c r="J60" s="254" t="str">
        <f t="shared" ca="1" si="62"/>
        <v>Y</v>
      </c>
      <c r="K60" s="254" t="str">
        <f t="shared" ca="1" si="62"/>
        <v/>
      </c>
      <c r="L60" s="254" t="str">
        <f t="shared" ca="1" si="62"/>
        <v/>
      </c>
      <c r="M60" s="254" t="str">
        <f t="shared" ca="1" si="62"/>
        <v/>
      </c>
      <c r="O60" s="252" t="str">
        <f t="shared" ca="1" si="49"/>
        <v/>
      </c>
      <c r="P60" s="252" t="str">
        <f t="shared" ca="1" si="50"/>
        <v/>
      </c>
      <c r="Q60" s="252" t="str">
        <f t="shared" ca="1" si="51"/>
        <v>Y</v>
      </c>
      <c r="R60" s="252" t="str">
        <f t="shared" ca="1" si="52"/>
        <v/>
      </c>
      <c r="S60" s="252" t="str">
        <f t="shared" ca="1" si="53"/>
        <v/>
      </c>
      <c r="T60" s="252" t="str">
        <f t="shared" ca="1" si="54"/>
        <v>Y</v>
      </c>
      <c r="U60" s="252" t="str">
        <f t="shared" ca="1" si="55"/>
        <v/>
      </c>
      <c r="V60" s="252" t="str">
        <f t="shared" ca="1" si="56"/>
        <v/>
      </c>
      <c r="W60" s="252" t="str">
        <f t="shared" ca="1" si="57"/>
        <v/>
      </c>
      <c r="X60" s="252" t="str">
        <f t="shared" ca="1" si="58"/>
        <v/>
      </c>
      <c r="Y60" s="252" t="str">
        <f t="shared" ca="1" si="59"/>
        <v/>
      </c>
      <c r="Z60" s="252" t="str">
        <f t="shared" ca="1" si="60"/>
        <v/>
      </c>
      <c r="AB60" s="254" t="str">
        <f t="shared" ref="AB60:AM60" ca="1" si="63">IF(ISBLANK(OFFSET(AB$48,$P$34,0)),"",OFFSET(AB$48,$P$34,0))</f>
        <v/>
      </c>
      <c r="AC60" s="254" t="str">
        <f t="shared" ca="1" si="63"/>
        <v/>
      </c>
      <c r="AD60" s="254" t="str">
        <f t="shared" ca="1" si="63"/>
        <v/>
      </c>
      <c r="AE60" s="254" t="str">
        <f t="shared" ca="1" si="63"/>
        <v/>
      </c>
      <c r="AF60" s="254" t="str">
        <f t="shared" ca="1" si="63"/>
        <v>Y</v>
      </c>
      <c r="AG60" s="254" t="str">
        <f t="shared" ca="1" si="63"/>
        <v/>
      </c>
      <c r="AH60" s="254" t="str">
        <f t="shared" ca="1" si="63"/>
        <v/>
      </c>
      <c r="AI60" s="254" t="str">
        <f t="shared" ca="1" si="63"/>
        <v>Y</v>
      </c>
      <c r="AJ60" s="254" t="str">
        <f t="shared" ca="1" si="63"/>
        <v>Y</v>
      </c>
      <c r="AK60" s="254" t="str">
        <f t="shared" ca="1" si="63"/>
        <v/>
      </c>
      <c r="AL60" s="254" t="str">
        <f t="shared" ca="1" si="63"/>
        <v/>
      </c>
      <c r="AM60" s="254" t="str">
        <f t="shared" ca="1" si="63"/>
        <v/>
      </c>
      <c r="AN60" s="1"/>
    </row>
    <row r="61" spans="1:40">
      <c r="A61" s="25" t="s">
        <v>130</v>
      </c>
      <c r="B61" s="2" t="s">
        <v>119</v>
      </c>
      <c r="C61" s="5" t="s">
        <v>28</v>
      </c>
      <c r="D61" s="254" t="str">
        <f t="shared" ref="D61:M61" ca="1" si="64">IF(ISBLANK(OFFSET(D$48,$Q$34,0)),"",OFFSET(D$48,$Q$34,0))</f>
        <v>Y</v>
      </c>
      <c r="E61" s="254" t="str">
        <f t="shared" ca="1" si="64"/>
        <v/>
      </c>
      <c r="F61" s="254" t="str">
        <f t="shared" ca="1" si="64"/>
        <v/>
      </c>
      <c r="G61" s="254" t="str">
        <f t="shared" ca="1" si="64"/>
        <v/>
      </c>
      <c r="H61" s="254" t="str">
        <f t="shared" ca="1" si="64"/>
        <v>Y</v>
      </c>
      <c r="I61" s="254" t="str">
        <f t="shared" ca="1" si="64"/>
        <v/>
      </c>
      <c r="J61" s="254" t="str">
        <f t="shared" ca="1" si="64"/>
        <v/>
      </c>
      <c r="K61" s="254" t="str">
        <f t="shared" ca="1" si="64"/>
        <v>Y</v>
      </c>
      <c r="L61" s="254" t="str">
        <f t="shared" ca="1" si="64"/>
        <v/>
      </c>
      <c r="M61" s="254" t="str">
        <f t="shared" ca="1" si="64"/>
        <v/>
      </c>
      <c r="O61" s="252" t="str">
        <f t="shared" ca="1" si="49"/>
        <v>Y</v>
      </c>
      <c r="P61" s="252" t="str">
        <f t="shared" ca="1" si="50"/>
        <v/>
      </c>
      <c r="Q61" s="252" t="str">
        <f t="shared" ca="1" si="51"/>
        <v/>
      </c>
      <c r="R61" s="252" t="str">
        <f t="shared" ca="1" si="52"/>
        <v>Y</v>
      </c>
      <c r="S61" s="252" t="str">
        <f t="shared" ca="1" si="53"/>
        <v>Y</v>
      </c>
      <c r="T61" s="252" t="str">
        <f t="shared" ca="1" si="54"/>
        <v/>
      </c>
      <c r="U61" s="252" t="str">
        <f t="shared" ca="1" si="55"/>
        <v/>
      </c>
      <c r="V61" s="252" t="str">
        <f t="shared" ca="1" si="56"/>
        <v>Y</v>
      </c>
      <c r="W61" s="252" t="str">
        <f t="shared" ca="1" si="57"/>
        <v/>
      </c>
      <c r="X61" s="252" t="str">
        <f t="shared" ca="1" si="58"/>
        <v/>
      </c>
      <c r="Y61" s="252" t="str">
        <f t="shared" ca="1" si="59"/>
        <v/>
      </c>
      <c r="Z61" s="252" t="str">
        <f t="shared" ca="1" si="60"/>
        <v/>
      </c>
      <c r="AB61" s="254" t="str">
        <f t="shared" ref="AB61:AM61" ca="1" si="65">IF(ISBLANK(OFFSET(AB$48,$Q$34,0)),"",OFFSET(AB$48,$Q$34,0))</f>
        <v>Y</v>
      </c>
      <c r="AC61" s="254" t="str">
        <f t="shared" ca="1" si="65"/>
        <v/>
      </c>
      <c r="AD61" s="254" t="str">
        <f t="shared" ca="1" si="65"/>
        <v/>
      </c>
      <c r="AE61" s="254" t="str">
        <f t="shared" ca="1" si="65"/>
        <v/>
      </c>
      <c r="AF61" s="254" t="str">
        <f t="shared" ca="1" si="65"/>
        <v/>
      </c>
      <c r="AG61" s="254" t="str">
        <f t="shared" ca="1" si="65"/>
        <v/>
      </c>
      <c r="AH61" s="254" t="str">
        <f t="shared" ca="1" si="65"/>
        <v/>
      </c>
      <c r="AI61" s="254" t="str">
        <f t="shared" ca="1" si="65"/>
        <v/>
      </c>
      <c r="AJ61" s="254" t="str">
        <f t="shared" ca="1" si="65"/>
        <v>Y</v>
      </c>
      <c r="AK61" s="254" t="str">
        <f t="shared" ca="1" si="65"/>
        <v/>
      </c>
      <c r="AL61" s="254" t="str">
        <f t="shared" ca="1" si="65"/>
        <v>Y</v>
      </c>
      <c r="AM61" s="254" t="str">
        <f t="shared" ca="1" si="65"/>
        <v/>
      </c>
      <c r="AN61" s="1"/>
    </row>
    <row r="62" spans="1:40">
      <c r="A62" s="25" t="s">
        <v>131</v>
      </c>
      <c r="B62" s="2" t="s">
        <v>119</v>
      </c>
      <c r="C62" s="5" t="s">
        <v>29</v>
      </c>
      <c r="D62" s="254" t="str">
        <f t="shared" ref="D62:M62" ca="1" si="66">IF(ISBLANK(OFFSET(D$48,$R$34,0)),"",OFFSET(D$48,$R$34,0))</f>
        <v>Y</v>
      </c>
      <c r="E62" s="254" t="str">
        <f t="shared" ca="1" si="66"/>
        <v/>
      </c>
      <c r="F62" s="254" t="str">
        <f t="shared" ca="1" si="66"/>
        <v/>
      </c>
      <c r="G62" s="254" t="str">
        <f t="shared" ca="1" si="66"/>
        <v/>
      </c>
      <c r="H62" s="254" t="str">
        <f t="shared" ca="1" si="66"/>
        <v/>
      </c>
      <c r="I62" s="254" t="str">
        <f t="shared" ca="1" si="66"/>
        <v/>
      </c>
      <c r="J62" s="254" t="str">
        <f t="shared" ca="1" si="66"/>
        <v>Y</v>
      </c>
      <c r="K62" s="254" t="str">
        <f t="shared" ca="1" si="66"/>
        <v/>
      </c>
      <c r="L62" s="254" t="str">
        <f t="shared" ca="1" si="66"/>
        <v/>
      </c>
      <c r="M62" s="254" t="str">
        <f t="shared" ca="1" si="66"/>
        <v/>
      </c>
      <c r="O62" s="252" t="str">
        <f t="shared" ca="1" si="49"/>
        <v/>
      </c>
      <c r="P62" s="252" t="str">
        <f t="shared" ca="1" si="50"/>
        <v/>
      </c>
      <c r="Q62" s="252" t="str">
        <f t="shared" ca="1" si="51"/>
        <v>Y</v>
      </c>
      <c r="R62" s="252" t="str">
        <f t="shared" ca="1" si="52"/>
        <v/>
      </c>
      <c r="S62" s="252" t="str">
        <f t="shared" ca="1" si="53"/>
        <v/>
      </c>
      <c r="T62" s="252" t="str">
        <f t="shared" ca="1" si="54"/>
        <v>Y</v>
      </c>
      <c r="U62" s="252" t="str">
        <f t="shared" ca="1" si="55"/>
        <v/>
      </c>
      <c r="V62" s="252" t="str">
        <f t="shared" ca="1" si="56"/>
        <v/>
      </c>
      <c r="W62" s="252" t="str">
        <f t="shared" ca="1" si="57"/>
        <v/>
      </c>
      <c r="X62" s="252" t="str">
        <f t="shared" ca="1" si="58"/>
        <v/>
      </c>
      <c r="Y62" s="252" t="str">
        <f t="shared" ca="1" si="59"/>
        <v/>
      </c>
      <c r="Z62" s="252" t="str">
        <f t="shared" ca="1" si="60"/>
        <v/>
      </c>
      <c r="AB62" s="254" t="str">
        <f t="shared" ref="AB62:AM62" ca="1" si="67">IF(ISBLANK(OFFSET(AB$48,$R$34,0)),"",OFFSET(AB$48,$R$34,0))</f>
        <v>Y</v>
      </c>
      <c r="AC62" s="254" t="str">
        <f t="shared" ca="1" si="67"/>
        <v/>
      </c>
      <c r="AD62" s="254" t="str">
        <f t="shared" ca="1" si="67"/>
        <v/>
      </c>
      <c r="AE62" s="254" t="str">
        <f t="shared" ca="1" si="67"/>
        <v/>
      </c>
      <c r="AF62" s="254" t="str">
        <f t="shared" ca="1" si="67"/>
        <v>Y</v>
      </c>
      <c r="AG62" s="254" t="str">
        <f t="shared" ca="1" si="67"/>
        <v/>
      </c>
      <c r="AH62" s="254" t="str">
        <f t="shared" ca="1" si="67"/>
        <v/>
      </c>
      <c r="AI62" s="254" t="str">
        <f t="shared" ca="1" si="67"/>
        <v>Y</v>
      </c>
      <c r="AJ62" s="254" t="str">
        <f t="shared" ca="1" si="67"/>
        <v/>
      </c>
      <c r="AK62" s="254" t="str">
        <f t="shared" ca="1" si="67"/>
        <v/>
      </c>
      <c r="AL62" s="254" t="str">
        <f t="shared" ca="1" si="67"/>
        <v/>
      </c>
      <c r="AM62" s="254" t="str">
        <f t="shared" ca="1" si="67"/>
        <v/>
      </c>
      <c r="AN62" s="1"/>
    </row>
    <row r="63" spans="1:40">
      <c r="A63" s="25" t="s">
        <v>132</v>
      </c>
      <c r="B63" s="2" t="s">
        <v>119</v>
      </c>
      <c r="C63" s="5" t="s">
        <v>30</v>
      </c>
      <c r="D63" s="254" t="str">
        <f t="shared" ref="D63:M63" ca="1" si="68">IF(ISBLANK(OFFSET(D$48,$S$34,0)),"",OFFSET(D$48,$S$34,0))</f>
        <v>Y</v>
      </c>
      <c r="E63" s="254" t="str">
        <f t="shared" ca="1" si="68"/>
        <v/>
      </c>
      <c r="F63" s="254" t="str">
        <f t="shared" ca="1" si="68"/>
        <v/>
      </c>
      <c r="G63" s="254" t="str">
        <f t="shared" ca="1" si="68"/>
        <v/>
      </c>
      <c r="H63" s="254" t="str">
        <f t="shared" ca="1" si="68"/>
        <v/>
      </c>
      <c r="I63" s="254" t="str">
        <f t="shared" ca="1" si="68"/>
        <v/>
      </c>
      <c r="J63" s="254" t="str">
        <f t="shared" ca="1" si="68"/>
        <v>Y</v>
      </c>
      <c r="K63" s="254" t="str">
        <f t="shared" ca="1" si="68"/>
        <v/>
      </c>
      <c r="L63" s="254" t="str">
        <f t="shared" ca="1" si="68"/>
        <v/>
      </c>
      <c r="M63" s="254" t="str">
        <f t="shared" ca="1" si="68"/>
        <v/>
      </c>
      <c r="O63" s="252" t="str">
        <f t="shared" ca="1" si="49"/>
        <v/>
      </c>
      <c r="P63" s="252" t="str">
        <f t="shared" ca="1" si="50"/>
        <v/>
      </c>
      <c r="Q63" s="252" t="str">
        <f t="shared" ca="1" si="51"/>
        <v>Y</v>
      </c>
      <c r="R63" s="252" t="str">
        <f t="shared" ca="1" si="52"/>
        <v/>
      </c>
      <c r="S63" s="252" t="str">
        <f t="shared" ca="1" si="53"/>
        <v/>
      </c>
      <c r="T63" s="252" t="str">
        <f t="shared" ca="1" si="54"/>
        <v>Y</v>
      </c>
      <c r="U63" s="252" t="str">
        <f t="shared" ca="1" si="55"/>
        <v/>
      </c>
      <c r="V63" s="252" t="str">
        <f t="shared" ca="1" si="56"/>
        <v/>
      </c>
      <c r="W63" s="252" t="str">
        <f t="shared" ca="1" si="57"/>
        <v/>
      </c>
      <c r="X63" s="252" t="str">
        <f t="shared" ca="1" si="58"/>
        <v/>
      </c>
      <c r="Y63" s="252" t="str">
        <f t="shared" ca="1" si="59"/>
        <v/>
      </c>
      <c r="Z63" s="252" t="str">
        <f t="shared" ca="1" si="60"/>
        <v/>
      </c>
      <c r="AB63" s="254" t="str">
        <f t="shared" ref="AB63:AM63" ca="1" si="69">IF(ISBLANK(OFFSET(AB$48,$S$34,0)),"",OFFSET(AB$48,$S$34,0))</f>
        <v>Y</v>
      </c>
      <c r="AC63" s="254" t="str">
        <f t="shared" ca="1" si="69"/>
        <v/>
      </c>
      <c r="AD63" s="254" t="str">
        <f t="shared" ca="1" si="69"/>
        <v/>
      </c>
      <c r="AE63" s="254" t="str">
        <f t="shared" ca="1" si="69"/>
        <v/>
      </c>
      <c r="AF63" s="254" t="str">
        <f t="shared" ca="1" si="69"/>
        <v>Y</v>
      </c>
      <c r="AG63" s="254" t="str">
        <f t="shared" ca="1" si="69"/>
        <v/>
      </c>
      <c r="AH63" s="254" t="str">
        <f t="shared" ca="1" si="69"/>
        <v/>
      </c>
      <c r="AI63" s="254" t="str">
        <f t="shared" ca="1" si="69"/>
        <v>Y</v>
      </c>
      <c r="AJ63" s="254" t="str">
        <f t="shared" ca="1" si="69"/>
        <v/>
      </c>
      <c r="AK63" s="254" t="str">
        <f t="shared" ca="1" si="69"/>
        <v/>
      </c>
      <c r="AL63" s="254" t="str">
        <f t="shared" ca="1" si="69"/>
        <v/>
      </c>
      <c r="AM63" s="254" t="str">
        <f t="shared" ca="1" si="69"/>
        <v/>
      </c>
      <c r="AN63" s="1"/>
    </row>
    <row r="64" spans="1:40">
      <c r="A64" s="25" t="s">
        <v>133</v>
      </c>
      <c r="B64" s="2" t="s">
        <v>119</v>
      </c>
      <c r="C64" s="5" t="s">
        <v>31</v>
      </c>
      <c r="D64" s="254" t="str">
        <f t="shared" ref="D64:M64" ca="1" si="70">IF(ISBLANK(OFFSET(D$48,$T$34,0)),"",OFFSET(D$48,$T$34,0))</f>
        <v>Y</v>
      </c>
      <c r="E64" s="254" t="str">
        <f t="shared" ca="1" si="70"/>
        <v/>
      </c>
      <c r="F64" s="254" t="str">
        <f t="shared" ca="1" si="70"/>
        <v/>
      </c>
      <c r="G64" s="254" t="str">
        <f t="shared" ca="1" si="70"/>
        <v/>
      </c>
      <c r="H64" s="254" t="str">
        <f t="shared" ca="1" si="70"/>
        <v>Y</v>
      </c>
      <c r="I64" s="254" t="str">
        <f t="shared" ca="1" si="70"/>
        <v/>
      </c>
      <c r="J64" s="254" t="str">
        <f t="shared" ca="1" si="70"/>
        <v/>
      </c>
      <c r="K64" s="254" t="str">
        <f t="shared" ca="1" si="70"/>
        <v>Y</v>
      </c>
      <c r="L64" s="254" t="str">
        <f t="shared" ca="1" si="70"/>
        <v/>
      </c>
      <c r="M64" s="254" t="str">
        <f t="shared" ca="1" si="70"/>
        <v/>
      </c>
      <c r="O64" s="252" t="str">
        <f t="shared" ca="1" si="49"/>
        <v>Y</v>
      </c>
      <c r="P64" s="252" t="str">
        <f t="shared" ca="1" si="50"/>
        <v/>
      </c>
      <c r="Q64" s="252" t="str">
        <f t="shared" ca="1" si="51"/>
        <v/>
      </c>
      <c r="R64" s="252" t="str">
        <f t="shared" ca="1" si="52"/>
        <v>Y</v>
      </c>
      <c r="S64" s="252" t="str">
        <f t="shared" ca="1" si="53"/>
        <v>Y</v>
      </c>
      <c r="T64" s="252" t="str">
        <f t="shared" ca="1" si="54"/>
        <v/>
      </c>
      <c r="U64" s="252" t="str">
        <f t="shared" ca="1" si="55"/>
        <v/>
      </c>
      <c r="V64" s="252" t="str">
        <f t="shared" ca="1" si="56"/>
        <v>Y</v>
      </c>
      <c r="W64" s="252" t="str">
        <f t="shared" ca="1" si="57"/>
        <v/>
      </c>
      <c r="X64" s="252" t="str">
        <f t="shared" ca="1" si="58"/>
        <v/>
      </c>
      <c r="Y64" s="252" t="str">
        <f t="shared" ca="1" si="59"/>
        <v/>
      </c>
      <c r="Z64" s="252" t="str">
        <f t="shared" ca="1" si="60"/>
        <v/>
      </c>
      <c r="AB64" s="254" t="str">
        <f t="shared" ref="AB64:AM64" ca="1" si="71">IF(ISBLANK(OFFSET(AB$48,$T$34,0)),"",OFFSET(AB$48,$T$34,0))</f>
        <v>Y</v>
      </c>
      <c r="AC64" s="254" t="str">
        <f t="shared" ca="1" si="71"/>
        <v/>
      </c>
      <c r="AD64" s="254" t="str">
        <f t="shared" ca="1" si="71"/>
        <v/>
      </c>
      <c r="AE64" s="254" t="str">
        <f t="shared" ca="1" si="71"/>
        <v/>
      </c>
      <c r="AF64" s="254" t="str">
        <f t="shared" ca="1" si="71"/>
        <v/>
      </c>
      <c r="AG64" s="254" t="str">
        <f t="shared" ca="1" si="71"/>
        <v/>
      </c>
      <c r="AH64" s="254" t="str">
        <f t="shared" ca="1" si="71"/>
        <v/>
      </c>
      <c r="AI64" s="254" t="str">
        <f t="shared" ca="1" si="71"/>
        <v/>
      </c>
      <c r="AJ64" s="254" t="str">
        <f t="shared" ca="1" si="71"/>
        <v>Y</v>
      </c>
      <c r="AK64" s="254" t="str">
        <f t="shared" ca="1" si="71"/>
        <v/>
      </c>
      <c r="AL64" s="254" t="str">
        <f t="shared" ca="1" si="71"/>
        <v>Y</v>
      </c>
      <c r="AM64" s="254" t="str">
        <f t="shared" ca="1" si="71"/>
        <v/>
      </c>
      <c r="AN64" s="1"/>
    </row>
    <row r="65" spans="1:40">
      <c r="A65" s="25" t="s">
        <v>134</v>
      </c>
      <c r="B65" s="2" t="s">
        <v>119</v>
      </c>
      <c r="C65" s="5" t="s">
        <v>32</v>
      </c>
      <c r="D65" s="254" t="str">
        <f t="shared" ref="D65:M65" ca="1" si="72">IF(ISBLANK(OFFSET(D$48,$U$34,0)),"",OFFSET(D$48,$U$34,0))</f>
        <v/>
      </c>
      <c r="E65" s="254" t="str">
        <f t="shared" ca="1" si="72"/>
        <v/>
      </c>
      <c r="F65" s="254" t="str">
        <f t="shared" ca="1" si="72"/>
        <v/>
      </c>
      <c r="G65" s="254" t="str">
        <f t="shared" ca="1" si="72"/>
        <v/>
      </c>
      <c r="H65" s="254" t="str">
        <f t="shared" ca="1" si="72"/>
        <v/>
      </c>
      <c r="I65" s="254" t="str">
        <f t="shared" ca="1" si="72"/>
        <v/>
      </c>
      <c r="J65" s="254" t="str">
        <f t="shared" ca="1" si="72"/>
        <v>Y</v>
      </c>
      <c r="K65" s="254" t="str">
        <f t="shared" ca="1" si="72"/>
        <v/>
      </c>
      <c r="L65" s="254" t="str">
        <f t="shared" ca="1" si="72"/>
        <v/>
      </c>
      <c r="M65" s="254" t="str">
        <f t="shared" ca="1" si="72"/>
        <v/>
      </c>
      <c r="O65" s="252" t="str">
        <f t="shared" ca="1" si="49"/>
        <v/>
      </c>
      <c r="P65" s="252" t="str">
        <f t="shared" ca="1" si="50"/>
        <v/>
      </c>
      <c r="Q65" s="252" t="str">
        <f t="shared" ca="1" si="51"/>
        <v>Y</v>
      </c>
      <c r="R65" s="252" t="str">
        <f t="shared" ca="1" si="52"/>
        <v/>
      </c>
      <c r="S65" s="252" t="str">
        <f t="shared" ca="1" si="53"/>
        <v/>
      </c>
      <c r="T65" s="252" t="str">
        <f t="shared" ca="1" si="54"/>
        <v>Y</v>
      </c>
      <c r="U65" s="252" t="str">
        <f t="shared" ca="1" si="55"/>
        <v/>
      </c>
      <c r="V65" s="252" t="str">
        <f t="shared" ca="1" si="56"/>
        <v/>
      </c>
      <c r="W65" s="252" t="str">
        <f t="shared" ca="1" si="57"/>
        <v/>
      </c>
      <c r="X65" s="252" t="str">
        <f t="shared" ca="1" si="58"/>
        <v/>
      </c>
      <c r="Y65" s="252" t="str">
        <f t="shared" ca="1" si="59"/>
        <v/>
      </c>
      <c r="Z65" s="252" t="str">
        <f t="shared" ca="1" si="60"/>
        <v/>
      </c>
      <c r="AB65" s="254" t="str">
        <f t="shared" ref="AB65:AM65" ca="1" si="73">IF(ISBLANK(OFFSET(AB$48,$U$34,0)),"",OFFSET(AB$48,$U$34,0))</f>
        <v/>
      </c>
      <c r="AC65" s="254" t="str">
        <f t="shared" ca="1" si="73"/>
        <v/>
      </c>
      <c r="AD65" s="254" t="str">
        <f t="shared" ca="1" si="73"/>
        <v/>
      </c>
      <c r="AE65" s="254" t="str">
        <f t="shared" ca="1" si="73"/>
        <v/>
      </c>
      <c r="AF65" s="254" t="str">
        <f t="shared" ca="1" si="73"/>
        <v>Y</v>
      </c>
      <c r="AG65" s="254" t="str">
        <f t="shared" ca="1" si="73"/>
        <v/>
      </c>
      <c r="AH65" s="254" t="str">
        <f t="shared" ca="1" si="73"/>
        <v/>
      </c>
      <c r="AI65" s="254" t="str">
        <f t="shared" ca="1" si="73"/>
        <v>Y</v>
      </c>
      <c r="AJ65" s="254" t="str">
        <f t="shared" ca="1" si="73"/>
        <v>Y</v>
      </c>
      <c r="AK65" s="254" t="str">
        <f t="shared" ca="1" si="73"/>
        <v/>
      </c>
      <c r="AL65" s="254" t="str">
        <f t="shared" ca="1" si="73"/>
        <v/>
      </c>
      <c r="AM65" s="254" t="str">
        <f t="shared" ca="1" si="73"/>
        <v/>
      </c>
      <c r="AN65" s="1"/>
    </row>
    <row r="66" spans="1:40">
      <c r="A66" s="25" t="s">
        <v>135</v>
      </c>
      <c r="B66" s="2" t="s">
        <v>119</v>
      </c>
      <c r="C66" s="5" t="s">
        <v>33</v>
      </c>
      <c r="D66" s="254" t="str">
        <f t="shared" ref="D66:M66" ca="1" si="74">IF(ISBLANK(OFFSET(D$48,$V$34,0)),"",OFFSET(D$48,$V$34,0))</f>
        <v/>
      </c>
      <c r="E66" s="254" t="str">
        <f t="shared" ca="1" si="74"/>
        <v/>
      </c>
      <c r="F66" s="254" t="str">
        <f t="shared" ca="1" si="74"/>
        <v/>
      </c>
      <c r="G66" s="254" t="str">
        <f t="shared" ca="1" si="74"/>
        <v/>
      </c>
      <c r="H66" s="254" t="str">
        <f t="shared" ca="1" si="74"/>
        <v/>
      </c>
      <c r="I66" s="254" t="str">
        <f t="shared" ca="1" si="74"/>
        <v/>
      </c>
      <c r="J66" s="254" t="str">
        <f t="shared" ca="1" si="74"/>
        <v>Y</v>
      </c>
      <c r="K66" s="254" t="str">
        <f t="shared" ca="1" si="74"/>
        <v/>
      </c>
      <c r="L66" s="254" t="str">
        <f t="shared" ca="1" si="74"/>
        <v/>
      </c>
      <c r="M66" s="254" t="str">
        <f t="shared" ca="1" si="74"/>
        <v/>
      </c>
      <c r="O66" s="252" t="str">
        <f t="shared" ca="1" si="49"/>
        <v/>
      </c>
      <c r="P66" s="252" t="str">
        <f t="shared" ca="1" si="50"/>
        <v/>
      </c>
      <c r="Q66" s="252" t="str">
        <f t="shared" ca="1" si="51"/>
        <v>Y</v>
      </c>
      <c r="R66" s="252" t="str">
        <f t="shared" ca="1" si="52"/>
        <v/>
      </c>
      <c r="S66" s="252" t="str">
        <f t="shared" ca="1" si="53"/>
        <v/>
      </c>
      <c r="T66" s="252" t="str">
        <f t="shared" ca="1" si="54"/>
        <v>Y</v>
      </c>
      <c r="U66" s="252" t="str">
        <f t="shared" ca="1" si="55"/>
        <v/>
      </c>
      <c r="V66" s="252" t="str">
        <f t="shared" ca="1" si="56"/>
        <v/>
      </c>
      <c r="W66" s="252" t="str">
        <f t="shared" ca="1" si="57"/>
        <v/>
      </c>
      <c r="X66" s="252" t="str">
        <f t="shared" ca="1" si="58"/>
        <v/>
      </c>
      <c r="Y66" s="252" t="str">
        <f t="shared" ca="1" si="59"/>
        <v/>
      </c>
      <c r="Z66" s="252" t="str">
        <f t="shared" ca="1" si="60"/>
        <v/>
      </c>
      <c r="AB66" s="254" t="str">
        <f t="shared" ref="AB66:AM66" ca="1" si="75">IF(ISBLANK(OFFSET(AB$48,$V$34,0)),"",OFFSET(AB$48,$V$34,0))</f>
        <v/>
      </c>
      <c r="AC66" s="254" t="str">
        <f t="shared" ca="1" si="75"/>
        <v/>
      </c>
      <c r="AD66" s="254" t="str">
        <f t="shared" ca="1" si="75"/>
        <v/>
      </c>
      <c r="AE66" s="254" t="str">
        <f t="shared" ca="1" si="75"/>
        <v/>
      </c>
      <c r="AF66" s="254" t="str">
        <f t="shared" ca="1" si="75"/>
        <v>Y</v>
      </c>
      <c r="AG66" s="254" t="str">
        <f t="shared" ca="1" si="75"/>
        <v/>
      </c>
      <c r="AH66" s="254" t="str">
        <f t="shared" ca="1" si="75"/>
        <v/>
      </c>
      <c r="AI66" s="254" t="str">
        <f t="shared" ca="1" si="75"/>
        <v/>
      </c>
      <c r="AJ66" s="254" t="str">
        <f t="shared" ca="1" si="75"/>
        <v/>
      </c>
      <c r="AK66" s="254" t="str">
        <f t="shared" ca="1" si="75"/>
        <v/>
      </c>
      <c r="AL66" s="254" t="str">
        <f t="shared" ca="1" si="75"/>
        <v/>
      </c>
      <c r="AM66" s="254" t="str">
        <f t="shared" ca="1" si="75"/>
        <v/>
      </c>
      <c r="AN66" s="1"/>
    </row>
    <row r="67" spans="1:40">
      <c r="A67" s="25" t="s">
        <v>136</v>
      </c>
      <c r="B67" s="2" t="s">
        <v>119</v>
      </c>
      <c r="C67" s="5" t="s">
        <v>34</v>
      </c>
      <c r="D67" s="254" t="str">
        <f t="shared" ref="D67:M67" ca="1" si="76">IF(ISBLANK(OFFSET(D$48,$W$34,0)),"",OFFSET(D$48,$W$34,0))</f>
        <v/>
      </c>
      <c r="E67" s="254" t="str">
        <f t="shared" ca="1" si="76"/>
        <v/>
      </c>
      <c r="F67" s="254" t="str">
        <f t="shared" ca="1" si="76"/>
        <v/>
      </c>
      <c r="G67" s="254" t="str">
        <f t="shared" ca="1" si="76"/>
        <v/>
      </c>
      <c r="H67" s="254" t="str">
        <f t="shared" ca="1" si="76"/>
        <v/>
      </c>
      <c r="I67" s="254" t="str">
        <f t="shared" ca="1" si="76"/>
        <v/>
      </c>
      <c r="J67" s="254" t="str">
        <f t="shared" ca="1" si="76"/>
        <v/>
      </c>
      <c r="K67" s="254" t="str">
        <f t="shared" ca="1" si="76"/>
        <v/>
      </c>
      <c r="L67" s="254" t="str">
        <f t="shared" ca="1" si="76"/>
        <v>Y</v>
      </c>
      <c r="M67" s="254" t="str">
        <f t="shared" ca="1" si="76"/>
        <v/>
      </c>
      <c r="O67" s="252" t="str">
        <f t="shared" ca="1" si="49"/>
        <v/>
      </c>
      <c r="P67" s="252" t="str">
        <f t="shared" ca="1" si="50"/>
        <v/>
      </c>
      <c r="Q67" s="252" t="str">
        <f t="shared" ca="1" si="51"/>
        <v/>
      </c>
      <c r="R67" s="252" t="str">
        <f t="shared" ca="1" si="52"/>
        <v/>
      </c>
      <c r="S67" s="252" t="str">
        <f t="shared" ca="1" si="53"/>
        <v/>
      </c>
      <c r="T67" s="252" t="str">
        <f t="shared" ca="1" si="54"/>
        <v/>
      </c>
      <c r="U67" s="252" t="str">
        <f t="shared" ca="1" si="55"/>
        <v/>
      </c>
      <c r="V67" s="252" t="str">
        <f t="shared" ca="1" si="56"/>
        <v/>
      </c>
      <c r="W67" s="252" t="str">
        <f t="shared" ca="1" si="57"/>
        <v/>
      </c>
      <c r="X67" s="252" t="str">
        <f t="shared" ca="1" si="58"/>
        <v/>
      </c>
      <c r="Y67" s="252" t="str">
        <f t="shared" ca="1" si="59"/>
        <v/>
      </c>
      <c r="Z67" s="252" t="str">
        <f t="shared" ca="1" si="60"/>
        <v/>
      </c>
      <c r="AB67" s="254" t="str">
        <f t="shared" ref="AB67:AM67" ca="1" si="77">IF(ISBLANK(OFFSET(AB$48,$W$34,0)),"",OFFSET(AB$48,$W$34,0))</f>
        <v/>
      </c>
      <c r="AC67" s="254" t="str">
        <f t="shared" ca="1" si="77"/>
        <v/>
      </c>
      <c r="AD67" s="254" t="str">
        <f t="shared" ca="1" si="77"/>
        <v/>
      </c>
      <c r="AE67" s="254" t="str">
        <f t="shared" ca="1" si="77"/>
        <v/>
      </c>
      <c r="AF67" s="254" t="str">
        <f t="shared" ca="1" si="77"/>
        <v/>
      </c>
      <c r="AG67" s="254" t="str">
        <f t="shared" ca="1" si="77"/>
        <v>Y</v>
      </c>
      <c r="AH67" s="254" t="str">
        <f t="shared" ca="1" si="77"/>
        <v/>
      </c>
      <c r="AI67" s="254" t="str">
        <f t="shared" ca="1" si="77"/>
        <v/>
      </c>
      <c r="AJ67" s="254" t="str">
        <f t="shared" ca="1" si="77"/>
        <v/>
      </c>
      <c r="AK67" s="254" t="str">
        <f t="shared" ca="1" si="77"/>
        <v/>
      </c>
      <c r="AL67" s="254" t="str">
        <f t="shared" ca="1" si="77"/>
        <v/>
      </c>
      <c r="AM67" s="254" t="str">
        <f t="shared" ca="1" si="77"/>
        <v/>
      </c>
      <c r="AN67" s="1"/>
    </row>
    <row r="68" spans="1:40">
      <c r="A68" s="25" t="s">
        <v>137</v>
      </c>
      <c r="B68" s="2" t="s">
        <v>119</v>
      </c>
      <c r="C68" s="5" t="s">
        <v>35</v>
      </c>
      <c r="D68" s="254" t="str">
        <f t="shared" ref="D68:M68" ca="1" si="78">IF(ISBLANK(OFFSET(D$48,$X$34,0)),"",OFFSET(D$48,$X$34,0))</f>
        <v/>
      </c>
      <c r="E68" s="254" t="str">
        <f t="shared" ca="1" si="78"/>
        <v/>
      </c>
      <c r="F68" s="254" t="str">
        <f t="shared" ca="1" si="78"/>
        <v/>
      </c>
      <c r="G68" s="254" t="str">
        <f t="shared" ca="1" si="78"/>
        <v/>
      </c>
      <c r="H68" s="254" t="str">
        <f t="shared" ca="1" si="78"/>
        <v/>
      </c>
      <c r="I68" s="254" t="str">
        <f t="shared" ca="1" si="78"/>
        <v/>
      </c>
      <c r="J68" s="254" t="str">
        <f t="shared" ca="1" si="78"/>
        <v/>
      </c>
      <c r="K68" s="254" t="str">
        <f t="shared" ca="1" si="78"/>
        <v/>
      </c>
      <c r="L68" s="254" t="str">
        <f t="shared" ca="1" si="78"/>
        <v/>
      </c>
      <c r="M68" s="254" t="str">
        <f t="shared" ca="1" si="78"/>
        <v/>
      </c>
      <c r="O68" s="252" t="str">
        <f t="shared" ca="1" si="49"/>
        <v/>
      </c>
      <c r="P68" s="252" t="str">
        <f t="shared" ca="1" si="50"/>
        <v/>
      </c>
      <c r="Q68" s="252" t="str">
        <f t="shared" ca="1" si="51"/>
        <v/>
      </c>
      <c r="R68" s="252" t="str">
        <f t="shared" ca="1" si="52"/>
        <v/>
      </c>
      <c r="S68" s="252" t="str">
        <f t="shared" ca="1" si="53"/>
        <v/>
      </c>
      <c r="T68" s="252" t="str">
        <f t="shared" ca="1" si="54"/>
        <v/>
      </c>
      <c r="U68" s="252" t="str">
        <f t="shared" ca="1" si="55"/>
        <v/>
      </c>
      <c r="V68" s="252" t="str">
        <f t="shared" ca="1" si="56"/>
        <v/>
      </c>
      <c r="W68" s="252" t="str">
        <f t="shared" ca="1" si="57"/>
        <v/>
      </c>
      <c r="X68" s="252" t="str">
        <f t="shared" ca="1" si="58"/>
        <v/>
      </c>
      <c r="Y68" s="252" t="str">
        <f t="shared" ca="1" si="59"/>
        <v/>
      </c>
      <c r="Z68" s="252" t="str">
        <f t="shared" ca="1" si="60"/>
        <v/>
      </c>
      <c r="AB68" s="254" t="str">
        <f t="shared" ref="AB68:AM68" ca="1" si="79">IF(ISBLANK(OFFSET(AB$48,$X$34,0)),"",OFFSET(AB$48,$X$34,0))</f>
        <v/>
      </c>
      <c r="AC68" s="254" t="str">
        <f t="shared" ca="1" si="79"/>
        <v/>
      </c>
      <c r="AD68" s="254" t="str">
        <f t="shared" ca="1" si="79"/>
        <v/>
      </c>
      <c r="AE68" s="254" t="str">
        <f t="shared" ca="1" si="79"/>
        <v/>
      </c>
      <c r="AF68" s="254" t="str">
        <f t="shared" ca="1" si="79"/>
        <v/>
      </c>
      <c r="AG68" s="254" t="str">
        <f t="shared" ca="1" si="79"/>
        <v/>
      </c>
      <c r="AH68" s="254" t="str">
        <f t="shared" ca="1" si="79"/>
        <v/>
      </c>
      <c r="AI68" s="254" t="str">
        <f t="shared" ca="1" si="79"/>
        <v>Y</v>
      </c>
      <c r="AJ68" s="254" t="str">
        <f t="shared" ca="1" si="79"/>
        <v/>
      </c>
      <c r="AK68" s="254" t="str">
        <f t="shared" ca="1" si="79"/>
        <v/>
      </c>
      <c r="AL68" s="254" t="str">
        <f t="shared" ca="1" si="79"/>
        <v/>
      </c>
      <c r="AM68" s="254" t="str">
        <f t="shared" ca="1" si="79"/>
        <v/>
      </c>
      <c r="AN68" s="1"/>
    </row>
    <row r="69" spans="1:40">
      <c r="A69" s="25" t="s">
        <v>138</v>
      </c>
      <c r="B69" s="2" t="s">
        <v>119</v>
      </c>
      <c r="C69" s="5" t="s">
        <v>36</v>
      </c>
      <c r="D69" s="254" t="str">
        <f t="shared" ref="D69:M69" ca="1" si="80">IF(ISBLANK(OFFSET(D$48,$Y$34,0)),"",OFFSET(D$48,$Y$34,0))</f>
        <v/>
      </c>
      <c r="E69" s="254" t="str">
        <f t="shared" ca="1" si="80"/>
        <v/>
      </c>
      <c r="F69" s="254" t="str">
        <f t="shared" ca="1" si="80"/>
        <v/>
      </c>
      <c r="G69" s="254" t="str">
        <f t="shared" ca="1" si="80"/>
        <v/>
      </c>
      <c r="H69" s="254" t="str">
        <f t="shared" ca="1" si="80"/>
        <v/>
      </c>
      <c r="I69" s="254" t="str">
        <f t="shared" ca="1" si="80"/>
        <v/>
      </c>
      <c r="J69" s="254" t="str">
        <f t="shared" ca="1" si="80"/>
        <v/>
      </c>
      <c r="K69" s="254" t="str">
        <f t="shared" ca="1" si="80"/>
        <v/>
      </c>
      <c r="L69" s="254" t="str">
        <f t="shared" ca="1" si="80"/>
        <v>Y</v>
      </c>
      <c r="M69" s="254" t="str">
        <f t="shared" ca="1" si="80"/>
        <v/>
      </c>
      <c r="O69" s="252" t="str">
        <f t="shared" ca="1" si="49"/>
        <v/>
      </c>
      <c r="P69" s="252" t="str">
        <f t="shared" ca="1" si="50"/>
        <v/>
      </c>
      <c r="Q69" s="252" t="str">
        <f t="shared" ca="1" si="51"/>
        <v/>
      </c>
      <c r="R69" s="252" t="str">
        <f t="shared" ca="1" si="52"/>
        <v/>
      </c>
      <c r="S69" s="252" t="str">
        <f t="shared" ca="1" si="53"/>
        <v/>
      </c>
      <c r="T69" s="252" t="str">
        <f t="shared" ca="1" si="54"/>
        <v/>
      </c>
      <c r="U69" s="252" t="str">
        <f t="shared" ca="1" si="55"/>
        <v/>
      </c>
      <c r="V69" s="252" t="str">
        <f t="shared" ca="1" si="56"/>
        <v/>
      </c>
      <c r="W69" s="252" t="str">
        <f t="shared" ca="1" si="57"/>
        <v/>
      </c>
      <c r="X69" s="252" t="str">
        <f t="shared" ca="1" si="58"/>
        <v/>
      </c>
      <c r="Y69" s="252" t="str">
        <f t="shared" ca="1" si="59"/>
        <v/>
      </c>
      <c r="Z69" s="252" t="str">
        <f t="shared" ca="1" si="60"/>
        <v/>
      </c>
      <c r="AB69" s="254" t="str">
        <f t="shared" ref="AB69:AM69" ca="1" si="81">IF(ISBLANK(OFFSET(AB$48,$Y$34,0)),"",OFFSET(AB$48,$Y$34,0))</f>
        <v/>
      </c>
      <c r="AC69" s="254" t="str">
        <f t="shared" ca="1" si="81"/>
        <v/>
      </c>
      <c r="AD69" s="254" t="str">
        <f t="shared" ca="1" si="81"/>
        <v/>
      </c>
      <c r="AE69" s="254" t="str">
        <f t="shared" ca="1" si="81"/>
        <v/>
      </c>
      <c r="AF69" s="254" t="str">
        <f t="shared" ca="1" si="81"/>
        <v/>
      </c>
      <c r="AG69" s="254" t="str">
        <f t="shared" ca="1" si="81"/>
        <v>Y</v>
      </c>
      <c r="AH69" s="254" t="str">
        <f t="shared" ca="1" si="81"/>
        <v/>
      </c>
      <c r="AI69" s="254" t="str">
        <f t="shared" ca="1" si="81"/>
        <v/>
      </c>
      <c r="AJ69" s="254" t="str">
        <f t="shared" ca="1" si="81"/>
        <v/>
      </c>
      <c r="AK69" s="254" t="str">
        <f t="shared" ca="1" si="81"/>
        <v/>
      </c>
      <c r="AL69" s="254" t="str">
        <f t="shared" ca="1" si="81"/>
        <v/>
      </c>
      <c r="AM69" s="254" t="str">
        <f t="shared" ca="1" si="81"/>
        <v/>
      </c>
      <c r="AN69" s="1"/>
    </row>
    <row r="70" spans="1:40">
      <c r="A70" s="25" t="s">
        <v>139</v>
      </c>
      <c r="B70" s="2" t="s">
        <v>119</v>
      </c>
      <c r="C70" s="5" t="s">
        <v>37</v>
      </c>
      <c r="D70" s="254" t="str">
        <f t="shared" ref="D70:M70" ca="1" si="82">IF(ISBLANK(OFFSET(D$48,$Z$34,0)),"",OFFSET(D$48,$Z$34,0))</f>
        <v/>
      </c>
      <c r="E70" s="254" t="str">
        <f t="shared" ca="1" si="82"/>
        <v/>
      </c>
      <c r="F70" s="254" t="str">
        <f t="shared" ca="1" si="82"/>
        <v/>
      </c>
      <c r="G70" s="254" t="str">
        <f t="shared" ca="1" si="82"/>
        <v/>
      </c>
      <c r="H70" s="254" t="str">
        <f t="shared" ca="1" si="82"/>
        <v/>
      </c>
      <c r="I70" s="254" t="str">
        <f t="shared" ca="1" si="82"/>
        <v/>
      </c>
      <c r="J70" s="254" t="str">
        <f t="shared" ca="1" si="82"/>
        <v/>
      </c>
      <c r="K70" s="254" t="str">
        <f t="shared" ca="1" si="82"/>
        <v/>
      </c>
      <c r="L70" s="254" t="str">
        <f t="shared" ca="1" si="82"/>
        <v>Y</v>
      </c>
      <c r="M70" s="254" t="str">
        <f t="shared" ca="1" si="82"/>
        <v/>
      </c>
      <c r="O70" s="252" t="str">
        <f t="shared" ca="1" si="49"/>
        <v/>
      </c>
      <c r="P70" s="252" t="str">
        <f t="shared" ca="1" si="50"/>
        <v/>
      </c>
      <c r="Q70" s="252" t="str">
        <f t="shared" ca="1" si="51"/>
        <v/>
      </c>
      <c r="R70" s="252" t="str">
        <f t="shared" ca="1" si="52"/>
        <v/>
      </c>
      <c r="S70" s="252" t="str">
        <f t="shared" ca="1" si="53"/>
        <v/>
      </c>
      <c r="T70" s="252" t="str">
        <f t="shared" ca="1" si="54"/>
        <v/>
      </c>
      <c r="U70" s="252" t="str">
        <f t="shared" ca="1" si="55"/>
        <v/>
      </c>
      <c r="V70" s="252" t="str">
        <f t="shared" ca="1" si="56"/>
        <v/>
      </c>
      <c r="W70" s="252" t="str">
        <f t="shared" ca="1" si="57"/>
        <v/>
      </c>
      <c r="X70" s="252" t="str">
        <f t="shared" ca="1" si="58"/>
        <v/>
      </c>
      <c r="Y70" s="252" t="str">
        <f t="shared" ca="1" si="59"/>
        <v/>
      </c>
      <c r="Z70" s="252" t="str">
        <f t="shared" ca="1" si="60"/>
        <v/>
      </c>
      <c r="AB70" s="254" t="str">
        <f t="shared" ref="AB70:AM70" ca="1" si="83">IF(ISBLANK(OFFSET(AB$48,$Z$34,0)),"",OFFSET(AB$48,$Z$34,0))</f>
        <v/>
      </c>
      <c r="AC70" s="254" t="str">
        <f t="shared" ca="1" si="83"/>
        <v/>
      </c>
      <c r="AD70" s="254" t="str">
        <f t="shared" ca="1" si="83"/>
        <v/>
      </c>
      <c r="AE70" s="254" t="str">
        <f t="shared" ca="1" si="83"/>
        <v/>
      </c>
      <c r="AF70" s="254" t="str">
        <f t="shared" ca="1" si="83"/>
        <v/>
      </c>
      <c r="AG70" s="254" t="str">
        <f t="shared" ca="1" si="83"/>
        <v>Y</v>
      </c>
      <c r="AH70" s="254" t="str">
        <f t="shared" ca="1" si="83"/>
        <v/>
      </c>
      <c r="AI70" s="254" t="str">
        <f t="shared" ca="1" si="83"/>
        <v/>
      </c>
      <c r="AJ70" s="254" t="str">
        <f t="shared" ca="1" si="83"/>
        <v/>
      </c>
      <c r="AK70" s="254" t="str">
        <f t="shared" ca="1" si="83"/>
        <v/>
      </c>
      <c r="AL70" s="254" t="str">
        <f t="shared" ca="1" si="83"/>
        <v/>
      </c>
      <c r="AM70" s="254" t="str">
        <f t="shared" ca="1" si="83"/>
        <v/>
      </c>
      <c r="AN70" s="1"/>
    </row>
    <row r="71" spans="1:40">
      <c r="A71" s="25"/>
      <c r="C71" s="15"/>
    </row>
    <row r="72" spans="1:40" ht="16.2" thickBot="1">
      <c r="A72" s="25"/>
      <c r="B72" s="56" t="s">
        <v>140</v>
      </c>
      <c r="C72" s="51"/>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1"/>
    </row>
    <row r="73" spans="1:40">
      <c r="A73" s="25"/>
      <c r="B73" s="3"/>
      <c r="C73" s="4"/>
      <c r="AN73" s="1"/>
    </row>
    <row r="74" spans="1:40">
      <c r="A74" s="25" t="s">
        <v>141</v>
      </c>
      <c r="B74" s="2" t="s">
        <v>142</v>
      </c>
      <c r="C74" s="5" t="s">
        <v>17</v>
      </c>
      <c r="D74" s="254" t="str">
        <f>IF((D$26=$E$26),"Y","")</f>
        <v/>
      </c>
      <c r="E74" s="254"/>
      <c r="F74" s="254" t="str">
        <f t="shared" ref="F74:M74" si="84">IF((F$26=$E$26),"Y","")</f>
        <v/>
      </c>
      <c r="G74" s="254" t="str">
        <f t="shared" si="84"/>
        <v>Y</v>
      </c>
      <c r="H74" s="254" t="str">
        <f t="shared" si="84"/>
        <v/>
      </c>
      <c r="I74" s="254" t="str">
        <f t="shared" si="84"/>
        <v/>
      </c>
      <c r="J74" s="254" t="str">
        <f t="shared" si="84"/>
        <v/>
      </c>
      <c r="K74" s="254" t="str">
        <f t="shared" si="84"/>
        <v/>
      </c>
      <c r="L74" s="254" t="str">
        <f t="shared" si="84"/>
        <v/>
      </c>
      <c r="M74" s="254" t="str">
        <f t="shared" si="84"/>
        <v>Y</v>
      </c>
      <c r="O74" s="252" t="str">
        <f t="shared" ref="O74:O82" ca="1" si="85">IF(ISBLANK(OFFSET(O74,0,-11+O$34))," ",OFFSET(O74,0,-11+O$34))</f>
        <v/>
      </c>
      <c r="P74" s="252" t="str">
        <f t="shared" ref="P74:P82" ca="1" si="86">IF(ISBLANK(OFFSET(P74,0,-12+P$34))," ",OFFSET(P74,0,-12+P$34))</f>
        <v/>
      </c>
      <c r="Q74" s="252" t="str">
        <f t="shared" ref="Q74:Q82" ca="1" si="87">IF(ISBLANK(OFFSET(Q74,0,-13+Q$34))," ",OFFSET(Q74,0,-13+Q$34))</f>
        <v/>
      </c>
      <c r="R74" s="252" t="str">
        <f t="shared" ref="R74:R82" ca="1" si="88">IF(ISBLANK(OFFSET(R74,0,-14+R$34))," ",OFFSET(R74,0,-14+R$34))</f>
        <v/>
      </c>
      <c r="S74" s="252" t="str">
        <f t="shared" ref="S74:S82" ca="1" si="89">IF(ISBLANK(OFFSET(S74,0,-15+S$34))," ",OFFSET(S74,0,-15+S$34))</f>
        <v/>
      </c>
      <c r="T74" s="252" t="str">
        <f t="shared" ref="T74:T82" ca="1" si="90">IF(ISBLANK(OFFSET(T74,0,-16+T$34))," ",OFFSET(T74,0,-16+T$34))</f>
        <v/>
      </c>
      <c r="U74" s="252" t="str">
        <f t="shared" ref="U74:U82" ca="1" si="91">IF(ISBLANK(OFFSET(U74,0,-17+U$34))," ",OFFSET(U74,0,-17+U$34))</f>
        <v/>
      </c>
      <c r="V74" s="252" t="str">
        <f t="shared" ref="V74:V82" ca="1" si="92">IF(ISBLANK(OFFSET(V74,0,-18+V$34))," ",OFFSET(V74,0,-18+V$34))</f>
        <v/>
      </c>
      <c r="W74" s="252" t="str">
        <f t="shared" ref="W74:W82" ca="1" si="93">IF(ISBLANK(OFFSET(W74,0,-19+W$34))," ",OFFSET(W74,0,-19+W$34))</f>
        <v>Y</v>
      </c>
      <c r="X74" s="252" t="str">
        <f t="shared" ref="X74:X82" ca="1" si="94">IF(ISBLANK(OFFSET(X74,0,-20+X$34))," ",OFFSET(X74,0,-20+X$34))</f>
        <v/>
      </c>
      <c r="Y74" s="252" t="str">
        <f t="shared" ref="Y74:Y82" ca="1" si="95">IF(ISBLANK(OFFSET(Y74,0,-21+Y$34))," ",OFFSET(Y74,0,-21+Y$34))</f>
        <v xml:space="preserve"> </v>
      </c>
      <c r="Z74" s="252" t="str">
        <f t="shared" ref="Z74:Z82" ca="1" si="96">IF(ISBLANK(OFFSET(Z74,0,-22+Z$34))," ",OFFSET(Z74,0,-22+Z$34))</f>
        <v>Y</v>
      </c>
      <c r="AB74" s="151"/>
      <c r="AC74" s="151"/>
      <c r="AD74" s="151"/>
      <c r="AE74" s="151"/>
      <c r="AF74" s="151"/>
      <c r="AG74" s="151"/>
      <c r="AH74" s="151"/>
      <c r="AI74" s="151"/>
      <c r="AJ74" s="151"/>
      <c r="AK74" s="151"/>
      <c r="AL74" s="151"/>
      <c r="AM74" s="151"/>
      <c r="AN74" s="1"/>
    </row>
    <row r="75" spans="1:40">
      <c r="A75" s="25" t="s">
        <v>143</v>
      </c>
      <c r="B75" s="2" t="s">
        <v>142</v>
      </c>
      <c r="C75" s="5" t="s">
        <v>144</v>
      </c>
      <c r="D75" s="254" t="str">
        <f>IF((D$26=$F$26),"Y","")</f>
        <v/>
      </c>
      <c r="E75" s="254" t="str">
        <f>IF((E$26=$F$26),"Y","")</f>
        <v/>
      </c>
      <c r="F75" s="254"/>
      <c r="G75" s="254" t="str">
        <f t="shared" ref="G75:M75" si="97">IF((G$26=$F$26),"Y","")</f>
        <v/>
      </c>
      <c r="H75" s="254" t="str">
        <f t="shared" si="97"/>
        <v/>
      </c>
      <c r="I75" s="254" t="str">
        <f t="shared" si="97"/>
        <v>Y</v>
      </c>
      <c r="J75" s="254" t="str">
        <f t="shared" si="97"/>
        <v/>
      </c>
      <c r="K75" s="254" t="str">
        <f t="shared" si="97"/>
        <v/>
      </c>
      <c r="L75" s="254" t="str">
        <f t="shared" si="97"/>
        <v/>
      </c>
      <c r="M75" s="254" t="str">
        <f t="shared" si="97"/>
        <v/>
      </c>
      <c r="O75" s="252" t="str">
        <f t="shared" ca="1" si="85"/>
        <v/>
      </c>
      <c r="P75" s="252" t="str">
        <f t="shared" ca="1" si="86"/>
        <v>Y</v>
      </c>
      <c r="Q75" s="252" t="str">
        <f t="shared" ca="1" si="87"/>
        <v/>
      </c>
      <c r="R75" s="252" t="str">
        <f t="shared" ca="1" si="88"/>
        <v/>
      </c>
      <c r="S75" s="252" t="str">
        <f t="shared" ca="1" si="89"/>
        <v/>
      </c>
      <c r="T75" s="252" t="str">
        <f t="shared" ca="1" si="90"/>
        <v/>
      </c>
      <c r="U75" s="252" t="str">
        <f t="shared" ca="1" si="91"/>
        <v>Y</v>
      </c>
      <c r="V75" s="252" t="str">
        <f t="shared" ca="1" si="92"/>
        <v/>
      </c>
      <c r="W75" s="252" t="str">
        <f t="shared" ca="1" si="93"/>
        <v/>
      </c>
      <c r="X75" s="252" t="str">
        <f t="shared" ca="1" si="94"/>
        <v xml:space="preserve"> </v>
      </c>
      <c r="Y75" s="252" t="str">
        <f t="shared" ca="1" si="95"/>
        <v/>
      </c>
      <c r="Z75" s="252" t="str">
        <f t="shared" ca="1" si="96"/>
        <v/>
      </c>
      <c r="AB75" s="151"/>
      <c r="AC75" s="151"/>
      <c r="AD75" s="151"/>
      <c r="AE75" s="151"/>
      <c r="AF75" s="151"/>
      <c r="AG75" s="151"/>
      <c r="AH75" s="151"/>
      <c r="AI75" s="151"/>
      <c r="AJ75" s="151"/>
      <c r="AK75" s="151"/>
      <c r="AL75" s="151"/>
      <c r="AM75" s="151"/>
      <c r="AN75" s="1"/>
    </row>
    <row r="76" spans="1:40">
      <c r="A76" s="25" t="s">
        <v>145</v>
      </c>
      <c r="B76" s="2" t="s">
        <v>142</v>
      </c>
      <c r="C76" s="5" t="s">
        <v>19</v>
      </c>
      <c r="D76" s="254" t="str">
        <f>IF((D$26=$G$26),"Y","")</f>
        <v/>
      </c>
      <c r="E76" s="254" t="str">
        <f>IF((E$26=$G$26),"Y","")</f>
        <v>Y</v>
      </c>
      <c r="F76" s="254" t="str">
        <f>IF((F$26=$G$26),"Y","")</f>
        <v/>
      </c>
      <c r="G76" s="254"/>
      <c r="H76" s="254" t="str">
        <f t="shared" ref="H76:M76" si="98">IF((H$26=$G$26),"Y","")</f>
        <v/>
      </c>
      <c r="I76" s="254" t="str">
        <f t="shared" si="98"/>
        <v/>
      </c>
      <c r="J76" s="254" t="str">
        <f t="shared" si="98"/>
        <v/>
      </c>
      <c r="K76" s="254" t="str">
        <f t="shared" si="98"/>
        <v/>
      </c>
      <c r="L76" s="254" t="str">
        <f t="shared" si="98"/>
        <v/>
      </c>
      <c r="M76" s="254" t="str">
        <f t="shared" si="98"/>
        <v>Y</v>
      </c>
      <c r="O76" s="252" t="str">
        <f t="shared" ca="1" si="85"/>
        <v/>
      </c>
      <c r="P76" s="252" t="str">
        <f t="shared" ca="1" si="86"/>
        <v/>
      </c>
      <c r="Q76" s="252" t="str">
        <f t="shared" ca="1" si="87"/>
        <v/>
      </c>
      <c r="R76" s="252" t="str">
        <f t="shared" ca="1" si="88"/>
        <v/>
      </c>
      <c r="S76" s="252" t="str">
        <f t="shared" ca="1" si="89"/>
        <v/>
      </c>
      <c r="T76" s="252" t="str">
        <f t="shared" ca="1" si="90"/>
        <v/>
      </c>
      <c r="U76" s="252" t="str">
        <f t="shared" ca="1" si="91"/>
        <v/>
      </c>
      <c r="V76" s="252" t="str">
        <f t="shared" ca="1" si="92"/>
        <v/>
      </c>
      <c r="W76" s="252" t="str">
        <f t="shared" ca="1" si="93"/>
        <v xml:space="preserve"> </v>
      </c>
      <c r="X76" s="252" t="str">
        <f t="shared" ca="1" si="94"/>
        <v/>
      </c>
      <c r="Y76" s="252" t="str">
        <f t="shared" ca="1" si="95"/>
        <v>Y</v>
      </c>
      <c r="Z76" s="252" t="str">
        <f t="shared" ca="1" si="96"/>
        <v xml:space="preserve"> </v>
      </c>
      <c r="AB76" s="151"/>
      <c r="AC76" s="151"/>
      <c r="AD76" s="151"/>
      <c r="AE76" s="151"/>
      <c r="AF76" s="151"/>
      <c r="AG76" s="151"/>
      <c r="AH76" s="151"/>
      <c r="AI76" s="151"/>
      <c r="AJ76" s="151"/>
      <c r="AK76" s="151"/>
      <c r="AL76" s="151"/>
      <c r="AM76" s="151"/>
      <c r="AN76" s="1"/>
    </row>
    <row r="77" spans="1:40">
      <c r="A77" s="25" t="s">
        <v>146</v>
      </c>
      <c r="B77" s="2" t="s">
        <v>142</v>
      </c>
      <c r="C77" s="5" t="s">
        <v>20</v>
      </c>
      <c r="D77" s="254" t="str">
        <f>IF((D$26=$H$26),"Y","")</f>
        <v/>
      </c>
      <c r="E77" s="254" t="str">
        <f>IF((E$26=$H$26),"Y","")</f>
        <v/>
      </c>
      <c r="F77" s="254" t="str">
        <f>IF((F$26=$H$26),"Y","")</f>
        <v/>
      </c>
      <c r="G77" s="254" t="str">
        <f>IF((G$26=$H$26),"Y","")</f>
        <v/>
      </c>
      <c r="H77" s="254"/>
      <c r="I77" s="254" t="str">
        <f>IF((I$26=$H$26),"Y","")</f>
        <v/>
      </c>
      <c r="J77" s="254" t="str">
        <f>IF((J$26=$H$26),"Y","")</f>
        <v/>
      </c>
      <c r="K77" s="254" t="str">
        <f>IF((K$26=$H$26),"Y","")</f>
        <v>Y</v>
      </c>
      <c r="L77" s="254" t="str">
        <f>IF((L$26=$H$26),"Y","")</f>
        <v/>
      </c>
      <c r="M77" s="254" t="str">
        <f>IF((M$26=$H$26),"Y","")</f>
        <v/>
      </c>
      <c r="O77" s="252" t="str">
        <f t="shared" ca="1" si="85"/>
        <v xml:space="preserve"> </v>
      </c>
      <c r="P77" s="252" t="str">
        <f t="shared" ca="1" si="86"/>
        <v/>
      </c>
      <c r="Q77" s="252" t="str">
        <f t="shared" ca="1" si="87"/>
        <v/>
      </c>
      <c r="R77" s="252" t="str">
        <f t="shared" ca="1" si="88"/>
        <v>Y</v>
      </c>
      <c r="S77" s="252" t="str">
        <f t="shared" ca="1" si="89"/>
        <v>Y</v>
      </c>
      <c r="T77" s="252" t="str">
        <f t="shared" ca="1" si="90"/>
        <v/>
      </c>
      <c r="U77" s="252" t="str">
        <f t="shared" ca="1" si="91"/>
        <v/>
      </c>
      <c r="V77" s="252" t="str">
        <f t="shared" ca="1" si="92"/>
        <v xml:space="preserve"> </v>
      </c>
      <c r="W77" s="252" t="str">
        <f t="shared" ca="1" si="93"/>
        <v/>
      </c>
      <c r="X77" s="252" t="str">
        <f t="shared" ca="1" si="94"/>
        <v/>
      </c>
      <c r="Y77" s="252" t="str">
        <f t="shared" ca="1" si="95"/>
        <v/>
      </c>
      <c r="Z77" s="252" t="str">
        <f t="shared" ca="1" si="96"/>
        <v/>
      </c>
      <c r="AB77" s="151"/>
      <c r="AC77" s="151"/>
      <c r="AD77" s="151"/>
      <c r="AE77" s="151"/>
      <c r="AF77" s="151"/>
      <c r="AG77" s="151"/>
      <c r="AH77" s="151"/>
      <c r="AI77" s="151"/>
      <c r="AJ77" s="151"/>
      <c r="AK77" s="151"/>
      <c r="AL77" s="151"/>
      <c r="AM77" s="151"/>
      <c r="AN77" s="1"/>
    </row>
    <row r="78" spans="1:40">
      <c r="A78" s="25" t="s">
        <v>147</v>
      </c>
      <c r="B78" s="2" t="s">
        <v>142</v>
      </c>
      <c r="C78" s="5" t="s">
        <v>21</v>
      </c>
      <c r="D78" s="254" t="str">
        <f>IF((D$26=$I$26),"Y","")</f>
        <v/>
      </c>
      <c r="E78" s="254" t="str">
        <f>IF((E$26=$I$26),"Y","")</f>
        <v/>
      </c>
      <c r="F78" s="254" t="str">
        <f>IF((F$26=$I$26),"Y","")</f>
        <v>Y</v>
      </c>
      <c r="G78" s="254" t="str">
        <f>IF((G$26=$I$26),"Y","")</f>
        <v/>
      </c>
      <c r="H78" s="254" t="str">
        <f>IF((H$26=$I$26),"Y","")</f>
        <v/>
      </c>
      <c r="I78" s="254"/>
      <c r="J78" s="254" t="str">
        <f>IF((J$26=$I$26),"Y","")</f>
        <v/>
      </c>
      <c r="K78" s="254" t="str">
        <f>IF((K$26=$I$26),"Y","")</f>
        <v/>
      </c>
      <c r="L78" s="254" t="str">
        <f>IF((L$26=$I$26),"Y","")</f>
        <v/>
      </c>
      <c r="M78" s="254" t="str">
        <f>IF((M$26=$I$26),"Y","")</f>
        <v/>
      </c>
      <c r="O78" s="252" t="str">
        <f t="shared" ca="1" si="85"/>
        <v/>
      </c>
      <c r="P78" s="252" t="str">
        <f t="shared" ca="1" si="86"/>
        <v xml:space="preserve"> </v>
      </c>
      <c r="Q78" s="252" t="str">
        <f t="shared" ca="1" si="87"/>
        <v/>
      </c>
      <c r="R78" s="252" t="str">
        <f t="shared" ca="1" si="88"/>
        <v/>
      </c>
      <c r="S78" s="252" t="str">
        <f t="shared" ca="1" si="89"/>
        <v/>
      </c>
      <c r="T78" s="252" t="str">
        <f t="shared" ca="1" si="90"/>
        <v/>
      </c>
      <c r="U78" s="252" t="str">
        <f t="shared" ca="1" si="91"/>
        <v xml:space="preserve"> </v>
      </c>
      <c r="V78" s="252" t="str">
        <f t="shared" ca="1" si="92"/>
        <v/>
      </c>
      <c r="W78" s="252" t="str">
        <f t="shared" ca="1" si="93"/>
        <v/>
      </c>
      <c r="X78" s="252" t="str">
        <f t="shared" ca="1" si="94"/>
        <v>Y</v>
      </c>
      <c r="Y78" s="252" t="str">
        <f t="shared" ca="1" si="95"/>
        <v/>
      </c>
      <c r="Z78" s="252" t="str">
        <f t="shared" ca="1" si="96"/>
        <v/>
      </c>
      <c r="AB78" s="151"/>
      <c r="AC78" s="151"/>
      <c r="AD78" s="151"/>
      <c r="AE78" s="151"/>
      <c r="AF78" s="151"/>
      <c r="AG78" s="151"/>
      <c r="AH78" s="151"/>
      <c r="AI78" s="151"/>
      <c r="AJ78" s="151"/>
      <c r="AK78" s="151"/>
      <c r="AL78" s="151"/>
      <c r="AM78" s="151"/>
      <c r="AN78" s="1"/>
    </row>
    <row r="79" spans="1:40">
      <c r="A79" s="25" t="s">
        <v>148</v>
      </c>
      <c r="B79" s="2" t="s">
        <v>142</v>
      </c>
      <c r="C79" s="5" t="s">
        <v>22</v>
      </c>
      <c r="D79" s="254" t="str">
        <f t="shared" ref="D79:I79" si="99">IF((D$26=$J$26),"Y","")</f>
        <v/>
      </c>
      <c r="E79" s="254" t="str">
        <f t="shared" si="99"/>
        <v/>
      </c>
      <c r="F79" s="254" t="str">
        <f t="shared" si="99"/>
        <v/>
      </c>
      <c r="G79" s="254" t="str">
        <f t="shared" si="99"/>
        <v/>
      </c>
      <c r="H79" s="254" t="str">
        <f t="shared" si="99"/>
        <v/>
      </c>
      <c r="I79" s="254" t="str">
        <f t="shared" si="99"/>
        <v/>
      </c>
      <c r="J79" s="254"/>
      <c r="K79" s="254" t="str">
        <f>IF((K$26=$J$26),"Y","")</f>
        <v/>
      </c>
      <c r="L79" s="254" t="str">
        <f>IF((L$26=$J$26),"Y","")</f>
        <v/>
      </c>
      <c r="M79" s="254" t="str">
        <f>IF((M$26=$J$26),"Y","")</f>
        <v/>
      </c>
      <c r="O79" s="252" t="str">
        <f t="shared" ca="1" si="85"/>
        <v/>
      </c>
      <c r="P79" s="252" t="str">
        <f t="shared" ca="1" si="86"/>
        <v/>
      </c>
      <c r="Q79" s="252" t="str">
        <f t="shared" ca="1" si="87"/>
        <v xml:space="preserve"> </v>
      </c>
      <c r="R79" s="252" t="str">
        <f t="shared" ca="1" si="88"/>
        <v/>
      </c>
      <c r="S79" s="252" t="str">
        <f t="shared" ca="1" si="89"/>
        <v/>
      </c>
      <c r="T79" s="252" t="str">
        <f t="shared" ca="1" si="90"/>
        <v xml:space="preserve"> </v>
      </c>
      <c r="U79" s="252" t="str">
        <f t="shared" ca="1" si="91"/>
        <v/>
      </c>
      <c r="V79" s="252" t="str">
        <f t="shared" ca="1" si="92"/>
        <v/>
      </c>
      <c r="W79" s="252" t="str">
        <f t="shared" ca="1" si="93"/>
        <v/>
      </c>
      <c r="X79" s="252" t="str">
        <f t="shared" ca="1" si="94"/>
        <v/>
      </c>
      <c r="Y79" s="252" t="str">
        <f t="shared" ca="1" si="95"/>
        <v/>
      </c>
      <c r="Z79" s="252" t="str">
        <f t="shared" ca="1" si="96"/>
        <v/>
      </c>
      <c r="AB79" s="151"/>
      <c r="AC79" s="151"/>
      <c r="AD79" s="151"/>
      <c r="AE79" s="151"/>
      <c r="AF79" s="151"/>
      <c r="AG79" s="151"/>
      <c r="AH79" s="151"/>
      <c r="AI79" s="151"/>
      <c r="AJ79" s="151"/>
      <c r="AK79" s="151"/>
      <c r="AL79" s="151"/>
      <c r="AM79" s="151"/>
      <c r="AN79" s="1"/>
    </row>
    <row r="80" spans="1:40">
      <c r="A80" s="25" t="s">
        <v>149</v>
      </c>
      <c r="B80" s="2" t="s">
        <v>142</v>
      </c>
      <c r="C80" s="5" t="s">
        <v>23</v>
      </c>
      <c r="D80" s="254" t="str">
        <f t="shared" ref="D80:J80" si="100">IF((D$26=$K$26),"Y","")</f>
        <v/>
      </c>
      <c r="E80" s="254" t="str">
        <f t="shared" si="100"/>
        <v/>
      </c>
      <c r="F80" s="254" t="str">
        <f t="shared" si="100"/>
        <v/>
      </c>
      <c r="G80" s="254" t="str">
        <f t="shared" si="100"/>
        <v/>
      </c>
      <c r="H80" s="254" t="str">
        <f t="shared" si="100"/>
        <v>Y</v>
      </c>
      <c r="I80" s="254" t="str">
        <f t="shared" si="100"/>
        <v/>
      </c>
      <c r="J80" s="254" t="str">
        <f t="shared" si="100"/>
        <v/>
      </c>
      <c r="K80" s="254"/>
      <c r="L80" s="254" t="str">
        <f>IF((L$26=$K$26),"Y","")</f>
        <v/>
      </c>
      <c r="M80" s="254" t="str">
        <f>IF((M$26=$K$26),"Y","")</f>
        <v/>
      </c>
      <c r="O80" s="252" t="str">
        <f t="shared" ca="1" si="85"/>
        <v>Y</v>
      </c>
      <c r="P80" s="252" t="str">
        <f t="shared" ca="1" si="86"/>
        <v/>
      </c>
      <c r="Q80" s="252" t="str">
        <f t="shared" ca="1" si="87"/>
        <v/>
      </c>
      <c r="R80" s="252" t="str">
        <f t="shared" ca="1" si="88"/>
        <v xml:space="preserve"> </v>
      </c>
      <c r="S80" s="252" t="str">
        <f t="shared" ca="1" si="89"/>
        <v xml:space="preserve"> </v>
      </c>
      <c r="T80" s="252" t="str">
        <f t="shared" ca="1" si="90"/>
        <v/>
      </c>
      <c r="U80" s="252" t="str">
        <f t="shared" ca="1" si="91"/>
        <v/>
      </c>
      <c r="V80" s="252" t="str">
        <f t="shared" ca="1" si="92"/>
        <v>Y</v>
      </c>
      <c r="W80" s="252" t="str">
        <f t="shared" ca="1" si="93"/>
        <v/>
      </c>
      <c r="X80" s="252" t="str">
        <f t="shared" ca="1" si="94"/>
        <v/>
      </c>
      <c r="Y80" s="252" t="str">
        <f t="shared" ca="1" si="95"/>
        <v/>
      </c>
      <c r="Z80" s="252" t="str">
        <f t="shared" ca="1" si="96"/>
        <v/>
      </c>
      <c r="AB80" s="151"/>
      <c r="AC80" s="151"/>
      <c r="AD80" s="151"/>
      <c r="AE80" s="151"/>
      <c r="AF80" s="151"/>
      <c r="AG80" s="151"/>
      <c r="AH80" s="151"/>
      <c r="AI80" s="151"/>
      <c r="AJ80" s="151"/>
      <c r="AK80" s="151"/>
      <c r="AL80" s="151"/>
      <c r="AM80" s="151"/>
      <c r="AN80" s="1"/>
    </row>
    <row r="81" spans="1:40">
      <c r="A81" s="25" t="s">
        <v>150</v>
      </c>
      <c r="B81" s="2" t="s">
        <v>142</v>
      </c>
      <c r="C81" s="5" t="s">
        <v>24</v>
      </c>
      <c r="D81" s="254" t="str">
        <f t="shared" ref="D81:K81" si="101">IF((D$26=$L$26),"Y","")</f>
        <v/>
      </c>
      <c r="E81" s="254" t="str">
        <f t="shared" si="101"/>
        <v/>
      </c>
      <c r="F81" s="254" t="str">
        <f t="shared" si="101"/>
        <v/>
      </c>
      <c r="G81" s="254" t="str">
        <f t="shared" si="101"/>
        <v/>
      </c>
      <c r="H81" s="254" t="str">
        <f t="shared" si="101"/>
        <v/>
      </c>
      <c r="I81" s="254" t="str">
        <f t="shared" si="101"/>
        <v/>
      </c>
      <c r="J81" s="254" t="str">
        <f t="shared" si="101"/>
        <v/>
      </c>
      <c r="K81" s="254" t="str">
        <f t="shared" si="101"/>
        <v/>
      </c>
      <c r="L81" s="254"/>
      <c r="M81" s="254" t="str">
        <f>IF((M$26=$L$26),"Y","")</f>
        <v/>
      </c>
      <c r="O81" s="252" t="str">
        <f t="shared" ca="1" si="85"/>
        <v/>
      </c>
      <c r="P81" s="252" t="str">
        <f t="shared" ca="1" si="86"/>
        <v/>
      </c>
      <c r="Q81" s="252" t="str">
        <f t="shared" ca="1" si="87"/>
        <v/>
      </c>
      <c r="R81" s="252" t="str">
        <f t="shared" ca="1" si="88"/>
        <v/>
      </c>
      <c r="S81" s="252" t="str">
        <f t="shared" ca="1" si="89"/>
        <v/>
      </c>
      <c r="T81" s="252" t="str">
        <f t="shared" ca="1" si="90"/>
        <v/>
      </c>
      <c r="U81" s="252" t="str">
        <f t="shared" ca="1" si="91"/>
        <v/>
      </c>
      <c r="V81" s="252" t="str">
        <f t="shared" ca="1" si="92"/>
        <v/>
      </c>
      <c r="W81" s="252" t="str">
        <f t="shared" ca="1" si="93"/>
        <v/>
      </c>
      <c r="X81" s="252" t="str">
        <f t="shared" ca="1" si="94"/>
        <v/>
      </c>
      <c r="Y81" s="252" t="str">
        <f t="shared" ca="1" si="95"/>
        <v/>
      </c>
      <c r="Z81" s="252" t="str">
        <f t="shared" ca="1" si="96"/>
        <v/>
      </c>
      <c r="AB81" s="151"/>
      <c r="AC81" s="151"/>
      <c r="AD81" s="151"/>
      <c r="AE81" s="151"/>
      <c r="AF81" s="151"/>
      <c r="AG81" s="151"/>
      <c r="AH81" s="151"/>
      <c r="AI81" s="151"/>
      <c r="AJ81" s="151"/>
      <c r="AK81" s="151"/>
      <c r="AL81" s="151"/>
      <c r="AM81" s="151"/>
      <c r="AN81" s="1"/>
    </row>
    <row r="82" spans="1:40">
      <c r="A82" s="25" t="s">
        <v>151</v>
      </c>
      <c r="B82" s="2" t="s">
        <v>142</v>
      </c>
      <c r="C82" s="5" t="s">
        <v>25</v>
      </c>
      <c r="D82" s="254" t="str">
        <f t="shared" ref="D82:L82" si="102">IF((D$26=$M$26),"Y","")</f>
        <v/>
      </c>
      <c r="E82" s="254" t="str">
        <f t="shared" si="102"/>
        <v>Y</v>
      </c>
      <c r="F82" s="254" t="str">
        <f t="shared" si="102"/>
        <v/>
      </c>
      <c r="G82" s="254" t="str">
        <f t="shared" si="102"/>
        <v>Y</v>
      </c>
      <c r="H82" s="254" t="str">
        <f t="shared" si="102"/>
        <v/>
      </c>
      <c r="I82" s="254" t="str">
        <f t="shared" si="102"/>
        <v/>
      </c>
      <c r="J82" s="254" t="str">
        <f t="shared" si="102"/>
        <v/>
      </c>
      <c r="K82" s="254" t="str">
        <f t="shared" si="102"/>
        <v/>
      </c>
      <c r="L82" s="254" t="str">
        <f t="shared" si="102"/>
        <v/>
      </c>
      <c r="M82" s="254"/>
      <c r="O82" s="252" t="str">
        <f t="shared" ca="1" si="85"/>
        <v/>
      </c>
      <c r="P82" s="252" t="str">
        <f t="shared" ca="1" si="86"/>
        <v/>
      </c>
      <c r="Q82" s="252" t="str">
        <f t="shared" ca="1" si="87"/>
        <v/>
      </c>
      <c r="R82" s="252" t="str">
        <f t="shared" ca="1" si="88"/>
        <v/>
      </c>
      <c r="S82" s="252" t="str">
        <f t="shared" ca="1" si="89"/>
        <v/>
      </c>
      <c r="T82" s="252" t="str">
        <f t="shared" ca="1" si="90"/>
        <v/>
      </c>
      <c r="U82" s="252" t="str">
        <f t="shared" ca="1" si="91"/>
        <v/>
      </c>
      <c r="V82" s="252" t="str">
        <f t="shared" ca="1" si="92"/>
        <v/>
      </c>
      <c r="W82" s="252" t="str">
        <f t="shared" ca="1" si="93"/>
        <v>Y</v>
      </c>
      <c r="X82" s="252" t="str">
        <f t="shared" ca="1" si="94"/>
        <v/>
      </c>
      <c r="Y82" s="252" t="str">
        <f t="shared" ca="1" si="95"/>
        <v>Y</v>
      </c>
      <c r="Z82" s="252" t="str">
        <f t="shared" ca="1" si="96"/>
        <v>Y</v>
      </c>
      <c r="AB82" s="151"/>
      <c r="AC82" s="151"/>
      <c r="AD82" s="151"/>
      <c r="AE82" s="151"/>
      <c r="AF82" s="151"/>
      <c r="AG82" s="151"/>
      <c r="AH82" s="151"/>
      <c r="AI82" s="151"/>
      <c r="AJ82" s="151"/>
      <c r="AK82" s="151"/>
      <c r="AL82" s="151"/>
      <c r="AM82" s="151"/>
      <c r="AN82" s="1"/>
    </row>
    <row r="83" spans="1:40">
      <c r="A83" s="25"/>
      <c r="B83" s="3"/>
      <c r="C83" s="6"/>
      <c r="O83" s="57"/>
      <c r="P83" s="57"/>
      <c r="Q83" s="57"/>
      <c r="R83" s="57"/>
      <c r="S83" s="57"/>
      <c r="T83" s="57"/>
      <c r="U83" s="57"/>
      <c r="V83" s="57"/>
      <c r="W83" s="57"/>
      <c r="X83" s="57"/>
      <c r="Y83" s="57"/>
      <c r="Z83" s="57"/>
      <c r="AB83" s="151"/>
      <c r="AC83" s="151"/>
      <c r="AD83" s="151"/>
      <c r="AE83" s="151"/>
      <c r="AF83" s="151"/>
      <c r="AG83" s="151"/>
      <c r="AH83" s="151"/>
      <c r="AI83" s="151"/>
      <c r="AJ83" s="151"/>
      <c r="AK83" s="151"/>
      <c r="AL83" s="151"/>
      <c r="AM83" s="151"/>
      <c r="AN83" s="1"/>
    </row>
    <row r="84" spans="1:40">
      <c r="A84" s="25" t="s">
        <v>152</v>
      </c>
      <c r="B84" s="2" t="s">
        <v>142</v>
      </c>
      <c r="C84" s="5" t="s">
        <v>26</v>
      </c>
      <c r="D84" s="254" t="str">
        <f ca="1">IF((D$26=$O$26),"Y","")</f>
        <v/>
      </c>
      <c r="E84" s="254" t="str">
        <f ca="1">IF((AND((E$26=$O$26),($O$34&lt;&gt;1))),"Y","")</f>
        <v/>
      </c>
      <c r="F84" s="254" t="str">
        <f ca="1">IF((AND((F$26=$O$26),($O$34&lt;&gt;2))),"Y","")</f>
        <v/>
      </c>
      <c r="G84" s="254" t="str">
        <f ca="1">IF((AND((G$26=$O$26),($O$34&lt;&gt;3))),"Y","")</f>
        <v/>
      </c>
      <c r="H84" s="254" t="str">
        <f ca="1">IF((AND((H$26=$O$26),($O$34&lt;&gt;4))),"Y","")</f>
        <v/>
      </c>
      <c r="I84" s="254" t="str">
        <f ca="1">IF((AND((I$26=$O$26),($O$34&lt;&gt;5))),"Y","")</f>
        <v/>
      </c>
      <c r="J84" s="254" t="str">
        <f ca="1">IF((AND((J$26=$O$26),($O$34&lt;&gt;6))),"Y","")</f>
        <v/>
      </c>
      <c r="K84" s="254" t="str">
        <f ca="1">IF((AND((K$26=$O$26),($O$34&lt;&gt;7))),"Y","")</f>
        <v>Y</v>
      </c>
      <c r="L84" s="254" t="str">
        <f ca="1">IF((AND((L$26=$O$26),($O$34&lt;&gt;8))),"Y","")</f>
        <v/>
      </c>
      <c r="M84" s="254" t="str">
        <f ca="1">IF((AND((M$26=$O$26),($O$34&lt;&gt;9))),"Y","")</f>
        <v/>
      </c>
      <c r="O84" s="252" t="str">
        <f t="shared" ref="O84:O95" ca="1" si="103">IF(ISBLANK(OFFSET(O84,0,-11+O$34))," ",OFFSET(O84,0,-11+O$34))</f>
        <v/>
      </c>
      <c r="P84" s="252" t="str">
        <f t="shared" ref="P84:P95" ca="1" si="104">IF(ISBLANK(OFFSET(P84,0,-12+P$34))," ",OFFSET(P84,0,-12+P$34))</f>
        <v/>
      </c>
      <c r="Q84" s="252" t="str">
        <f t="shared" ref="Q84:Q95" ca="1" si="105">IF(ISBLANK(OFFSET(Q84,0,-13+Q$34))," ",OFFSET(Q84,0,-13+Q$34))</f>
        <v/>
      </c>
      <c r="R84" s="252" t="str">
        <f t="shared" ref="R84:R95" ca="1" si="106">IF(ISBLANK(OFFSET(R84,0,-14+R$34))," ",OFFSET(R84,0,-14+R$34))</f>
        <v>Y</v>
      </c>
      <c r="S84" s="252" t="str">
        <f t="shared" ref="S84:S95" ca="1" si="107">IF(ISBLANK(OFFSET(S84,0,-15+S$34))," ",OFFSET(S84,0,-15+S$34))</f>
        <v>Y</v>
      </c>
      <c r="T84" s="252" t="str">
        <f t="shared" ref="T84:T95" ca="1" si="108">IF(ISBLANK(OFFSET(T84,0,-16+T$34))," ",OFFSET(T84,0,-16+T$34))</f>
        <v/>
      </c>
      <c r="U84" s="252" t="str">
        <f t="shared" ref="U84:U95" ca="1" si="109">IF(ISBLANK(OFFSET(U84,0,-17+U$34))," ",OFFSET(U84,0,-17+U$34))</f>
        <v/>
      </c>
      <c r="V84" s="252" t="str">
        <f t="shared" ref="V84:V95" ca="1" si="110">IF(ISBLANK(OFFSET(V84,0,-18+V$34))," ",OFFSET(V84,0,-18+V$34))</f>
        <v/>
      </c>
      <c r="W84" s="252" t="str">
        <f t="shared" ref="W84:W95" ca="1" si="111">IF(ISBLANK(OFFSET(W84,0,-19+W$34))," ",OFFSET(W84,0,-19+W$34))</f>
        <v/>
      </c>
      <c r="X84" s="252" t="str">
        <f t="shared" ref="X84:X95" ca="1" si="112">IF(ISBLANK(OFFSET(X84,0,-20+X$34))," ",OFFSET(X84,0,-20+X$34))</f>
        <v/>
      </c>
      <c r="Y84" s="252" t="str">
        <f t="shared" ref="Y84:Y95" ca="1" si="113">IF(ISBLANK(OFFSET(Y84,0,-21+Y$34))," ",OFFSET(Y84,0,-21+Y$34))</f>
        <v/>
      </c>
      <c r="Z84" s="252" t="str">
        <f t="shared" ref="Z84:Z95" ca="1" si="114">IF(ISBLANK(OFFSET(Z84,0,-22+Z$34))," ",OFFSET(Z84,0,-22+Z$34))</f>
        <v/>
      </c>
      <c r="AB84" s="151"/>
      <c r="AC84" s="151"/>
      <c r="AD84" s="151"/>
      <c r="AE84" s="151"/>
      <c r="AF84" s="151"/>
      <c r="AG84" s="151"/>
      <c r="AH84" s="151"/>
      <c r="AI84" s="151"/>
      <c r="AJ84" s="151"/>
      <c r="AK84" s="151"/>
      <c r="AL84" s="151"/>
      <c r="AM84" s="151"/>
      <c r="AN84" s="1"/>
    </row>
    <row r="85" spans="1:40">
      <c r="A85" s="25" t="s">
        <v>153</v>
      </c>
      <c r="B85" s="2" t="s">
        <v>142</v>
      </c>
      <c r="C85" s="5" t="s">
        <v>27</v>
      </c>
      <c r="D85" s="254" t="str">
        <f ca="1">IF((D$26=$P$26),"Y","")</f>
        <v/>
      </c>
      <c r="E85" s="254" t="str">
        <f ca="1">IF((AND((E$26=$P$26),($P$34&lt;&gt;1))),"Y","")</f>
        <v/>
      </c>
      <c r="F85" s="254" t="str">
        <f ca="1">IF((AND((F$26=$P$26),($P$34&lt;&gt;2))),"Y","")</f>
        <v>Y</v>
      </c>
      <c r="G85" s="254" t="str">
        <f ca="1">IF((AND((G$26=$P$26),($P$34&lt;&gt;3))),"Y","")</f>
        <v/>
      </c>
      <c r="H85" s="254" t="str">
        <f ca="1">IF((AND((H$26=$P$26),($P$34&lt;&gt;4))),"Y","")</f>
        <v/>
      </c>
      <c r="I85" s="254" t="str">
        <f ca="1">IF((AND((I$26=$P$26),($P$34&lt;&gt;5))),"Y","")</f>
        <v/>
      </c>
      <c r="J85" s="254" t="str">
        <f ca="1">IF((AND((J$26=$P$26),($P$34&lt;&gt;6))),"Y","")</f>
        <v/>
      </c>
      <c r="K85" s="254" t="str">
        <f ca="1">IF((AND((K$26=$P$26),($P$34&lt;&gt;7))),"Y","")</f>
        <v/>
      </c>
      <c r="L85" s="254" t="str">
        <f ca="1">IF((AND((L$26=$P$26),($P$34&lt;&gt;8))),"Y","")</f>
        <v/>
      </c>
      <c r="M85" s="254" t="str">
        <f ca="1">IF((AND((M$26=$P$26),($P$34&lt;&gt;9))),"Y","")</f>
        <v/>
      </c>
      <c r="O85" s="252" t="str">
        <f t="shared" ca="1" si="103"/>
        <v/>
      </c>
      <c r="P85" s="252" t="str">
        <f t="shared" ca="1" si="104"/>
        <v/>
      </c>
      <c r="Q85" s="252" t="str">
        <f t="shared" ca="1" si="105"/>
        <v/>
      </c>
      <c r="R85" s="252" t="str">
        <f t="shared" ca="1" si="106"/>
        <v/>
      </c>
      <c r="S85" s="252" t="str">
        <f t="shared" ca="1" si="107"/>
        <v/>
      </c>
      <c r="T85" s="252" t="str">
        <f t="shared" ca="1" si="108"/>
        <v/>
      </c>
      <c r="U85" s="252" t="str">
        <f t="shared" ca="1" si="109"/>
        <v/>
      </c>
      <c r="V85" s="252" t="str">
        <f t="shared" ca="1" si="110"/>
        <v/>
      </c>
      <c r="W85" s="252" t="str">
        <f t="shared" ca="1" si="111"/>
        <v/>
      </c>
      <c r="X85" s="252" t="str">
        <f t="shared" ca="1" si="112"/>
        <v>Y</v>
      </c>
      <c r="Y85" s="252" t="str">
        <f t="shared" ca="1" si="113"/>
        <v/>
      </c>
      <c r="Z85" s="252" t="str">
        <f t="shared" ca="1" si="114"/>
        <v/>
      </c>
      <c r="AB85" s="151"/>
      <c r="AC85" s="151"/>
      <c r="AD85" s="151"/>
      <c r="AE85" s="151"/>
      <c r="AF85" s="151"/>
      <c r="AG85" s="151"/>
      <c r="AH85" s="151"/>
      <c r="AI85" s="151"/>
      <c r="AJ85" s="151"/>
      <c r="AK85" s="151"/>
      <c r="AL85" s="151"/>
      <c r="AM85" s="151"/>
      <c r="AN85" s="1"/>
    </row>
    <row r="86" spans="1:40">
      <c r="A86" s="25" t="s">
        <v>154</v>
      </c>
      <c r="B86" s="2" t="s">
        <v>142</v>
      </c>
      <c r="C86" s="5" t="s">
        <v>28</v>
      </c>
      <c r="D86" s="254" t="str">
        <f ca="1">IF((D$26=$Q$26),"Y","")</f>
        <v/>
      </c>
      <c r="E86" s="254" t="str">
        <f ca="1">IF((AND((E$26=$Q$26),($Q$34&lt;&gt;1))),"Y","")</f>
        <v/>
      </c>
      <c r="F86" s="254" t="str">
        <f ca="1">IF((AND((F$26=$Q$26),($Q$34&lt;&gt;2))),"Y","")</f>
        <v/>
      </c>
      <c r="G86" s="254" t="str">
        <f ca="1">IF((AND((G$26=$Q$26),($Q$34&lt;&gt;3))),"Y","")</f>
        <v/>
      </c>
      <c r="H86" s="254" t="str">
        <f ca="1">IF((AND((H$26=$Q$26),($Q$34&lt;&gt;4))),"Y","")</f>
        <v/>
      </c>
      <c r="I86" s="254" t="str">
        <f ca="1">IF((AND((I$26=$Q$26),($Q$34&lt;&gt;5))),"Y","")</f>
        <v/>
      </c>
      <c r="J86" s="254" t="str">
        <f ca="1">IF((AND((J$26=$Q$26),($Q$34&lt;&gt;6))),"Y","")</f>
        <v/>
      </c>
      <c r="K86" s="254" t="str">
        <f ca="1">IF((AND((K$26=$Q$26),($Q$34&lt;&gt;7))),"Y","")</f>
        <v/>
      </c>
      <c r="L86" s="254" t="str">
        <f ca="1">IF((AND((L$26=$Q$26),($Q$34&lt;&gt;8))),"Y","")</f>
        <v/>
      </c>
      <c r="M86" s="254" t="str">
        <f ca="1">IF((AND((M$26=$Q$26),($Q$34&lt;&gt;9))),"Y","")</f>
        <v/>
      </c>
      <c r="O86" s="252" t="str">
        <f t="shared" ca="1" si="103"/>
        <v/>
      </c>
      <c r="P86" s="252" t="str">
        <f t="shared" ca="1" si="104"/>
        <v/>
      </c>
      <c r="Q86" s="252" t="str">
        <f t="shared" ca="1" si="105"/>
        <v/>
      </c>
      <c r="R86" s="252" t="str">
        <f t="shared" ca="1" si="106"/>
        <v/>
      </c>
      <c r="S86" s="252" t="str">
        <f t="shared" ca="1" si="107"/>
        <v/>
      </c>
      <c r="T86" s="252" t="str">
        <f t="shared" ca="1" si="108"/>
        <v/>
      </c>
      <c r="U86" s="252" t="str">
        <f t="shared" ca="1" si="109"/>
        <v/>
      </c>
      <c r="V86" s="252" t="str">
        <f t="shared" ca="1" si="110"/>
        <v/>
      </c>
      <c r="W86" s="252" t="str">
        <f t="shared" ca="1" si="111"/>
        <v/>
      </c>
      <c r="X86" s="252" t="str">
        <f t="shared" ca="1" si="112"/>
        <v/>
      </c>
      <c r="Y86" s="252" t="str">
        <f t="shared" ca="1" si="113"/>
        <v/>
      </c>
      <c r="Z86" s="252" t="str">
        <f t="shared" ca="1" si="114"/>
        <v/>
      </c>
      <c r="AB86" s="151"/>
      <c r="AC86" s="151"/>
      <c r="AD86" s="151"/>
      <c r="AE86" s="151"/>
      <c r="AF86" s="151"/>
      <c r="AG86" s="151"/>
      <c r="AH86" s="151"/>
      <c r="AI86" s="151"/>
      <c r="AJ86" s="151"/>
      <c r="AK86" s="151"/>
      <c r="AL86" s="151"/>
      <c r="AM86" s="151"/>
      <c r="AN86" s="1"/>
    </row>
    <row r="87" spans="1:40">
      <c r="A87" s="25" t="s">
        <v>155</v>
      </c>
      <c r="B87" s="2" t="s">
        <v>142</v>
      </c>
      <c r="C87" s="5" t="s">
        <v>29</v>
      </c>
      <c r="D87" s="254" t="str">
        <f ca="1">IF((D$26=$R$26),"Y","")</f>
        <v/>
      </c>
      <c r="E87" s="254" t="str">
        <f ca="1">IF((AND((E$26=$R$26),($R$34&lt;&gt;1))),"Y","")</f>
        <v/>
      </c>
      <c r="F87" s="254" t="str">
        <f ca="1">IF((AND((F$26=$R$26),($R$34&lt;&gt;2))),"Y","")</f>
        <v/>
      </c>
      <c r="G87" s="254" t="str">
        <f ca="1">IF((AND((G$26=$R$26),($R$34&lt;&gt;3))),"Y","")</f>
        <v/>
      </c>
      <c r="H87" s="254" t="str">
        <f ca="1">IF((AND((H$26=$R$26),($R$34&lt;&gt;4))),"Y","")</f>
        <v>Y</v>
      </c>
      <c r="I87" s="254" t="str">
        <f ca="1">IF((AND((I$26=$R$26),($R$34&lt;&gt;5))),"Y","")</f>
        <v/>
      </c>
      <c r="J87" s="254" t="str">
        <f ca="1">IF((AND((J$26=$R$26),($R$34&lt;&gt;6))),"Y","")</f>
        <v/>
      </c>
      <c r="K87" s="254" t="str">
        <f ca="1">IF((AND((K$26=$R$26),($R$34&lt;&gt;7))),"Y","")</f>
        <v/>
      </c>
      <c r="L87" s="254" t="str">
        <f ca="1">IF((AND((L$26=$R$26),($R$34&lt;&gt;8))),"Y","")</f>
        <v/>
      </c>
      <c r="M87" s="254" t="str">
        <f ca="1">IF((AND((M$26=$R$26),($R$34&lt;&gt;9))),"Y","")</f>
        <v/>
      </c>
      <c r="O87" s="252" t="str">
        <f t="shared" ca="1" si="103"/>
        <v>Y</v>
      </c>
      <c r="P87" s="252" t="str">
        <f t="shared" ca="1" si="104"/>
        <v/>
      </c>
      <c r="Q87" s="252" t="str">
        <f t="shared" ca="1" si="105"/>
        <v/>
      </c>
      <c r="R87" s="252" t="str">
        <f t="shared" ca="1" si="106"/>
        <v/>
      </c>
      <c r="S87" s="252" t="str">
        <f t="shared" ca="1" si="107"/>
        <v/>
      </c>
      <c r="T87" s="252" t="str">
        <f t="shared" ca="1" si="108"/>
        <v/>
      </c>
      <c r="U87" s="252" t="str">
        <f t="shared" ca="1" si="109"/>
        <v/>
      </c>
      <c r="V87" s="252" t="str">
        <f t="shared" ca="1" si="110"/>
        <v>Y</v>
      </c>
      <c r="W87" s="252" t="str">
        <f t="shared" ca="1" si="111"/>
        <v/>
      </c>
      <c r="X87" s="252" t="str">
        <f t="shared" ca="1" si="112"/>
        <v/>
      </c>
      <c r="Y87" s="252" t="str">
        <f t="shared" ca="1" si="113"/>
        <v/>
      </c>
      <c r="Z87" s="252" t="str">
        <f t="shared" ca="1" si="114"/>
        <v/>
      </c>
      <c r="AB87" s="151"/>
      <c r="AC87" s="151"/>
      <c r="AD87" s="151"/>
      <c r="AE87" s="151"/>
      <c r="AF87" s="151"/>
      <c r="AG87" s="151"/>
      <c r="AH87" s="151"/>
      <c r="AI87" s="151"/>
      <c r="AJ87" s="151"/>
      <c r="AK87" s="151"/>
      <c r="AL87" s="151"/>
      <c r="AM87" s="151"/>
      <c r="AN87" s="1"/>
    </row>
    <row r="88" spans="1:40">
      <c r="A88" s="25" t="s">
        <v>156</v>
      </c>
      <c r="B88" s="2" t="s">
        <v>142</v>
      </c>
      <c r="C88" s="5" t="s">
        <v>30</v>
      </c>
      <c r="D88" s="254" t="str">
        <f ca="1">IF((D$26=$S$26),"Y","")</f>
        <v/>
      </c>
      <c r="E88" s="254" t="str">
        <f ca="1">IF((AND((E$26=$S$26),($S$34&lt;&gt;1))),"Y","")</f>
        <v/>
      </c>
      <c r="F88" s="254" t="str">
        <f ca="1">IF((AND((F$26=$S$26),($S$34&lt;&gt;2))),"Y","")</f>
        <v/>
      </c>
      <c r="G88" s="254" t="str">
        <f ca="1">IF((AND((G$26=$S$26),($S$34&lt;&gt;3))),"Y","")</f>
        <v/>
      </c>
      <c r="H88" s="254" t="str">
        <f ca="1">IF((AND((H$26=$S$26),($S$34&lt;&gt;4))),"Y","")</f>
        <v>Y</v>
      </c>
      <c r="I88" s="254" t="str">
        <f ca="1">IF((AND((I$26=$S$26),($S$34&lt;&gt;5))),"Y","")</f>
        <v/>
      </c>
      <c r="J88" s="254" t="str">
        <f ca="1">IF((AND((J$26=$S$26),($S$34&lt;&gt;6))),"Y","")</f>
        <v/>
      </c>
      <c r="K88" s="254" t="str">
        <f ca="1">IF((AND((K$26=$S$26),($S$34&lt;&gt;7))),"Y","")</f>
        <v/>
      </c>
      <c r="L88" s="254" t="str">
        <f ca="1">IF((AND((L$26=$S$26),($S$34&lt;&gt;8))),"Y","")</f>
        <v/>
      </c>
      <c r="M88" s="254" t="str">
        <f ca="1">IF((AND((M$26=$S$26),($S$34&lt;&gt;9))),"Y","")</f>
        <v/>
      </c>
      <c r="O88" s="252" t="str">
        <f t="shared" ca="1" si="103"/>
        <v>Y</v>
      </c>
      <c r="P88" s="252" t="str">
        <f t="shared" ca="1" si="104"/>
        <v/>
      </c>
      <c r="Q88" s="252" t="str">
        <f t="shared" ca="1" si="105"/>
        <v/>
      </c>
      <c r="R88" s="252" t="str">
        <f t="shared" ca="1" si="106"/>
        <v/>
      </c>
      <c r="S88" s="252" t="str">
        <f t="shared" ca="1" si="107"/>
        <v/>
      </c>
      <c r="T88" s="252" t="str">
        <f t="shared" ca="1" si="108"/>
        <v/>
      </c>
      <c r="U88" s="252" t="str">
        <f t="shared" ca="1" si="109"/>
        <v/>
      </c>
      <c r="V88" s="252" t="str">
        <f t="shared" ca="1" si="110"/>
        <v>Y</v>
      </c>
      <c r="W88" s="252" t="str">
        <f t="shared" ca="1" si="111"/>
        <v/>
      </c>
      <c r="X88" s="252" t="str">
        <f t="shared" ca="1" si="112"/>
        <v/>
      </c>
      <c r="Y88" s="252" t="str">
        <f t="shared" ca="1" si="113"/>
        <v/>
      </c>
      <c r="Z88" s="252" t="str">
        <f t="shared" ca="1" si="114"/>
        <v/>
      </c>
      <c r="AB88" s="151"/>
      <c r="AC88" s="151"/>
      <c r="AD88" s="151"/>
      <c r="AE88" s="151"/>
      <c r="AF88" s="151"/>
      <c r="AG88" s="151"/>
      <c r="AH88" s="151"/>
      <c r="AI88" s="151"/>
      <c r="AJ88" s="151"/>
      <c r="AK88" s="151"/>
      <c r="AL88" s="151"/>
      <c r="AM88" s="151"/>
      <c r="AN88" s="1"/>
    </row>
    <row r="89" spans="1:40">
      <c r="A89" s="25" t="s">
        <v>157</v>
      </c>
      <c r="B89" s="2" t="s">
        <v>142</v>
      </c>
      <c r="C89" s="5" t="s">
        <v>31</v>
      </c>
      <c r="D89" s="254" t="str">
        <f ca="1">IF((D$26=$T$26),"Y","")</f>
        <v/>
      </c>
      <c r="E89" s="254" t="str">
        <f ca="1">IF((AND((E$26=$T$26),($T$34&lt;&gt;1))),"Y","")</f>
        <v/>
      </c>
      <c r="F89" s="254" t="str">
        <f ca="1">IF((AND((F$26=$T$26),($T$34&lt;&gt;2))),"Y","")</f>
        <v/>
      </c>
      <c r="G89" s="254" t="str">
        <f ca="1">IF((AND((G$26=$T$26),($T$34&lt;&gt;3))),"Y","")</f>
        <v/>
      </c>
      <c r="H89" s="254" t="str">
        <f ca="1">IF((AND((H$26=$T$26),($T$34&lt;&gt;4))),"Y","")</f>
        <v/>
      </c>
      <c r="I89" s="254" t="str">
        <f ca="1">IF((AND((I$26=$T$26),($T$34&lt;&gt;5))),"Y","")</f>
        <v/>
      </c>
      <c r="J89" s="254" t="str">
        <f ca="1">IF((AND((J$26=$T$26),($T$34&lt;&gt;6))),"Y","")</f>
        <v/>
      </c>
      <c r="K89" s="254" t="str">
        <f ca="1">IF((AND((K$26=$T$26),($T$34&lt;&gt;7))),"Y","")</f>
        <v/>
      </c>
      <c r="L89" s="254" t="str">
        <f ca="1">IF((AND((L$26=$T$26),($T$34&lt;&gt;8))),"Y","")</f>
        <v/>
      </c>
      <c r="M89" s="254" t="str">
        <f ca="1">IF((AND((M$26=$T$26),($T$34&lt;&gt;9))),"Y","")</f>
        <v/>
      </c>
      <c r="O89" s="252" t="str">
        <f t="shared" ca="1" si="103"/>
        <v/>
      </c>
      <c r="P89" s="252" t="str">
        <f t="shared" ca="1" si="104"/>
        <v/>
      </c>
      <c r="Q89" s="252" t="str">
        <f t="shared" ca="1" si="105"/>
        <v/>
      </c>
      <c r="R89" s="252" t="str">
        <f t="shared" ca="1" si="106"/>
        <v/>
      </c>
      <c r="S89" s="252" t="str">
        <f t="shared" ca="1" si="107"/>
        <v/>
      </c>
      <c r="T89" s="252" t="str">
        <f t="shared" ca="1" si="108"/>
        <v/>
      </c>
      <c r="U89" s="252" t="str">
        <f t="shared" ca="1" si="109"/>
        <v/>
      </c>
      <c r="V89" s="252" t="str">
        <f t="shared" ca="1" si="110"/>
        <v/>
      </c>
      <c r="W89" s="252" t="str">
        <f t="shared" ca="1" si="111"/>
        <v/>
      </c>
      <c r="X89" s="252" t="str">
        <f t="shared" ca="1" si="112"/>
        <v/>
      </c>
      <c r="Y89" s="252" t="str">
        <f t="shared" ca="1" si="113"/>
        <v/>
      </c>
      <c r="Z89" s="252" t="str">
        <f t="shared" ca="1" si="114"/>
        <v/>
      </c>
      <c r="AB89" s="151"/>
      <c r="AC89" s="151"/>
      <c r="AD89" s="151"/>
      <c r="AE89" s="151"/>
      <c r="AF89" s="151"/>
      <c r="AG89" s="151"/>
      <c r="AH89" s="151"/>
      <c r="AI89" s="151"/>
      <c r="AJ89" s="151"/>
      <c r="AK89" s="151"/>
      <c r="AL89" s="151"/>
      <c r="AM89" s="151"/>
      <c r="AN89" s="1"/>
    </row>
    <row r="90" spans="1:40">
      <c r="A90" s="25" t="s">
        <v>158</v>
      </c>
      <c r="B90" s="2" t="s">
        <v>142</v>
      </c>
      <c r="C90" s="5" t="s">
        <v>32</v>
      </c>
      <c r="D90" s="254" t="str">
        <f ca="1">IF((D$26=$U$26),"Y","")</f>
        <v/>
      </c>
      <c r="E90" s="254" t="str">
        <f ca="1">IF((AND((E$26=$U$26),($U$34&lt;&gt;1))),"Y","")</f>
        <v/>
      </c>
      <c r="F90" s="254" t="str">
        <f ca="1">IF((AND((F$26=$U$26),($U$34&lt;&gt;2))),"Y","")</f>
        <v>Y</v>
      </c>
      <c r="G90" s="254" t="str">
        <f ca="1">IF((AND((G$26=$U$26),($U$34&lt;&gt;3))),"Y","")</f>
        <v/>
      </c>
      <c r="H90" s="254" t="str">
        <f ca="1">IF((AND((H$26=$U$26),($U$34&lt;&gt;4))),"Y","")</f>
        <v/>
      </c>
      <c r="I90" s="254" t="str">
        <f ca="1">IF((AND((I$26=$U$26),($U$34&lt;&gt;5))),"Y","")</f>
        <v/>
      </c>
      <c r="J90" s="254" t="str">
        <f ca="1">IF((AND((J$26=$U$26),($U$34&lt;&gt;6))),"Y","")</f>
        <v/>
      </c>
      <c r="K90" s="254" t="str">
        <f ca="1">IF((AND((K$26=$U$26),($U$34&lt;&gt;7))),"Y","")</f>
        <v/>
      </c>
      <c r="L90" s="254" t="str">
        <f ca="1">IF((AND((L$26=$U$26),($U$34&lt;&gt;8))),"Y","")</f>
        <v/>
      </c>
      <c r="M90" s="254" t="str">
        <f ca="1">IF((AND((M$26=$U$26),($U$34&lt;&gt;9))),"Y","")</f>
        <v/>
      </c>
      <c r="O90" s="252" t="str">
        <f t="shared" ca="1" si="103"/>
        <v/>
      </c>
      <c r="P90" s="252" t="str">
        <f t="shared" ca="1" si="104"/>
        <v/>
      </c>
      <c r="Q90" s="252" t="str">
        <f t="shared" ca="1" si="105"/>
        <v/>
      </c>
      <c r="R90" s="252" t="str">
        <f t="shared" ca="1" si="106"/>
        <v/>
      </c>
      <c r="S90" s="252" t="str">
        <f t="shared" ca="1" si="107"/>
        <v/>
      </c>
      <c r="T90" s="252" t="str">
        <f t="shared" ca="1" si="108"/>
        <v/>
      </c>
      <c r="U90" s="252" t="str">
        <f t="shared" ca="1" si="109"/>
        <v/>
      </c>
      <c r="V90" s="252" t="str">
        <f t="shared" ca="1" si="110"/>
        <v/>
      </c>
      <c r="W90" s="252" t="str">
        <f t="shared" ca="1" si="111"/>
        <v/>
      </c>
      <c r="X90" s="252" t="str">
        <f t="shared" ca="1" si="112"/>
        <v>Y</v>
      </c>
      <c r="Y90" s="252" t="str">
        <f t="shared" ca="1" si="113"/>
        <v/>
      </c>
      <c r="Z90" s="252" t="str">
        <f t="shared" ca="1" si="114"/>
        <v/>
      </c>
      <c r="AB90" s="151"/>
      <c r="AC90" s="151"/>
      <c r="AD90" s="151"/>
      <c r="AE90" s="151"/>
      <c r="AF90" s="151"/>
      <c r="AG90" s="151"/>
      <c r="AH90" s="151"/>
      <c r="AI90" s="151"/>
      <c r="AJ90" s="151"/>
      <c r="AK90" s="151"/>
      <c r="AL90" s="151"/>
      <c r="AM90" s="151"/>
      <c r="AN90" s="1"/>
    </row>
    <row r="91" spans="1:40">
      <c r="A91" s="25" t="s">
        <v>159</v>
      </c>
      <c r="B91" s="2" t="s">
        <v>142</v>
      </c>
      <c r="C91" s="5" t="s">
        <v>33</v>
      </c>
      <c r="D91" s="254" t="str">
        <f ca="1">IF((D$26=$V$26),"Y","")</f>
        <v/>
      </c>
      <c r="E91" s="254" t="str">
        <f ca="1">IF((AND((E$26=$V$26),($V$34&lt;&gt;1))),"Y","")</f>
        <v/>
      </c>
      <c r="F91" s="254" t="str">
        <f ca="1">IF((AND((F$26=$V$26),($V$34&lt;&gt;2))),"Y","")</f>
        <v/>
      </c>
      <c r="G91" s="254" t="str">
        <f ca="1">IF((AND((G$26=$V$26),($V$34&lt;&gt;3))),"Y","")</f>
        <v/>
      </c>
      <c r="H91" s="254" t="str">
        <f ca="1">IF((AND((H$26=$V$26),($V$34&lt;&gt;4))),"Y","")</f>
        <v/>
      </c>
      <c r="I91" s="254" t="str">
        <f ca="1">IF((AND((I$26=$V$26),($V$34&lt;&gt;5))),"Y","")</f>
        <v/>
      </c>
      <c r="J91" s="254" t="str">
        <f ca="1">IF((AND((J$26=$V$26),($V$34&lt;&gt;6))),"Y","")</f>
        <v/>
      </c>
      <c r="K91" s="254" t="str">
        <f ca="1">IF((AND((K$26=$V$26),($V$34&lt;&gt;7))),"Y","")</f>
        <v>Y</v>
      </c>
      <c r="L91" s="254" t="str">
        <f ca="1">IF((AND((L$26=$V$26),($V$34&lt;&gt;8))),"Y","")</f>
        <v/>
      </c>
      <c r="M91" s="254" t="str">
        <f ca="1">IF((AND((M$26=$V$26),($V$34&lt;&gt;9))),"Y","")</f>
        <v/>
      </c>
      <c r="O91" s="252" t="str">
        <f t="shared" ca="1" si="103"/>
        <v/>
      </c>
      <c r="P91" s="252" t="str">
        <f t="shared" ca="1" si="104"/>
        <v/>
      </c>
      <c r="Q91" s="252" t="str">
        <f t="shared" ca="1" si="105"/>
        <v/>
      </c>
      <c r="R91" s="252" t="str">
        <f t="shared" ca="1" si="106"/>
        <v>Y</v>
      </c>
      <c r="S91" s="252" t="str">
        <f t="shared" ca="1" si="107"/>
        <v>Y</v>
      </c>
      <c r="T91" s="252" t="str">
        <f t="shared" ca="1" si="108"/>
        <v/>
      </c>
      <c r="U91" s="252" t="str">
        <f t="shared" ca="1" si="109"/>
        <v/>
      </c>
      <c r="V91" s="252" t="str">
        <f t="shared" ca="1" si="110"/>
        <v/>
      </c>
      <c r="W91" s="252" t="str">
        <f t="shared" ca="1" si="111"/>
        <v/>
      </c>
      <c r="X91" s="252" t="str">
        <f t="shared" ca="1" si="112"/>
        <v/>
      </c>
      <c r="Y91" s="252" t="str">
        <f t="shared" ca="1" si="113"/>
        <v/>
      </c>
      <c r="Z91" s="252" t="str">
        <f t="shared" ca="1" si="114"/>
        <v/>
      </c>
      <c r="AB91" s="151"/>
      <c r="AC91" s="151"/>
      <c r="AD91" s="151"/>
      <c r="AE91" s="151"/>
      <c r="AF91" s="151"/>
      <c r="AG91" s="151"/>
      <c r="AH91" s="151"/>
      <c r="AI91" s="151"/>
      <c r="AJ91" s="151"/>
      <c r="AK91" s="151"/>
      <c r="AL91" s="151"/>
      <c r="AM91" s="151"/>
      <c r="AN91" s="1"/>
    </row>
    <row r="92" spans="1:40">
      <c r="A92" s="25" t="s">
        <v>160</v>
      </c>
      <c r="B92" s="2" t="s">
        <v>142</v>
      </c>
      <c r="C92" s="5" t="s">
        <v>34</v>
      </c>
      <c r="D92" s="254" t="str">
        <f ca="1">IF((D$26=$W$26),"Y","")</f>
        <v/>
      </c>
      <c r="E92" s="254" t="str">
        <f ca="1">IF((AND((E$26=$W$26),($W$34&lt;&gt;1))),"Y","")</f>
        <v>Y</v>
      </c>
      <c r="F92" s="254" t="str">
        <f ca="1">IF((AND((F$26=$W$26),($W$34&lt;&gt;2))),"Y","")</f>
        <v/>
      </c>
      <c r="G92" s="254" t="str">
        <f ca="1">IF((AND((G$26=$W$26),($W$34&lt;&gt;3))),"Y","")</f>
        <v/>
      </c>
      <c r="H92" s="254" t="str">
        <f ca="1">IF((AND((H$26=$W$26),($W$34&lt;&gt;4))),"Y","")</f>
        <v/>
      </c>
      <c r="I92" s="254" t="str">
        <f ca="1">IF((AND((I$26=$W$26),($W$34&lt;&gt;5))),"Y","")</f>
        <v/>
      </c>
      <c r="J92" s="254" t="str">
        <f ca="1">IF((AND((J$26=$W$26),($W$34&lt;&gt;6))),"Y","")</f>
        <v/>
      </c>
      <c r="K92" s="254" t="str">
        <f ca="1">IF((AND((K$26=$W$26),($W$34&lt;&gt;7))),"Y","")</f>
        <v/>
      </c>
      <c r="L92" s="254" t="str">
        <f ca="1">IF((AND((L$26=$W$26),($W$34&lt;&gt;8))),"Y","")</f>
        <v/>
      </c>
      <c r="M92" s="254" t="str">
        <f ca="1">IF((AND((M$26=$W$26),($W$34&lt;&gt;9))),"Y","")</f>
        <v>Y</v>
      </c>
      <c r="O92" s="252" t="str">
        <f t="shared" ca="1" si="103"/>
        <v/>
      </c>
      <c r="P92" s="252" t="str">
        <f t="shared" ca="1" si="104"/>
        <v/>
      </c>
      <c r="Q92" s="252" t="str">
        <f t="shared" ca="1" si="105"/>
        <v/>
      </c>
      <c r="R92" s="252" t="str">
        <f t="shared" ca="1" si="106"/>
        <v/>
      </c>
      <c r="S92" s="252" t="str">
        <f t="shared" ca="1" si="107"/>
        <v/>
      </c>
      <c r="T92" s="252" t="str">
        <f t="shared" ca="1" si="108"/>
        <v/>
      </c>
      <c r="U92" s="252" t="str">
        <f t="shared" ca="1" si="109"/>
        <v/>
      </c>
      <c r="V92" s="252" t="str">
        <f t="shared" ca="1" si="110"/>
        <v/>
      </c>
      <c r="W92" s="252" t="str">
        <f t="shared" ca="1" si="111"/>
        <v/>
      </c>
      <c r="X92" s="252" t="str">
        <f t="shared" ca="1" si="112"/>
        <v/>
      </c>
      <c r="Y92" s="252" t="str">
        <f t="shared" ca="1" si="113"/>
        <v>Y</v>
      </c>
      <c r="Z92" s="252" t="str">
        <f t="shared" ca="1" si="114"/>
        <v/>
      </c>
      <c r="AB92" s="151"/>
      <c r="AC92" s="151"/>
      <c r="AD92" s="151"/>
      <c r="AE92" s="151"/>
      <c r="AF92" s="151"/>
      <c r="AG92" s="151"/>
      <c r="AH92" s="151"/>
      <c r="AI92" s="151"/>
      <c r="AJ92" s="151"/>
      <c r="AK92" s="151"/>
      <c r="AL92" s="151"/>
      <c r="AM92" s="151"/>
      <c r="AN92" s="1"/>
    </row>
    <row r="93" spans="1:40">
      <c r="A93" s="25" t="s">
        <v>161</v>
      </c>
      <c r="B93" s="2" t="s">
        <v>142</v>
      </c>
      <c r="C93" s="5" t="s">
        <v>35</v>
      </c>
      <c r="D93" s="254" t="str">
        <f ca="1">IF((D$26=$X$26),"Y","")</f>
        <v/>
      </c>
      <c r="E93" s="254" t="str">
        <f ca="1">IF((AND((E$26=$X$26),($X$34&lt;&gt;1))),"Y","")</f>
        <v/>
      </c>
      <c r="F93" s="254" t="str">
        <f ca="1">IF((AND((F$26=$X$26),($X$34&lt;&gt;2))),"Y","")</f>
        <v/>
      </c>
      <c r="G93" s="254" t="str">
        <f ca="1">IF((AND((G$26=$X$26),($X$34&lt;&gt;3))),"Y","")</f>
        <v/>
      </c>
      <c r="H93" s="254" t="str">
        <f ca="1">IF((AND((H$26=$X$26),($X$34&lt;&gt;4))),"Y","")</f>
        <v/>
      </c>
      <c r="I93" s="254" t="str">
        <f ca="1">IF((AND((I$26=$X$26),($X$34&lt;&gt;5))),"Y","")</f>
        <v>Y</v>
      </c>
      <c r="J93" s="254" t="str">
        <f ca="1">IF((AND((J$26=$X$26),($X$34&lt;&gt;6))),"Y","")</f>
        <v/>
      </c>
      <c r="K93" s="254" t="str">
        <f ca="1">IF((AND((K$26=$X$26),($X$34&lt;&gt;7))),"Y","")</f>
        <v/>
      </c>
      <c r="L93" s="254" t="str">
        <f ca="1">IF((AND((L$26=$X$26),($X$34&lt;&gt;8))),"Y","")</f>
        <v/>
      </c>
      <c r="M93" s="254" t="str">
        <f ca="1">IF((AND((M$26=$X$26),($X$34&lt;&gt;9))),"Y","")</f>
        <v/>
      </c>
      <c r="O93" s="252" t="str">
        <f t="shared" ca="1" si="103"/>
        <v/>
      </c>
      <c r="P93" s="252" t="str">
        <f t="shared" ca="1" si="104"/>
        <v>Y</v>
      </c>
      <c r="Q93" s="252" t="str">
        <f t="shared" ca="1" si="105"/>
        <v/>
      </c>
      <c r="R93" s="252" t="str">
        <f t="shared" ca="1" si="106"/>
        <v/>
      </c>
      <c r="S93" s="252" t="str">
        <f t="shared" ca="1" si="107"/>
        <v/>
      </c>
      <c r="T93" s="252" t="str">
        <f t="shared" ca="1" si="108"/>
        <v/>
      </c>
      <c r="U93" s="252" t="str">
        <f t="shared" ca="1" si="109"/>
        <v>Y</v>
      </c>
      <c r="V93" s="252" t="str">
        <f t="shared" ca="1" si="110"/>
        <v/>
      </c>
      <c r="W93" s="252" t="str">
        <f t="shared" ca="1" si="111"/>
        <v/>
      </c>
      <c r="X93" s="252" t="str">
        <f t="shared" ca="1" si="112"/>
        <v/>
      </c>
      <c r="Y93" s="252" t="str">
        <f t="shared" ca="1" si="113"/>
        <v/>
      </c>
      <c r="Z93" s="252" t="str">
        <f t="shared" ca="1" si="114"/>
        <v/>
      </c>
      <c r="AB93" s="151"/>
      <c r="AC93" s="151"/>
      <c r="AD93" s="151"/>
      <c r="AE93" s="151"/>
      <c r="AF93" s="151"/>
      <c r="AG93" s="151"/>
      <c r="AH93" s="151"/>
      <c r="AI93" s="151"/>
      <c r="AJ93" s="151"/>
      <c r="AK93" s="151"/>
      <c r="AL93" s="151"/>
      <c r="AM93" s="151"/>
      <c r="AN93" s="1"/>
    </row>
    <row r="94" spans="1:40">
      <c r="A94" s="25" t="s">
        <v>162</v>
      </c>
      <c r="B94" s="2" t="s">
        <v>142</v>
      </c>
      <c r="C94" s="5" t="s">
        <v>36</v>
      </c>
      <c r="D94" s="254" t="str">
        <f ca="1">IF((D$26=$Y$26),"Y","")</f>
        <v/>
      </c>
      <c r="E94" s="254" t="str">
        <f ca="1">IF((AND((E$26=$Y$26),($Y$34&lt;&gt;1))),"Y","")</f>
        <v/>
      </c>
      <c r="F94" s="254" t="str">
        <f ca="1">IF((AND((F$26=$Y$26),($Y$34&lt;&gt;2))),"Y","")</f>
        <v/>
      </c>
      <c r="G94" s="254" t="str">
        <f ca="1">IF((AND((G$26=$Y$26),($Y$34&lt;&gt;3))),"Y","")</f>
        <v>Y</v>
      </c>
      <c r="H94" s="254" t="str">
        <f ca="1">IF((AND((H$26=$Y$26),($Y$34&lt;&gt;4))),"Y","")</f>
        <v/>
      </c>
      <c r="I94" s="254" t="str">
        <f ca="1">IF((AND((I$26=$Y$26),($Y$34&lt;&gt;5))),"Y","")</f>
        <v/>
      </c>
      <c r="J94" s="254" t="str">
        <f ca="1">IF((AND((J$26=$Y$26),($Y$34&lt;&gt;6))),"Y","")</f>
        <v/>
      </c>
      <c r="K94" s="254" t="str">
        <f ca="1">IF((AND((K$26=$Y$26),($Y$34&lt;&gt;7))),"Y","")</f>
        <v/>
      </c>
      <c r="L94" s="254" t="str">
        <f ca="1">IF((AND((L$26=$Y$26),($Y$34&lt;&gt;8))),"Y","")</f>
        <v/>
      </c>
      <c r="M94" s="254" t="str">
        <f ca="1">IF((AND((M$26=$Y$26),($Y$34&lt;&gt;9))),"Y","")</f>
        <v>Y</v>
      </c>
      <c r="O94" s="252" t="str">
        <f t="shared" ca="1" si="103"/>
        <v/>
      </c>
      <c r="P94" s="252" t="str">
        <f t="shared" ca="1" si="104"/>
        <v/>
      </c>
      <c r="Q94" s="252" t="str">
        <f t="shared" ca="1" si="105"/>
        <v/>
      </c>
      <c r="R94" s="252" t="str">
        <f t="shared" ca="1" si="106"/>
        <v/>
      </c>
      <c r="S94" s="252" t="str">
        <f t="shared" ca="1" si="107"/>
        <v/>
      </c>
      <c r="T94" s="252" t="str">
        <f t="shared" ca="1" si="108"/>
        <v/>
      </c>
      <c r="U94" s="252" t="str">
        <f t="shared" ca="1" si="109"/>
        <v/>
      </c>
      <c r="V94" s="252" t="str">
        <f t="shared" ca="1" si="110"/>
        <v/>
      </c>
      <c r="W94" s="252" t="str">
        <f t="shared" ca="1" si="111"/>
        <v>Y</v>
      </c>
      <c r="X94" s="252" t="str">
        <f t="shared" ca="1" si="112"/>
        <v/>
      </c>
      <c r="Y94" s="252" t="str">
        <f t="shared" ca="1" si="113"/>
        <v/>
      </c>
      <c r="Z94" s="252" t="str">
        <f t="shared" ca="1" si="114"/>
        <v>Y</v>
      </c>
      <c r="AB94" s="151"/>
      <c r="AC94" s="151"/>
      <c r="AD94" s="151"/>
      <c r="AE94" s="151"/>
      <c r="AF94" s="151"/>
      <c r="AG94" s="151"/>
      <c r="AH94" s="151"/>
      <c r="AI94" s="151"/>
      <c r="AJ94" s="151"/>
      <c r="AK94" s="151"/>
      <c r="AL94" s="151"/>
      <c r="AM94" s="151"/>
      <c r="AN94" s="1"/>
    </row>
    <row r="95" spans="1:40">
      <c r="A95" s="25" t="s">
        <v>163</v>
      </c>
      <c r="B95" s="2" t="s">
        <v>142</v>
      </c>
      <c r="C95" s="5" t="s">
        <v>37</v>
      </c>
      <c r="D95" s="254" t="str">
        <f ca="1">IF((D$26=$Z$26),"Y","")</f>
        <v/>
      </c>
      <c r="E95" s="254" t="str">
        <f ca="1">IF((AND((E$26=$Z$26),($Z$34&lt;&gt;1))),"Y","")</f>
        <v>Y</v>
      </c>
      <c r="F95" s="254" t="str">
        <f ca="1">IF((AND((F$26=$Z$26),($Z$34&lt;&gt;2))),"Y","")</f>
        <v/>
      </c>
      <c r="G95" s="254" t="str">
        <f ca="1">IF((AND((G$26=$Z$26),($Z$34&lt;&gt;3))),"Y","")</f>
        <v/>
      </c>
      <c r="H95" s="254" t="str">
        <f ca="1">IF((AND((H$26=$Z$26),($Z$34&lt;&gt;4))),"Y","")</f>
        <v/>
      </c>
      <c r="I95" s="254" t="str">
        <f ca="1">IF((AND((I$26=$Z$26),($Z$34&lt;&gt;5))),"Y","")</f>
        <v/>
      </c>
      <c r="J95" s="254" t="str">
        <f ca="1">IF((AND((J$26=$Z$26),($Z$34&lt;&gt;6))),"Y","")</f>
        <v/>
      </c>
      <c r="K95" s="254" t="str">
        <f ca="1">IF((AND((K$26=$Z$26),($Z$34&lt;&gt;7))),"Y","")</f>
        <v/>
      </c>
      <c r="L95" s="254" t="str">
        <f ca="1">IF((AND((L$26=$Z$26),($Z$34&lt;&gt;8))),"Y","")</f>
        <v/>
      </c>
      <c r="M95" s="254" t="str">
        <f ca="1">IF((AND((M$26=$Z$26),($Z$34&lt;&gt;9))),"Y","")</f>
        <v>Y</v>
      </c>
      <c r="O95" s="252" t="str">
        <f t="shared" ca="1" si="103"/>
        <v/>
      </c>
      <c r="P95" s="252" t="str">
        <f t="shared" ca="1" si="104"/>
        <v/>
      </c>
      <c r="Q95" s="252" t="str">
        <f t="shared" ca="1" si="105"/>
        <v/>
      </c>
      <c r="R95" s="252" t="str">
        <f t="shared" ca="1" si="106"/>
        <v/>
      </c>
      <c r="S95" s="252" t="str">
        <f t="shared" ca="1" si="107"/>
        <v/>
      </c>
      <c r="T95" s="252" t="str">
        <f t="shared" ca="1" si="108"/>
        <v/>
      </c>
      <c r="U95" s="252" t="str">
        <f t="shared" ca="1" si="109"/>
        <v/>
      </c>
      <c r="V95" s="252" t="str">
        <f t="shared" ca="1" si="110"/>
        <v/>
      </c>
      <c r="W95" s="252" t="str">
        <f t="shared" ca="1" si="111"/>
        <v/>
      </c>
      <c r="X95" s="252" t="str">
        <f t="shared" ca="1" si="112"/>
        <v/>
      </c>
      <c r="Y95" s="252" t="str">
        <f t="shared" ca="1" si="113"/>
        <v>Y</v>
      </c>
      <c r="Z95" s="252" t="str">
        <f t="shared" ca="1" si="114"/>
        <v/>
      </c>
      <c r="AB95" s="151"/>
      <c r="AC95" s="151"/>
      <c r="AD95" s="151"/>
      <c r="AE95" s="151"/>
      <c r="AF95" s="151"/>
      <c r="AG95" s="151"/>
      <c r="AH95" s="151"/>
      <c r="AI95" s="151"/>
      <c r="AJ95" s="151"/>
      <c r="AK95" s="151"/>
      <c r="AL95" s="151"/>
      <c r="AM95" s="151"/>
      <c r="AN95" s="1"/>
    </row>
    <row r="96" spans="1:40">
      <c r="A96" s="58"/>
      <c r="B96" s="2"/>
      <c r="C96" s="5"/>
      <c r="D96" s="59"/>
      <c r="E96" s="59"/>
      <c r="F96" s="59"/>
      <c r="G96" s="59"/>
      <c r="H96" s="59"/>
      <c r="I96" s="59"/>
      <c r="J96" s="59"/>
      <c r="K96" s="59"/>
      <c r="L96" s="59"/>
      <c r="M96" s="59"/>
      <c r="O96" s="55"/>
      <c r="P96" s="55"/>
      <c r="Q96" s="55"/>
      <c r="R96" s="55"/>
      <c r="S96" s="55"/>
      <c r="T96" s="55"/>
      <c r="U96" s="55"/>
      <c r="V96" s="55"/>
      <c r="W96" s="55"/>
      <c r="X96" s="55"/>
      <c r="Y96" s="55"/>
      <c r="Z96" s="55"/>
      <c r="AB96" s="151"/>
      <c r="AC96" s="151"/>
      <c r="AD96" s="151"/>
      <c r="AE96" s="151"/>
      <c r="AF96" s="151"/>
      <c r="AG96" s="151"/>
      <c r="AH96" s="151"/>
      <c r="AI96" s="151"/>
      <c r="AJ96" s="151"/>
      <c r="AK96" s="151"/>
      <c r="AL96" s="151"/>
      <c r="AM96" s="151"/>
      <c r="AN96" s="1"/>
    </row>
    <row r="97" spans="1:40">
      <c r="A97" s="58"/>
      <c r="B97" s="2"/>
      <c r="C97" s="5"/>
      <c r="D97" s="59"/>
      <c r="E97" s="59"/>
      <c r="F97" s="59"/>
      <c r="G97" s="59"/>
      <c r="H97" s="59"/>
      <c r="I97" s="59"/>
      <c r="J97" s="59"/>
      <c r="K97" s="59"/>
      <c r="L97" s="59"/>
      <c r="M97" s="59"/>
      <c r="O97" s="55"/>
      <c r="P97" s="55"/>
      <c r="Q97" s="55"/>
      <c r="R97" s="55"/>
      <c r="S97" s="55"/>
      <c r="T97" s="55"/>
      <c r="U97" s="55"/>
      <c r="V97" s="55"/>
      <c r="W97" s="55"/>
      <c r="X97" s="55"/>
      <c r="Y97" s="55"/>
      <c r="Z97" s="55"/>
      <c r="AB97" s="151"/>
      <c r="AC97" s="151"/>
      <c r="AD97" s="151"/>
      <c r="AE97" s="151"/>
      <c r="AF97" s="151"/>
      <c r="AG97" s="151"/>
      <c r="AH97" s="151"/>
      <c r="AI97" s="151"/>
      <c r="AJ97" s="151"/>
      <c r="AK97" s="151"/>
      <c r="AL97" s="151"/>
      <c r="AM97" s="151"/>
      <c r="AN97" s="1"/>
    </row>
    <row r="98" spans="1:40" ht="16.2" thickBot="1">
      <c r="A98" s="58"/>
      <c r="B98" s="56" t="s">
        <v>164</v>
      </c>
      <c r="C98" s="51"/>
      <c r="D98" s="52"/>
      <c r="E98" s="52"/>
      <c r="F98" s="52"/>
      <c r="G98" s="52"/>
      <c r="H98" s="52"/>
      <c r="I98" s="52"/>
      <c r="J98" s="52"/>
      <c r="K98" s="52"/>
      <c r="L98" s="52"/>
      <c r="M98" s="52"/>
      <c r="N98" s="52"/>
      <c r="O98" s="52"/>
      <c r="P98" s="52"/>
      <c r="Q98" s="52"/>
      <c r="R98" s="52"/>
      <c r="S98" s="52"/>
      <c r="T98" s="52"/>
      <c r="U98" s="52"/>
      <c r="V98" s="52"/>
      <c r="W98" s="52"/>
      <c r="X98" s="52"/>
      <c r="Y98" s="52"/>
      <c r="Z98" s="52"/>
      <c r="AA98" s="52"/>
      <c r="AB98" s="60"/>
      <c r="AC98" s="60"/>
      <c r="AD98" s="60"/>
      <c r="AE98" s="60"/>
      <c r="AF98" s="60"/>
      <c r="AG98" s="60"/>
      <c r="AH98" s="60"/>
      <c r="AI98" s="60"/>
      <c r="AJ98" s="60"/>
      <c r="AK98" s="60"/>
      <c r="AL98" s="60"/>
      <c r="AM98" s="60"/>
      <c r="AN98" s="1"/>
    </row>
    <row r="99" spans="1:40">
      <c r="A99" s="61"/>
      <c r="B99" s="54"/>
      <c r="C99" s="49"/>
      <c r="D99" s="62"/>
      <c r="E99" s="62"/>
      <c r="F99" s="62"/>
      <c r="G99" s="62"/>
      <c r="H99" s="62"/>
      <c r="I99" s="62"/>
      <c r="J99" s="62"/>
      <c r="K99" s="62"/>
      <c r="L99" s="62"/>
      <c r="M99" s="62"/>
      <c r="AB99" s="151"/>
      <c r="AC99" s="151"/>
      <c r="AD99" s="151"/>
      <c r="AE99" s="151"/>
      <c r="AF99" s="151"/>
      <c r="AG99" s="151"/>
      <c r="AH99" s="151"/>
      <c r="AI99" s="151"/>
      <c r="AJ99" s="151"/>
      <c r="AK99" s="151"/>
      <c r="AL99" s="151"/>
      <c r="AM99" s="151"/>
    </row>
    <row r="100" spans="1:40">
      <c r="A100" s="63" t="s">
        <v>165</v>
      </c>
      <c r="B100" s="54" t="s">
        <v>166</v>
      </c>
      <c r="C100" s="49" t="s">
        <v>167</v>
      </c>
      <c r="D100" s="255" t="str">
        <f t="shared" ref="D100:M100" si="115">IF(D$26=1,"Y","")</f>
        <v/>
      </c>
      <c r="E100" s="255" t="str">
        <f t="shared" si="115"/>
        <v/>
      </c>
      <c r="F100" s="255" t="str">
        <f t="shared" si="115"/>
        <v/>
      </c>
      <c r="G100" s="255" t="str">
        <f t="shared" si="115"/>
        <v/>
      </c>
      <c r="H100" s="255" t="str">
        <f t="shared" si="115"/>
        <v/>
      </c>
      <c r="I100" s="255" t="str">
        <f t="shared" si="115"/>
        <v/>
      </c>
      <c r="J100" s="255" t="str">
        <f t="shared" si="115"/>
        <v/>
      </c>
      <c r="K100" s="255" t="str">
        <f t="shared" si="115"/>
        <v/>
      </c>
      <c r="L100" s="255" t="str">
        <f t="shared" si="115"/>
        <v/>
      </c>
      <c r="M100" s="255" t="str">
        <f t="shared" si="115"/>
        <v/>
      </c>
      <c r="O100" s="252" t="str">
        <f t="shared" ref="O100:O111" ca="1" si="116">IF(ISBLANK(OFFSET(O100,0,-11+O$34))," ",OFFSET(O100,0,-11+O$34))</f>
        <v/>
      </c>
      <c r="P100" s="252" t="str">
        <f t="shared" ref="P100:P111" ca="1" si="117">IF(ISBLANK(OFFSET(P100,0,-12+P$34))," ",OFFSET(P100,0,-12+P$34))</f>
        <v/>
      </c>
      <c r="Q100" s="252" t="str">
        <f t="shared" ref="Q100:Q111" ca="1" si="118">IF(ISBLANK(OFFSET(Q100,0,-13+Q$34))," ",OFFSET(Q100,0,-13+Q$34))</f>
        <v/>
      </c>
      <c r="R100" s="252" t="str">
        <f t="shared" ref="R100:R111" ca="1" si="119">IF(ISBLANK(OFFSET(R100,0,-14+R$34))," ",OFFSET(R100,0,-14+R$34))</f>
        <v/>
      </c>
      <c r="S100" s="252" t="str">
        <f t="shared" ref="S100:S111" ca="1" si="120">IF(ISBLANK(OFFSET(S100,0,-15+S$34))," ",OFFSET(S100,0,-15+S$34))</f>
        <v/>
      </c>
      <c r="T100" s="252" t="str">
        <f t="shared" ref="T100:T111" ca="1" si="121">IF(ISBLANK(OFFSET(T100,0,-16+T$34))," ",OFFSET(T100,0,-16+T$34))</f>
        <v/>
      </c>
      <c r="U100" s="252" t="str">
        <f t="shared" ref="U100:U111" ca="1" si="122">IF(ISBLANK(OFFSET(U100,0,-17+U$34))," ",OFFSET(U100,0,-17+U$34))</f>
        <v/>
      </c>
      <c r="V100" s="252" t="str">
        <f t="shared" ref="V100:V111" ca="1" si="123">IF(ISBLANK(OFFSET(V100,0,-18+V$34))," ",OFFSET(V100,0,-18+V$34))</f>
        <v/>
      </c>
      <c r="W100" s="252" t="str">
        <f t="shared" ref="W100:W111" ca="1" si="124">IF(ISBLANK(OFFSET(W100,0,-19+W$34))," ",OFFSET(W100,0,-19+W$34))</f>
        <v/>
      </c>
      <c r="X100" s="252" t="str">
        <f t="shared" ref="X100:X111" ca="1" si="125">IF(ISBLANK(OFFSET(X100,0,-20+X$34))," ",OFFSET(X100,0,-20+X$34))</f>
        <v/>
      </c>
      <c r="Y100" s="252" t="str">
        <f t="shared" ref="Y100:Y111" ca="1" si="126">IF(ISBLANK(OFFSET(Y100,0,-21+Y$34))," ",OFFSET(Y100,0,-21+Y$34))</f>
        <v/>
      </c>
      <c r="Z100" s="252" t="str">
        <f t="shared" ref="Z100:Z111" ca="1" si="127">IF(ISBLANK(OFFSET(Z100,0,-22+Z$34))," ",OFFSET(Z100,0,-22+Z$34))</f>
        <v/>
      </c>
      <c r="AB100" s="151"/>
      <c r="AC100" s="151"/>
      <c r="AD100" s="151"/>
      <c r="AE100" s="151"/>
      <c r="AF100" s="151"/>
      <c r="AG100" s="151"/>
      <c r="AH100" s="151"/>
      <c r="AI100" s="151"/>
      <c r="AJ100" s="151"/>
      <c r="AK100" s="151"/>
      <c r="AL100" s="151"/>
      <c r="AM100" s="151"/>
    </row>
    <row r="101" spans="1:40">
      <c r="A101" s="63" t="s">
        <v>168</v>
      </c>
      <c r="B101" s="54" t="s">
        <v>166</v>
      </c>
      <c r="C101" s="49" t="s">
        <v>169</v>
      </c>
      <c r="D101" s="255" t="str">
        <f t="shared" ref="D101:M101" si="128">IF(D$26=2,"Y","")</f>
        <v/>
      </c>
      <c r="E101" s="255" t="str">
        <f t="shared" si="128"/>
        <v/>
      </c>
      <c r="F101" s="255" t="str">
        <f t="shared" si="128"/>
        <v/>
      </c>
      <c r="G101" s="255" t="str">
        <f t="shared" si="128"/>
        <v/>
      </c>
      <c r="H101" s="255" t="str">
        <f t="shared" si="128"/>
        <v/>
      </c>
      <c r="I101" s="255" t="str">
        <f t="shared" si="128"/>
        <v/>
      </c>
      <c r="J101" s="255" t="str">
        <f t="shared" si="128"/>
        <v/>
      </c>
      <c r="K101" s="255" t="str">
        <f t="shared" si="128"/>
        <v/>
      </c>
      <c r="L101" s="255" t="str">
        <f t="shared" si="128"/>
        <v/>
      </c>
      <c r="M101" s="255" t="str">
        <f t="shared" si="128"/>
        <v/>
      </c>
      <c r="O101" s="252" t="str">
        <f t="shared" ca="1" si="116"/>
        <v/>
      </c>
      <c r="P101" s="252" t="str">
        <f t="shared" ca="1" si="117"/>
        <v/>
      </c>
      <c r="Q101" s="252" t="str">
        <f t="shared" ca="1" si="118"/>
        <v/>
      </c>
      <c r="R101" s="252" t="str">
        <f t="shared" ca="1" si="119"/>
        <v/>
      </c>
      <c r="S101" s="252" t="str">
        <f t="shared" ca="1" si="120"/>
        <v/>
      </c>
      <c r="T101" s="252" t="str">
        <f t="shared" ca="1" si="121"/>
        <v/>
      </c>
      <c r="U101" s="252" t="str">
        <f t="shared" ca="1" si="122"/>
        <v/>
      </c>
      <c r="V101" s="252" t="str">
        <f t="shared" ca="1" si="123"/>
        <v/>
      </c>
      <c r="W101" s="252" t="str">
        <f t="shared" ca="1" si="124"/>
        <v/>
      </c>
      <c r="X101" s="252" t="str">
        <f t="shared" ca="1" si="125"/>
        <v/>
      </c>
      <c r="Y101" s="252" t="str">
        <f t="shared" ca="1" si="126"/>
        <v/>
      </c>
      <c r="Z101" s="252" t="str">
        <f t="shared" ca="1" si="127"/>
        <v/>
      </c>
      <c r="AB101" s="151"/>
      <c r="AC101" s="151"/>
      <c r="AD101" s="151"/>
      <c r="AE101" s="151"/>
      <c r="AF101" s="151"/>
      <c r="AG101" s="151"/>
      <c r="AH101" s="151"/>
      <c r="AI101" s="151"/>
      <c r="AJ101" s="151"/>
      <c r="AK101" s="151"/>
      <c r="AL101" s="151"/>
      <c r="AM101" s="151"/>
    </row>
    <row r="102" spans="1:40">
      <c r="A102" s="63" t="s">
        <v>170</v>
      </c>
      <c r="B102" s="54" t="s">
        <v>166</v>
      </c>
      <c r="C102" s="49" t="s">
        <v>171</v>
      </c>
      <c r="D102" s="255" t="str">
        <f t="shared" ref="D102:M102" si="129">IF(D$26=3,"Y","")</f>
        <v/>
      </c>
      <c r="E102" s="255" t="str">
        <f t="shared" si="129"/>
        <v/>
      </c>
      <c r="F102" s="255" t="str">
        <f t="shared" si="129"/>
        <v/>
      </c>
      <c r="G102" s="255" t="str">
        <f t="shared" si="129"/>
        <v/>
      </c>
      <c r="H102" s="255" t="str">
        <f t="shared" si="129"/>
        <v/>
      </c>
      <c r="I102" s="255" t="str">
        <f t="shared" si="129"/>
        <v/>
      </c>
      <c r="J102" s="255" t="str">
        <f t="shared" si="129"/>
        <v/>
      </c>
      <c r="K102" s="255" t="str">
        <f t="shared" si="129"/>
        <v/>
      </c>
      <c r="L102" s="255" t="str">
        <f t="shared" si="129"/>
        <v/>
      </c>
      <c r="M102" s="255" t="str">
        <f t="shared" si="129"/>
        <v/>
      </c>
      <c r="O102" s="252" t="str">
        <f t="shared" ca="1" si="116"/>
        <v/>
      </c>
      <c r="P102" s="252" t="str">
        <f t="shared" ca="1" si="117"/>
        <v/>
      </c>
      <c r="Q102" s="252" t="str">
        <f t="shared" ca="1" si="118"/>
        <v/>
      </c>
      <c r="R102" s="252" t="str">
        <f t="shared" ca="1" si="119"/>
        <v/>
      </c>
      <c r="S102" s="252" t="str">
        <f t="shared" ca="1" si="120"/>
        <v/>
      </c>
      <c r="T102" s="252" t="str">
        <f t="shared" ca="1" si="121"/>
        <v/>
      </c>
      <c r="U102" s="252" t="str">
        <f t="shared" ca="1" si="122"/>
        <v/>
      </c>
      <c r="V102" s="252" t="str">
        <f t="shared" ca="1" si="123"/>
        <v/>
      </c>
      <c r="W102" s="252" t="str">
        <f t="shared" ca="1" si="124"/>
        <v/>
      </c>
      <c r="X102" s="252" t="str">
        <f t="shared" ca="1" si="125"/>
        <v/>
      </c>
      <c r="Y102" s="252" t="str">
        <f t="shared" ca="1" si="126"/>
        <v/>
      </c>
      <c r="Z102" s="252" t="str">
        <f t="shared" ca="1" si="127"/>
        <v/>
      </c>
      <c r="AB102" s="151"/>
      <c r="AC102" s="151"/>
      <c r="AD102" s="151"/>
      <c r="AE102" s="151"/>
      <c r="AF102" s="151"/>
      <c r="AG102" s="151"/>
      <c r="AH102" s="151"/>
      <c r="AI102" s="151"/>
      <c r="AJ102" s="151"/>
      <c r="AK102" s="151"/>
      <c r="AL102" s="151"/>
      <c r="AM102" s="151"/>
    </row>
    <row r="103" spans="1:40">
      <c r="A103" s="63" t="s">
        <v>172</v>
      </c>
      <c r="B103" s="54" t="s">
        <v>166</v>
      </c>
      <c r="C103" s="49" t="s">
        <v>173</v>
      </c>
      <c r="D103" s="255" t="str">
        <f t="shared" ref="D103:M103" si="130">IF(D$26=4,"Y","")</f>
        <v/>
      </c>
      <c r="E103" s="255" t="str">
        <f t="shared" si="130"/>
        <v/>
      </c>
      <c r="F103" s="255" t="str">
        <f t="shared" si="130"/>
        <v/>
      </c>
      <c r="G103" s="255" t="str">
        <f t="shared" si="130"/>
        <v/>
      </c>
      <c r="H103" s="255" t="str">
        <f t="shared" si="130"/>
        <v/>
      </c>
      <c r="I103" s="255" t="str">
        <f t="shared" si="130"/>
        <v/>
      </c>
      <c r="J103" s="255" t="str">
        <f t="shared" si="130"/>
        <v/>
      </c>
      <c r="K103" s="255" t="str">
        <f t="shared" si="130"/>
        <v/>
      </c>
      <c r="L103" s="255" t="str">
        <f t="shared" si="130"/>
        <v/>
      </c>
      <c r="M103" s="255" t="str">
        <f t="shared" si="130"/>
        <v/>
      </c>
      <c r="O103" s="252" t="str">
        <f t="shared" ca="1" si="116"/>
        <v/>
      </c>
      <c r="P103" s="252" t="str">
        <f t="shared" ca="1" si="117"/>
        <v/>
      </c>
      <c r="Q103" s="252" t="str">
        <f t="shared" ca="1" si="118"/>
        <v/>
      </c>
      <c r="R103" s="252" t="str">
        <f t="shared" ca="1" si="119"/>
        <v/>
      </c>
      <c r="S103" s="252" t="str">
        <f t="shared" ca="1" si="120"/>
        <v/>
      </c>
      <c r="T103" s="252" t="str">
        <f t="shared" ca="1" si="121"/>
        <v/>
      </c>
      <c r="U103" s="252" t="str">
        <f t="shared" ca="1" si="122"/>
        <v/>
      </c>
      <c r="V103" s="252" t="str">
        <f t="shared" ca="1" si="123"/>
        <v/>
      </c>
      <c r="W103" s="252" t="str">
        <f t="shared" ca="1" si="124"/>
        <v/>
      </c>
      <c r="X103" s="252" t="str">
        <f t="shared" ca="1" si="125"/>
        <v/>
      </c>
      <c r="Y103" s="252" t="str">
        <f t="shared" ca="1" si="126"/>
        <v/>
      </c>
      <c r="Z103" s="252" t="str">
        <f t="shared" ca="1" si="127"/>
        <v/>
      </c>
      <c r="AB103" s="151"/>
      <c r="AC103" s="151"/>
      <c r="AD103" s="151"/>
      <c r="AE103" s="151"/>
      <c r="AF103" s="151"/>
      <c r="AG103" s="151"/>
      <c r="AH103" s="151"/>
      <c r="AI103" s="151"/>
      <c r="AJ103" s="151"/>
      <c r="AK103" s="151"/>
      <c r="AL103" s="151"/>
      <c r="AM103" s="151"/>
    </row>
    <row r="104" spans="1:40">
      <c r="A104" s="63" t="s">
        <v>174</v>
      </c>
      <c r="B104" s="54" t="s">
        <v>166</v>
      </c>
      <c r="C104" s="49" t="s">
        <v>175</v>
      </c>
      <c r="D104" s="255" t="str">
        <f t="shared" ref="D104:M104" si="131">IF(D$26=5,"Y","")</f>
        <v/>
      </c>
      <c r="E104" s="255" t="str">
        <f t="shared" si="131"/>
        <v/>
      </c>
      <c r="F104" s="255" t="str">
        <f t="shared" si="131"/>
        <v/>
      </c>
      <c r="G104" s="255" t="str">
        <f t="shared" si="131"/>
        <v/>
      </c>
      <c r="H104" s="255" t="str">
        <f t="shared" si="131"/>
        <v>Y</v>
      </c>
      <c r="I104" s="255" t="str">
        <f t="shared" si="131"/>
        <v/>
      </c>
      <c r="J104" s="255" t="str">
        <f t="shared" si="131"/>
        <v/>
      </c>
      <c r="K104" s="255" t="str">
        <f t="shared" si="131"/>
        <v>Y</v>
      </c>
      <c r="L104" s="255" t="str">
        <f t="shared" si="131"/>
        <v/>
      </c>
      <c r="M104" s="255" t="str">
        <f t="shared" si="131"/>
        <v/>
      </c>
      <c r="O104" s="252" t="str">
        <f t="shared" ca="1" si="116"/>
        <v>Y</v>
      </c>
      <c r="P104" s="252" t="str">
        <f t="shared" ca="1" si="117"/>
        <v/>
      </c>
      <c r="Q104" s="252" t="str">
        <f t="shared" ca="1" si="118"/>
        <v/>
      </c>
      <c r="R104" s="252" t="str">
        <f t="shared" ca="1" si="119"/>
        <v>Y</v>
      </c>
      <c r="S104" s="252" t="str">
        <f t="shared" ca="1" si="120"/>
        <v>Y</v>
      </c>
      <c r="T104" s="252" t="str">
        <f t="shared" ca="1" si="121"/>
        <v/>
      </c>
      <c r="U104" s="252" t="str">
        <f t="shared" ca="1" si="122"/>
        <v/>
      </c>
      <c r="V104" s="252" t="str">
        <f t="shared" ca="1" si="123"/>
        <v>Y</v>
      </c>
      <c r="W104" s="252" t="str">
        <f t="shared" ca="1" si="124"/>
        <v/>
      </c>
      <c r="X104" s="252" t="str">
        <f t="shared" ca="1" si="125"/>
        <v/>
      </c>
      <c r="Y104" s="252" t="str">
        <f t="shared" ca="1" si="126"/>
        <v/>
      </c>
      <c r="Z104" s="252" t="str">
        <f t="shared" ca="1" si="127"/>
        <v/>
      </c>
      <c r="AB104" s="151"/>
      <c r="AC104" s="151"/>
      <c r="AD104" s="151"/>
      <c r="AE104" s="151"/>
      <c r="AF104" s="151"/>
      <c r="AG104" s="151"/>
      <c r="AH104" s="151"/>
      <c r="AI104" s="151"/>
      <c r="AJ104" s="151"/>
      <c r="AK104" s="151"/>
      <c r="AL104" s="151"/>
      <c r="AM104" s="151"/>
    </row>
    <row r="105" spans="1:40">
      <c r="A105" s="63" t="s">
        <v>176</v>
      </c>
      <c r="B105" s="54" t="s">
        <v>166</v>
      </c>
      <c r="C105" s="49" t="s">
        <v>177</v>
      </c>
      <c r="D105" s="255" t="str">
        <f t="shared" ref="D105:M105" si="132">IF(D$26=6,"Y","")</f>
        <v/>
      </c>
      <c r="E105" s="255" t="str">
        <f t="shared" si="132"/>
        <v>Y</v>
      </c>
      <c r="F105" s="255" t="str">
        <f t="shared" si="132"/>
        <v/>
      </c>
      <c r="G105" s="255" t="str">
        <f t="shared" si="132"/>
        <v>Y</v>
      </c>
      <c r="H105" s="255" t="str">
        <f t="shared" si="132"/>
        <v/>
      </c>
      <c r="I105" s="255" t="str">
        <f t="shared" si="132"/>
        <v/>
      </c>
      <c r="J105" s="255" t="str">
        <f t="shared" si="132"/>
        <v/>
      </c>
      <c r="K105" s="255" t="str">
        <f t="shared" si="132"/>
        <v/>
      </c>
      <c r="L105" s="255" t="str">
        <f t="shared" si="132"/>
        <v/>
      </c>
      <c r="M105" s="255" t="str">
        <f t="shared" si="132"/>
        <v>Y</v>
      </c>
      <c r="O105" s="252" t="str">
        <f t="shared" ca="1" si="116"/>
        <v/>
      </c>
      <c r="P105" s="252" t="str">
        <f t="shared" ca="1" si="117"/>
        <v/>
      </c>
      <c r="Q105" s="252" t="str">
        <f t="shared" ca="1" si="118"/>
        <v/>
      </c>
      <c r="R105" s="252" t="str">
        <f t="shared" ca="1" si="119"/>
        <v/>
      </c>
      <c r="S105" s="252" t="str">
        <f t="shared" ca="1" si="120"/>
        <v/>
      </c>
      <c r="T105" s="252" t="str">
        <f t="shared" ca="1" si="121"/>
        <v/>
      </c>
      <c r="U105" s="252" t="str">
        <f t="shared" ca="1" si="122"/>
        <v/>
      </c>
      <c r="V105" s="252" t="str">
        <f t="shared" ca="1" si="123"/>
        <v/>
      </c>
      <c r="W105" s="252" t="str">
        <f t="shared" ca="1" si="124"/>
        <v>Y</v>
      </c>
      <c r="X105" s="252" t="str">
        <f t="shared" ca="1" si="125"/>
        <v/>
      </c>
      <c r="Y105" s="252" t="str">
        <f t="shared" ca="1" si="126"/>
        <v>Y</v>
      </c>
      <c r="Z105" s="252" t="str">
        <f t="shared" ca="1" si="127"/>
        <v>Y</v>
      </c>
      <c r="AB105" s="151"/>
      <c r="AC105" s="151"/>
      <c r="AD105" s="151"/>
      <c r="AE105" s="151"/>
      <c r="AF105" s="151"/>
      <c r="AG105" s="151"/>
      <c r="AH105" s="151"/>
      <c r="AI105" s="151"/>
      <c r="AJ105" s="151"/>
      <c r="AK105" s="151"/>
      <c r="AL105" s="151"/>
      <c r="AM105" s="151"/>
    </row>
    <row r="106" spans="1:40">
      <c r="A106" s="63" t="s">
        <v>178</v>
      </c>
      <c r="B106" s="54" t="s">
        <v>166</v>
      </c>
      <c r="C106" s="49" t="s">
        <v>179</v>
      </c>
      <c r="D106" s="255" t="str">
        <f t="shared" ref="D106:M106" si="133">IF(D$26=7,"Y","")</f>
        <v>Y</v>
      </c>
      <c r="E106" s="255" t="str">
        <f t="shared" si="133"/>
        <v/>
      </c>
      <c r="F106" s="255" t="str">
        <f t="shared" si="133"/>
        <v/>
      </c>
      <c r="G106" s="255" t="str">
        <f t="shared" si="133"/>
        <v/>
      </c>
      <c r="H106" s="255" t="str">
        <f t="shared" si="133"/>
        <v/>
      </c>
      <c r="I106" s="255" t="str">
        <f t="shared" si="133"/>
        <v/>
      </c>
      <c r="J106" s="255" t="str">
        <f t="shared" si="133"/>
        <v/>
      </c>
      <c r="K106" s="255" t="str">
        <f t="shared" si="133"/>
        <v/>
      </c>
      <c r="L106" s="255" t="str">
        <f t="shared" si="133"/>
        <v/>
      </c>
      <c r="M106" s="255" t="str">
        <f t="shared" si="133"/>
        <v/>
      </c>
      <c r="O106" s="252" t="str">
        <f t="shared" ca="1" si="116"/>
        <v/>
      </c>
      <c r="P106" s="252" t="str">
        <f t="shared" ca="1" si="117"/>
        <v/>
      </c>
      <c r="Q106" s="252" t="str">
        <f t="shared" ca="1" si="118"/>
        <v/>
      </c>
      <c r="R106" s="252" t="str">
        <f t="shared" ca="1" si="119"/>
        <v/>
      </c>
      <c r="S106" s="252" t="str">
        <f t="shared" ca="1" si="120"/>
        <v/>
      </c>
      <c r="T106" s="252" t="str">
        <f t="shared" ca="1" si="121"/>
        <v/>
      </c>
      <c r="U106" s="252" t="str">
        <f t="shared" ca="1" si="122"/>
        <v/>
      </c>
      <c r="V106" s="252" t="str">
        <f t="shared" ca="1" si="123"/>
        <v/>
      </c>
      <c r="W106" s="252" t="str">
        <f t="shared" ca="1" si="124"/>
        <v/>
      </c>
      <c r="X106" s="252" t="str">
        <f t="shared" ca="1" si="125"/>
        <v/>
      </c>
      <c r="Y106" s="252" t="str">
        <f t="shared" ca="1" si="126"/>
        <v/>
      </c>
      <c r="Z106" s="252" t="str">
        <f t="shared" ca="1" si="127"/>
        <v/>
      </c>
      <c r="AB106" s="151"/>
      <c r="AC106" s="151"/>
      <c r="AD106" s="151"/>
      <c r="AE106" s="151"/>
      <c r="AF106" s="151"/>
      <c r="AG106" s="151"/>
      <c r="AH106" s="151"/>
      <c r="AI106" s="151"/>
      <c r="AJ106" s="151"/>
      <c r="AK106" s="151"/>
      <c r="AL106" s="151"/>
      <c r="AM106" s="151"/>
    </row>
    <row r="107" spans="1:40">
      <c r="A107" s="63" t="s">
        <v>180</v>
      </c>
      <c r="B107" s="54" t="s">
        <v>166</v>
      </c>
      <c r="C107" s="49" t="s">
        <v>181</v>
      </c>
      <c r="D107" s="255" t="str">
        <f t="shared" ref="D107:M107" si="134">IF(D$26=8,"Y","")</f>
        <v/>
      </c>
      <c r="E107" s="255" t="str">
        <f t="shared" si="134"/>
        <v/>
      </c>
      <c r="F107" s="255" t="str">
        <f t="shared" si="134"/>
        <v>Y</v>
      </c>
      <c r="G107" s="255" t="str">
        <f t="shared" si="134"/>
        <v/>
      </c>
      <c r="H107" s="255" t="str">
        <f t="shared" si="134"/>
        <v/>
      </c>
      <c r="I107" s="255" t="str">
        <f t="shared" si="134"/>
        <v>Y</v>
      </c>
      <c r="J107" s="255" t="str">
        <f t="shared" si="134"/>
        <v/>
      </c>
      <c r="K107" s="255" t="str">
        <f t="shared" si="134"/>
        <v/>
      </c>
      <c r="L107" s="255" t="str">
        <f t="shared" si="134"/>
        <v/>
      </c>
      <c r="M107" s="255" t="str">
        <f t="shared" si="134"/>
        <v/>
      </c>
      <c r="O107" s="252" t="str">
        <f t="shared" ca="1" si="116"/>
        <v/>
      </c>
      <c r="P107" s="252" t="str">
        <f t="shared" ca="1" si="117"/>
        <v>Y</v>
      </c>
      <c r="Q107" s="252" t="str">
        <f t="shared" ca="1" si="118"/>
        <v/>
      </c>
      <c r="R107" s="252" t="str">
        <f t="shared" ca="1" si="119"/>
        <v/>
      </c>
      <c r="S107" s="252" t="str">
        <f t="shared" ca="1" si="120"/>
        <v/>
      </c>
      <c r="T107" s="252" t="str">
        <f t="shared" ca="1" si="121"/>
        <v/>
      </c>
      <c r="U107" s="252" t="str">
        <f t="shared" ca="1" si="122"/>
        <v>Y</v>
      </c>
      <c r="V107" s="252" t="str">
        <f t="shared" ca="1" si="123"/>
        <v/>
      </c>
      <c r="W107" s="252" t="str">
        <f t="shared" ca="1" si="124"/>
        <v/>
      </c>
      <c r="X107" s="252" t="str">
        <f t="shared" ca="1" si="125"/>
        <v>Y</v>
      </c>
      <c r="Y107" s="252" t="str">
        <f t="shared" ca="1" si="126"/>
        <v/>
      </c>
      <c r="Z107" s="252" t="str">
        <f t="shared" ca="1" si="127"/>
        <v/>
      </c>
      <c r="AB107" s="151"/>
      <c r="AC107" s="151"/>
      <c r="AD107" s="151"/>
      <c r="AE107" s="151"/>
      <c r="AF107" s="151"/>
      <c r="AG107" s="151"/>
      <c r="AH107" s="151"/>
      <c r="AI107" s="151"/>
      <c r="AJ107" s="151"/>
      <c r="AK107" s="151"/>
      <c r="AL107" s="151"/>
      <c r="AM107" s="151"/>
    </row>
    <row r="108" spans="1:40">
      <c r="A108" s="63" t="s">
        <v>182</v>
      </c>
      <c r="B108" s="54" t="s">
        <v>166</v>
      </c>
      <c r="C108" s="49" t="s">
        <v>183</v>
      </c>
      <c r="D108" s="255" t="str">
        <f t="shared" ref="D108:M108" si="135">IF(D$26=9,"Y","")</f>
        <v/>
      </c>
      <c r="E108" s="255" t="str">
        <f t="shared" si="135"/>
        <v/>
      </c>
      <c r="F108" s="255" t="str">
        <f t="shared" si="135"/>
        <v/>
      </c>
      <c r="G108" s="255" t="str">
        <f t="shared" si="135"/>
        <v/>
      </c>
      <c r="H108" s="255" t="str">
        <f t="shared" si="135"/>
        <v/>
      </c>
      <c r="I108" s="255" t="str">
        <f t="shared" si="135"/>
        <v/>
      </c>
      <c r="J108" s="255" t="str">
        <f t="shared" si="135"/>
        <v/>
      </c>
      <c r="K108" s="255" t="str">
        <f t="shared" si="135"/>
        <v/>
      </c>
      <c r="L108" s="255" t="str">
        <f t="shared" si="135"/>
        <v/>
      </c>
      <c r="M108" s="255" t="str">
        <f t="shared" si="135"/>
        <v/>
      </c>
      <c r="O108" s="252" t="str">
        <f t="shared" ca="1" si="116"/>
        <v/>
      </c>
      <c r="P108" s="252" t="str">
        <f t="shared" ca="1" si="117"/>
        <v/>
      </c>
      <c r="Q108" s="252" t="str">
        <f t="shared" ca="1" si="118"/>
        <v/>
      </c>
      <c r="R108" s="252" t="str">
        <f t="shared" ca="1" si="119"/>
        <v/>
      </c>
      <c r="S108" s="252" t="str">
        <f t="shared" ca="1" si="120"/>
        <v/>
      </c>
      <c r="T108" s="252" t="str">
        <f t="shared" ca="1" si="121"/>
        <v/>
      </c>
      <c r="U108" s="252" t="str">
        <f t="shared" ca="1" si="122"/>
        <v/>
      </c>
      <c r="V108" s="252" t="str">
        <f t="shared" ca="1" si="123"/>
        <v/>
      </c>
      <c r="W108" s="252" t="str">
        <f t="shared" ca="1" si="124"/>
        <v/>
      </c>
      <c r="X108" s="252" t="str">
        <f t="shared" ca="1" si="125"/>
        <v/>
      </c>
      <c r="Y108" s="252" t="str">
        <f t="shared" ca="1" si="126"/>
        <v/>
      </c>
      <c r="Z108" s="252" t="str">
        <f t="shared" ca="1" si="127"/>
        <v/>
      </c>
      <c r="AB108" s="151"/>
      <c r="AC108" s="151"/>
      <c r="AD108" s="151"/>
      <c r="AE108" s="151"/>
      <c r="AF108" s="151"/>
      <c r="AG108" s="151"/>
      <c r="AH108" s="151"/>
      <c r="AI108" s="151"/>
      <c r="AJ108" s="151"/>
      <c r="AK108" s="151"/>
      <c r="AL108" s="151"/>
      <c r="AM108" s="151"/>
    </row>
    <row r="109" spans="1:40">
      <c r="A109" s="63" t="s">
        <v>184</v>
      </c>
      <c r="B109" s="54" t="s">
        <v>166</v>
      </c>
      <c r="C109" s="49" t="s">
        <v>185</v>
      </c>
      <c r="D109" s="255" t="str">
        <f t="shared" ref="D109:M109" si="136">IF(D$26=10,"Y","")</f>
        <v/>
      </c>
      <c r="E109" s="255" t="str">
        <f t="shared" si="136"/>
        <v/>
      </c>
      <c r="F109" s="255" t="str">
        <f t="shared" si="136"/>
        <v/>
      </c>
      <c r="G109" s="255" t="str">
        <f t="shared" si="136"/>
        <v/>
      </c>
      <c r="H109" s="255" t="str">
        <f t="shared" si="136"/>
        <v/>
      </c>
      <c r="I109" s="255" t="str">
        <f t="shared" si="136"/>
        <v/>
      </c>
      <c r="J109" s="255" t="str">
        <f t="shared" si="136"/>
        <v/>
      </c>
      <c r="K109" s="255" t="str">
        <f t="shared" si="136"/>
        <v/>
      </c>
      <c r="L109" s="255" t="str">
        <f t="shared" si="136"/>
        <v/>
      </c>
      <c r="M109" s="255" t="str">
        <f t="shared" si="136"/>
        <v/>
      </c>
      <c r="O109" s="252" t="str">
        <f t="shared" ca="1" si="116"/>
        <v/>
      </c>
      <c r="P109" s="252" t="str">
        <f t="shared" ca="1" si="117"/>
        <v/>
      </c>
      <c r="Q109" s="252" t="str">
        <f t="shared" ca="1" si="118"/>
        <v/>
      </c>
      <c r="R109" s="252" t="str">
        <f t="shared" ca="1" si="119"/>
        <v/>
      </c>
      <c r="S109" s="252" t="str">
        <f t="shared" ca="1" si="120"/>
        <v/>
      </c>
      <c r="T109" s="252" t="str">
        <f t="shared" ca="1" si="121"/>
        <v/>
      </c>
      <c r="U109" s="252" t="str">
        <f t="shared" ca="1" si="122"/>
        <v/>
      </c>
      <c r="V109" s="252" t="str">
        <f t="shared" ca="1" si="123"/>
        <v/>
      </c>
      <c r="W109" s="252" t="str">
        <f t="shared" ca="1" si="124"/>
        <v/>
      </c>
      <c r="X109" s="252" t="str">
        <f t="shared" ca="1" si="125"/>
        <v/>
      </c>
      <c r="Y109" s="252" t="str">
        <f t="shared" ca="1" si="126"/>
        <v/>
      </c>
      <c r="Z109" s="252" t="str">
        <f t="shared" ca="1" si="127"/>
        <v/>
      </c>
      <c r="AB109" s="151"/>
      <c r="AC109" s="151"/>
      <c r="AD109" s="151"/>
      <c r="AE109" s="151"/>
      <c r="AF109" s="151"/>
      <c r="AG109" s="151"/>
      <c r="AH109" s="151"/>
      <c r="AI109" s="151"/>
      <c r="AJ109" s="151"/>
      <c r="AK109" s="151"/>
      <c r="AL109" s="151"/>
      <c r="AM109" s="151"/>
    </row>
    <row r="110" spans="1:40">
      <c r="A110" s="63" t="s">
        <v>186</v>
      </c>
      <c r="B110" s="54" t="s">
        <v>166</v>
      </c>
      <c r="C110" s="49" t="s">
        <v>187</v>
      </c>
      <c r="D110" s="255" t="str">
        <f t="shared" ref="D110:M110" si="137">IF(D$26=11,"Y","")</f>
        <v/>
      </c>
      <c r="E110" s="255" t="str">
        <f t="shared" si="137"/>
        <v/>
      </c>
      <c r="F110" s="255" t="str">
        <f t="shared" si="137"/>
        <v/>
      </c>
      <c r="G110" s="255" t="str">
        <f t="shared" si="137"/>
        <v/>
      </c>
      <c r="H110" s="255" t="str">
        <f t="shared" si="137"/>
        <v/>
      </c>
      <c r="I110" s="255" t="str">
        <f t="shared" si="137"/>
        <v/>
      </c>
      <c r="J110" s="255" t="str">
        <f t="shared" si="137"/>
        <v>Y</v>
      </c>
      <c r="K110" s="255" t="str">
        <f t="shared" si="137"/>
        <v/>
      </c>
      <c r="L110" s="255" t="str">
        <f t="shared" si="137"/>
        <v/>
      </c>
      <c r="M110" s="255" t="str">
        <f t="shared" si="137"/>
        <v/>
      </c>
      <c r="O110" s="252" t="str">
        <f t="shared" ca="1" si="116"/>
        <v/>
      </c>
      <c r="P110" s="252" t="str">
        <f t="shared" ca="1" si="117"/>
        <v/>
      </c>
      <c r="Q110" s="252" t="str">
        <f t="shared" ca="1" si="118"/>
        <v>Y</v>
      </c>
      <c r="R110" s="252" t="str">
        <f t="shared" ca="1" si="119"/>
        <v/>
      </c>
      <c r="S110" s="252" t="str">
        <f t="shared" ca="1" si="120"/>
        <v/>
      </c>
      <c r="T110" s="252" t="str">
        <f t="shared" ca="1" si="121"/>
        <v>Y</v>
      </c>
      <c r="U110" s="252" t="str">
        <f t="shared" ca="1" si="122"/>
        <v/>
      </c>
      <c r="V110" s="252" t="str">
        <f t="shared" ca="1" si="123"/>
        <v/>
      </c>
      <c r="W110" s="252" t="str">
        <f t="shared" ca="1" si="124"/>
        <v/>
      </c>
      <c r="X110" s="252" t="str">
        <f t="shared" ca="1" si="125"/>
        <v/>
      </c>
      <c r="Y110" s="252" t="str">
        <f t="shared" ca="1" si="126"/>
        <v/>
      </c>
      <c r="Z110" s="252" t="str">
        <f t="shared" ca="1" si="127"/>
        <v/>
      </c>
      <c r="AB110" s="151"/>
      <c r="AC110" s="151"/>
      <c r="AD110" s="151"/>
      <c r="AE110" s="151"/>
      <c r="AF110" s="151"/>
      <c r="AG110" s="151"/>
      <c r="AH110" s="151"/>
      <c r="AI110" s="151"/>
      <c r="AJ110" s="151"/>
      <c r="AK110" s="151"/>
      <c r="AL110" s="151"/>
      <c r="AM110" s="151"/>
    </row>
    <row r="111" spans="1:40">
      <c r="A111" s="63" t="s">
        <v>188</v>
      </c>
      <c r="B111" s="54" t="s">
        <v>166</v>
      </c>
      <c r="C111" s="49" t="s">
        <v>189</v>
      </c>
      <c r="D111" s="255" t="str">
        <f t="shared" ref="D111:M111" si="138">IF(D$26=12,"Y","")</f>
        <v/>
      </c>
      <c r="E111" s="255" t="str">
        <f t="shared" si="138"/>
        <v/>
      </c>
      <c r="F111" s="255" t="str">
        <f t="shared" si="138"/>
        <v/>
      </c>
      <c r="G111" s="255" t="str">
        <f t="shared" si="138"/>
        <v/>
      </c>
      <c r="H111" s="255" t="str">
        <f t="shared" si="138"/>
        <v/>
      </c>
      <c r="I111" s="255" t="str">
        <f t="shared" si="138"/>
        <v/>
      </c>
      <c r="J111" s="255" t="str">
        <f t="shared" si="138"/>
        <v/>
      </c>
      <c r="K111" s="255" t="str">
        <f t="shared" si="138"/>
        <v/>
      </c>
      <c r="L111" s="255" t="str">
        <f t="shared" si="138"/>
        <v>Y</v>
      </c>
      <c r="M111" s="255" t="str">
        <f t="shared" si="138"/>
        <v/>
      </c>
      <c r="O111" s="252" t="str">
        <f t="shared" ca="1" si="116"/>
        <v/>
      </c>
      <c r="P111" s="252" t="str">
        <f t="shared" ca="1" si="117"/>
        <v/>
      </c>
      <c r="Q111" s="252" t="str">
        <f t="shared" ca="1" si="118"/>
        <v/>
      </c>
      <c r="R111" s="252" t="str">
        <f t="shared" ca="1" si="119"/>
        <v/>
      </c>
      <c r="S111" s="252" t="str">
        <f t="shared" ca="1" si="120"/>
        <v/>
      </c>
      <c r="T111" s="252" t="str">
        <f t="shared" ca="1" si="121"/>
        <v/>
      </c>
      <c r="U111" s="252" t="str">
        <f t="shared" ca="1" si="122"/>
        <v/>
      </c>
      <c r="V111" s="252" t="str">
        <f t="shared" ca="1" si="123"/>
        <v/>
      </c>
      <c r="W111" s="252" t="str">
        <f t="shared" ca="1" si="124"/>
        <v/>
      </c>
      <c r="X111" s="252" t="str">
        <f t="shared" ca="1" si="125"/>
        <v/>
      </c>
      <c r="Y111" s="252" t="str">
        <f t="shared" ca="1" si="126"/>
        <v/>
      </c>
      <c r="Z111" s="252" t="str">
        <f t="shared" ca="1" si="127"/>
        <v/>
      </c>
      <c r="AB111" s="151"/>
      <c r="AC111" s="151"/>
      <c r="AD111" s="151"/>
      <c r="AE111" s="151"/>
      <c r="AF111" s="151"/>
      <c r="AG111" s="151"/>
      <c r="AH111" s="151"/>
      <c r="AI111" s="151"/>
      <c r="AJ111" s="151"/>
      <c r="AK111" s="151"/>
      <c r="AL111" s="151"/>
      <c r="AM111" s="151"/>
    </row>
    <row r="112" spans="1:40">
      <c r="A112" s="63"/>
      <c r="B112" s="54"/>
      <c r="C112" s="49"/>
      <c r="D112" s="255"/>
      <c r="E112" s="255"/>
      <c r="F112" s="255"/>
      <c r="G112" s="255"/>
      <c r="H112" s="255"/>
      <c r="I112" s="255"/>
      <c r="J112" s="255"/>
      <c r="K112" s="255"/>
      <c r="L112" s="255"/>
      <c r="M112" s="255"/>
      <c r="O112" s="57"/>
      <c r="P112" s="57"/>
      <c r="Q112" s="57"/>
      <c r="R112" s="57"/>
      <c r="S112" s="57"/>
      <c r="T112" s="57"/>
      <c r="U112" s="57"/>
      <c r="V112" s="57"/>
      <c r="W112" s="57"/>
      <c r="X112" s="57"/>
      <c r="Y112" s="57"/>
      <c r="Z112" s="57"/>
      <c r="AB112" s="151"/>
      <c r="AC112" s="151"/>
      <c r="AD112" s="151"/>
      <c r="AE112" s="151"/>
      <c r="AF112" s="151"/>
      <c r="AG112" s="151"/>
      <c r="AH112" s="151"/>
      <c r="AI112" s="151"/>
      <c r="AJ112" s="151"/>
      <c r="AK112" s="151"/>
      <c r="AL112" s="151"/>
      <c r="AM112" s="151"/>
    </row>
    <row r="113" spans="1:39">
      <c r="A113" s="63" t="s">
        <v>190</v>
      </c>
      <c r="B113" s="54" t="s">
        <v>166</v>
      </c>
      <c r="C113" s="49" t="s">
        <v>38</v>
      </c>
      <c r="D113" s="255"/>
      <c r="E113" s="255" t="str">
        <f t="shared" ref="E113:M113" si="139">IF(E$30=1,"Y","")</f>
        <v/>
      </c>
      <c r="F113" s="255" t="str">
        <f t="shared" si="139"/>
        <v/>
      </c>
      <c r="G113" s="255" t="str">
        <f t="shared" si="139"/>
        <v/>
      </c>
      <c r="H113" s="255" t="str">
        <f t="shared" si="139"/>
        <v/>
      </c>
      <c r="I113" s="255" t="str">
        <f t="shared" si="139"/>
        <v/>
      </c>
      <c r="J113" s="255" t="str">
        <f t="shared" si="139"/>
        <v/>
      </c>
      <c r="K113" s="255" t="str">
        <f t="shared" si="139"/>
        <v/>
      </c>
      <c r="L113" s="255" t="str">
        <f t="shared" si="139"/>
        <v/>
      </c>
      <c r="M113" s="255" t="str">
        <f t="shared" si="139"/>
        <v/>
      </c>
      <c r="O113" s="252" t="str">
        <f t="shared" ref="O113:O124" ca="1" si="140">IF(ISBLANK(OFFSET(O113,0,-11+O$34))," ",OFFSET(O113,0,-11+O$34))</f>
        <v/>
      </c>
      <c r="P113" s="252" t="str">
        <f t="shared" ref="P113:P124" ca="1" si="141">IF(ISBLANK(OFFSET(P113,0,-12+P$34))," ",OFFSET(P113,0,-12+P$34))</f>
        <v/>
      </c>
      <c r="Q113" s="252" t="str">
        <f t="shared" ref="Q113:Q124" ca="1" si="142">IF(ISBLANK(OFFSET(Q113,0,-13+Q$34))," ",OFFSET(Q113,0,-13+Q$34))</f>
        <v/>
      </c>
      <c r="R113" s="252" t="str">
        <f t="shared" ref="R113:R124" ca="1" si="143">IF(ISBLANK(OFFSET(R113,0,-14+R$34))," ",OFFSET(R113,0,-14+R$34))</f>
        <v/>
      </c>
      <c r="S113" s="252" t="str">
        <f t="shared" ref="S113:S124" ca="1" si="144">IF(ISBLANK(OFFSET(S113,0,-15+S$34))," ",OFFSET(S113,0,-15+S$34))</f>
        <v/>
      </c>
      <c r="T113" s="252" t="str">
        <f t="shared" ref="T113:T124" ca="1" si="145">IF(ISBLANK(OFFSET(T113,0,-16+T$34))," ",OFFSET(T113,0,-16+T$34))</f>
        <v/>
      </c>
      <c r="U113" s="252" t="str">
        <f t="shared" ref="U113:U124" ca="1" si="146">IF(ISBLANK(OFFSET(U113,0,-17+U$34))," ",OFFSET(U113,0,-17+U$34))</f>
        <v/>
      </c>
      <c r="V113" s="252" t="str">
        <f t="shared" ref="V113:V124" ca="1" si="147">IF(ISBLANK(OFFSET(V113,0,-18+V$34))," ",OFFSET(V113,0,-18+V$34))</f>
        <v/>
      </c>
      <c r="W113" s="252" t="str">
        <f t="shared" ref="W113:W124" ca="1" si="148">IF(ISBLANK(OFFSET(W113,0,-19+W$34))," ",OFFSET(W113,0,-19+W$34))</f>
        <v/>
      </c>
      <c r="X113" s="252" t="str">
        <f t="shared" ref="X113:X124" ca="1" si="149">IF(ISBLANK(OFFSET(X113,0,-20+X$34))," ",OFFSET(X113,0,-20+X$34))</f>
        <v/>
      </c>
      <c r="Y113" s="252" t="str">
        <f t="shared" ref="Y113:Y124" ca="1" si="150">IF(ISBLANK(OFFSET(Y113,0,-21+Y$34))," ",OFFSET(Y113,0,-21+Y$34))</f>
        <v/>
      </c>
      <c r="Z113" s="252" t="str">
        <f t="shared" ref="Z113:Z124" ca="1" si="151">IF(ISBLANK(OFFSET(Z113,0,-22+Z$34))," ",OFFSET(Z113,0,-22+Z$34))</f>
        <v/>
      </c>
      <c r="AB113" s="151"/>
      <c r="AC113" s="151"/>
      <c r="AD113" s="151"/>
      <c r="AE113" s="151"/>
      <c r="AF113" s="151"/>
      <c r="AG113" s="151"/>
      <c r="AH113" s="151"/>
      <c r="AI113" s="151"/>
      <c r="AJ113" s="151"/>
      <c r="AK113" s="151"/>
      <c r="AL113" s="151"/>
      <c r="AM113" s="151"/>
    </row>
    <row r="114" spans="1:39">
      <c r="A114" s="63" t="s">
        <v>191</v>
      </c>
      <c r="B114" s="54" t="s">
        <v>166</v>
      </c>
      <c r="C114" s="49" t="s">
        <v>39</v>
      </c>
      <c r="D114" s="255"/>
      <c r="E114" s="255" t="str">
        <f t="shared" ref="E114:M114" si="152">IF(E$30=2,"Y","")</f>
        <v/>
      </c>
      <c r="F114" s="255" t="str">
        <f t="shared" si="152"/>
        <v>Y</v>
      </c>
      <c r="G114" s="255" t="str">
        <f t="shared" si="152"/>
        <v/>
      </c>
      <c r="H114" s="255" t="str">
        <f t="shared" si="152"/>
        <v/>
      </c>
      <c r="I114" s="255" t="str">
        <f t="shared" si="152"/>
        <v>Y</v>
      </c>
      <c r="J114" s="255" t="str">
        <f t="shared" si="152"/>
        <v/>
      </c>
      <c r="K114" s="255" t="str">
        <f t="shared" si="152"/>
        <v/>
      </c>
      <c r="L114" s="255" t="str">
        <f t="shared" si="152"/>
        <v/>
      </c>
      <c r="M114" s="255" t="str">
        <f t="shared" si="152"/>
        <v/>
      </c>
      <c r="O114" s="252" t="str">
        <f t="shared" ca="1" si="140"/>
        <v/>
      </c>
      <c r="P114" s="252" t="str">
        <f t="shared" ca="1" si="141"/>
        <v>Y</v>
      </c>
      <c r="Q114" s="252" t="str">
        <f t="shared" ca="1" si="142"/>
        <v/>
      </c>
      <c r="R114" s="252" t="str">
        <f t="shared" ca="1" si="143"/>
        <v/>
      </c>
      <c r="S114" s="252" t="str">
        <f t="shared" ca="1" si="144"/>
        <v/>
      </c>
      <c r="T114" s="252" t="str">
        <f t="shared" ca="1" si="145"/>
        <v/>
      </c>
      <c r="U114" s="252" t="str">
        <f t="shared" ca="1" si="146"/>
        <v>Y</v>
      </c>
      <c r="V114" s="252" t="str">
        <f t="shared" ca="1" si="147"/>
        <v/>
      </c>
      <c r="W114" s="252" t="str">
        <f t="shared" ca="1" si="148"/>
        <v/>
      </c>
      <c r="X114" s="252" t="str">
        <f t="shared" ca="1" si="149"/>
        <v>Y</v>
      </c>
      <c r="Y114" s="252" t="str">
        <f t="shared" ca="1" si="150"/>
        <v/>
      </c>
      <c r="Z114" s="252" t="str">
        <f t="shared" ca="1" si="151"/>
        <v/>
      </c>
      <c r="AB114" s="151"/>
      <c r="AC114" s="151"/>
      <c r="AD114" s="151"/>
      <c r="AE114" s="151"/>
      <c r="AF114" s="151"/>
      <c r="AG114" s="151"/>
      <c r="AH114" s="151"/>
      <c r="AI114" s="151"/>
      <c r="AJ114" s="151"/>
      <c r="AK114" s="151"/>
      <c r="AL114" s="151"/>
      <c r="AM114" s="151"/>
    </row>
    <row r="115" spans="1:39">
      <c r="A115" s="63" t="s">
        <v>192</v>
      </c>
      <c r="B115" s="54" t="s">
        <v>166</v>
      </c>
      <c r="C115" s="49" t="s">
        <v>40</v>
      </c>
      <c r="D115" s="255"/>
      <c r="E115" s="255" t="str">
        <f t="shared" ref="E115:M115" si="153">IF(E$30=3,"Y","")</f>
        <v/>
      </c>
      <c r="F115" s="255" t="str">
        <f t="shared" si="153"/>
        <v/>
      </c>
      <c r="G115" s="255" t="str">
        <f t="shared" si="153"/>
        <v/>
      </c>
      <c r="H115" s="255" t="str">
        <f t="shared" si="153"/>
        <v/>
      </c>
      <c r="I115" s="255" t="str">
        <f t="shared" si="153"/>
        <v/>
      </c>
      <c r="J115" s="255" t="str">
        <f t="shared" si="153"/>
        <v/>
      </c>
      <c r="K115" s="255" t="str">
        <f t="shared" si="153"/>
        <v/>
      </c>
      <c r="L115" s="255" t="str">
        <f t="shared" si="153"/>
        <v/>
      </c>
      <c r="M115" s="255" t="str">
        <f t="shared" si="153"/>
        <v/>
      </c>
      <c r="O115" s="252" t="str">
        <f t="shared" ca="1" si="140"/>
        <v/>
      </c>
      <c r="P115" s="252" t="str">
        <f t="shared" ca="1" si="141"/>
        <v/>
      </c>
      <c r="Q115" s="252" t="str">
        <f t="shared" ca="1" si="142"/>
        <v/>
      </c>
      <c r="R115" s="252" t="str">
        <f t="shared" ca="1" si="143"/>
        <v/>
      </c>
      <c r="S115" s="252" t="str">
        <f t="shared" ca="1" si="144"/>
        <v/>
      </c>
      <c r="T115" s="252" t="str">
        <f t="shared" ca="1" si="145"/>
        <v/>
      </c>
      <c r="U115" s="252" t="str">
        <f t="shared" ca="1" si="146"/>
        <v/>
      </c>
      <c r="V115" s="252" t="str">
        <f t="shared" ca="1" si="147"/>
        <v/>
      </c>
      <c r="W115" s="252" t="str">
        <f t="shared" ca="1" si="148"/>
        <v/>
      </c>
      <c r="X115" s="252" t="str">
        <f t="shared" ca="1" si="149"/>
        <v/>
      </c>
      <c r="Y115" s="252" t="str">
        <f t="shared" ca="1" si="150"/>
        <v/>
      </c>
      <c r="Z115" s="252" t="str">
        <f t="shared" ca="1" si="151"/>
        <v/>
      </c>
      <c r="AB115" s="151"/>
      <c r="AC115" s="151"/>
      <c r="AD115" s="151"/>
      <c r="AE115" s="151"/>
      <c r="AF115" s="151"/>
      <c r="AG115" s="151"/>
      <c r="AH115" s="151"/>
      <c r="AI115" s="151"/>
      <c r="AJ115" s="151"/>
      <c r="AK115" s="151"/>
      <c r="AL115" s="151"/>
      <c r="AM115" s="151"/>
    </row>
    <row r="116" spans="1:39">
      <c r="A116" s="63" t="s">
        <v>193</v>
      </c>
      <c r="B116" s="54" t="s">
        <v>166</v>
      </c>
      <c r="C116" s="49" t="s">
        <v>41</v>
      </c>
      <c r="D116" s="255"/>
      <c r="E116" s="255" t="str">
        <f t="shared" ref="E116:M116" si="154">IF(E$30=4,"Y","")</f>
        <v/>
      </c>
      <c r="F116" s="255" t="str">
        <f t="shared" si="154"/>
        <v/>
      </c>
      <c r="G116" s="255" t="str">
        <f t="shared" si="154"/>
        <v/>
      </c>
      <c r="H116" s="255" t="str">
        <f t="shared" si="154"/>
        <v/>
      </c>
      <c r="I116" s="255" t="str">
        <f t="shared" si="154"/>
        <v/>
      </c>
      <c r="J116" s="255" t="str">
        <f t="shared" si="154"/>
        <v/>
      </c>
      <c r="K116" s="255" t="str">
        <f t="shared" si="154"/>
        <v/>
      </c>
      <c r="L116" s="255" t="str">
        <f t="shared" si="154"/>
        <v/>
      </c>
      <c r="M116" s="255" t="str">
        <f t="shared" si="154"/>
        <v/>
      </c>
      <c r="O116" s="252" t="str">
        <f t="shared" ca="1" si="140"/>
        <v/>
      </c>
      <c r="P116" s="252" t="str">
        <f t="shared" ca="1" si="141"/>
        <v/>
      </c>
      <c r="Q116" s="252" t="str">
        <f t="shared" ca="1" si="142"/>
        <v/>
      </c>
      <c r="R116" s="252" t="str">
        <f t="shared" ca="1" si="143"/>
        <v/>
      </c>
      <c r="S116" s="252" t="str">
        <f t="shared" ca="1" si="144"/>
        <v/>
      </c>
      <c r="T116" s="252" t="str">
        <f t="shared" ca="1" si="145"/>
        <v/>
      </c>
      <c r="U116" s="252" t="str">
        <f t="shared" ca="1" si="146"/>
        <v/>
      </c>
      <c r="V116" s="252" t="str">
        <f t="shared" ca="1" si="147"/>
        <v/>
      </c>
      <c r="W116" s="252" t="str">
        <f t="shared" ca="1" si="148"/>
        <v/>
      </c>
      <c r="X116" s="252" t="str">
        <f t="shared" ca="1" si="149"/>
        <v/>
      </c>
      <c r="Y116" s="252" t="str">
        <f t="shared" ca="1" si="150"/>
        <v/>
      </c>
      <c r="Z116" s="252" t="str">
        <f t="shared" ca="1" si="151"/>
        <v/>
      </c>
      <c r="AB116" s="151"/>
      <c r="AC116" s="151"/>
      <c r="AD116" s="151"/>
      <c r="AE116" s="151"/>
      <c r="AF116" s="151"/>
      <c r="AG116" s="151"/>
      <c r="AH116" s="151"/>
      <c r="AI116" s="151"/>
      <c r="AJ116" s="151"/>
      <c r="AK116" s="151"/>
      <c r="AL116" s="151"/>
      <c r="AM116" s="151"/>
    </row>
    <row r="117" spans="1:39">
      <c r="A117" s="63" t="s">
        <v>194</v>
      </c>
      <c r="B117" s="54" t="s">
        <v>166</v>
      </c>
      <c r="C117" s="49" t="s">
        <v>42</v>
      </c>
      <c r="D117" s="255"/>
      <c r="E117" s="255" t="str">
        <f t="shared" ref="E117:M117" si="155">IF(E$30=5,"Y","")</f>
        <v/>
      </c>
      <c r="F117" s="255" t="str">
        <f t="shared" si="155"/>
        <v/>
      </c>
      <c r="G117" s="255" t="str">
        <f t="shared" si="155"/>
        <v/>
      </c>
      <c r="H117" s="255" t="str">
        <f t="shared" si="155"/>
        <v/>
      </c>
      <c r="I117" s="255" t="str">
        <f t="shared" si="155"/>
        <v/>
      </c>
      <c r="J117" s="255" t="str">
        <f t="shared" si="155"/>
        <v>Y</v>
      </c>
      <c r="K117" s="255" t="str">
        <f t="shared" si="155"/>
        <v/>
      </c>
      <c r="L117" s="255" t="str">
        <f t="shared" si="155"/>
        <v/>
      </c>
      <c r="M117" s="255" t="str">
        <f t="shared" si="155"/>
        <v/>
      </c>
      <c r="O117" s="252" t="str">
        <f t="shared" ca="1" si="140"/>
        <v/>
      </c>
      <c r="P117" s="252" t="str">
        <f t="shared" ca="1" si="141"/>
        <v/>
      </c>
      <c r="Q117" s="252" t="str">
        <f t="shared" ca="1" si="142"/>
        <v>Y</v>
      </c>
      <c r="R117" s="252" t="str">
        <f t="shared" ca="1" si="143"/>
        <v/>
      </c>
      <c r="S117" s="252" t="str">
        <f t="shared" ca="1" si="144"/>
        <v/>
      </c>
      <c r="T117" s="252" t="str">
        <f t="shared" ca="1" si="145"/>
        <v>Y</v>
      </c>
      <c r="U117" s="252" t="str">
        <f t="shared" ca="1" si="146"/>
        <v/>
      </c>
      <c r="V117" s="252" t="str">
        <f t="shared" ca="1" si="147"/>
        <v/>
      </c>
      <c r="W117" s="252" t="str">
        <f t="shared" ca="1" si="148"/>
        <v/>
      </c>
      <c r="X117" s="252" t="str">
        <f t="shared" ca="1" si="149"/>
        <v/>
      </c>
      <c r="Y117" s="252" t="str">
        <f t="shared" ca="1" si="150"/>
        <v/>
      </c>
      <c r="Z117" s="252" t="str">
        <f t="shared" ca="1" si="151"/>
        <v/>
      </c>
      <c r="AB117" s="151"/>
      <c r="AC117" s="151"/>
      <c r="AD117" s="151"/>
      <c r="AE117" s="151"/>
      <c r="AF117" s="151"/>
      <c r="AG117" s="151"/>
      <c r="AH117" s="151"/>
      <c r="AI117" s="151"/>
      <c r="AJ117" s="151"/>
      <c r="AK117" s="151"/>
      <c r="AL117" s="151"/>
      <c r="AM117" s="151"/>
    </row>
    <row r="118" spans="1:39">
      <c r="A118" s="63" t="s">
        <v>195</v>
      </c>
      <c r="B118" s="54" t="s">
        <v>166</v>
      </c>
      <c r="C118" s="49" t="s">
        <v>43</v>
      </c>
      <c r="D118" s="255"/>
      <c r="E118" s="255" t="str">
        <f t="shared" ref="E118:M118" si="156">IF(E$30=6,"Y","")</f>
        <v/>
      </c>
      <c r="F118" s="255" t="str">
        <f t="shared" si="156"/>
        <v/>
      </c>
      <c r="G118" s="255" t="str">
        <f t="shared" si="156"/>
        <v/>
      </c>
      <c r="H118" s="255" t="str">
        <f t="shared" si="156"/>
        <v/>
      </c>
      <c r="I118" s="255" t="str">
        <f t="shared" si="156"/>
        <v/>
      </c>
      <c r="J118" s="255" t="str">
        <f t="shared" si="156"/>
        <v/>
      </c>
      <c r="K118" s="255" t="str">
        <f t="shared" si="156"/>
        <v/>
      </c>
      <c r="L118" s="255" t="str">
        <f t="shared" si="156"/>
        <v>Y</v>
      </c>
      <c r="M118" s="255" t="str">
        <f t="shared" si="156"/>
        <v/>
      </c>
      <c r="O118" s="252" t="str">
        <f t="shared" ca="1" si="140"/>
        <v/>
      </c>
      <c r="P118" s="252" t="str">
        <f t="shared" ca="1" si="141"/>
        <v/>
      </c>
      <c r="Q118" s="252" t="str">
        <f t="shared" ca="1" si="142"/>
        <v/>
      </c>
      <c r="R118" s="252" t="str">
        <f t="shared" ca="1" si="143"/>
        <v/>
      </c>
      <c r="S118" s="252" t="str">
        <f t="shared" ca="1" si="144"/>
        <v/>
      </c>
      <c r="T118" s="252" t="str">
        <f t="shared" ca="1" si="145"/>
        <v/>
      </c>
      <c r="U118" s="252" t="str">
        <f t="shared" ca="1" si="146"/>
        <v/>
      </c>
      <c r="V118" s="252" t="str">
        <f t="shared" ca="1" si="147"/>
        <v/>
      </c>
      <c r="W118" s="252" t="str">
        <f t="shared" ca="1" si="148"/>
        <v/>
      </c>
      <c r="X118" s="252" t="str">
        <f t="shared" ca="1" si="149"/>
        <v/>
      </c>
      <c r="Y118" s="252" t="str">
        <f t="shared" ca="1" si="150"/>
        <v/>
      </c>
      <c r="Z118" s="252" t="str">
        <f t="shared" ca="1" si="151"/>
        <v/>
      </c>
      <c r="AB118" s="151"/>
      <c r="AC118" s="151"/>
      <c r="AD118" s="151"/>
      <c r="AE118" s="151"/>
      <c r="AF118" s="151"/>
      <c r="AG118" s="151"/>
      <c r="AH118" s="151"/>
      <c r="AI118" s="151"/>
      <c r="AJ118" s="151"/>
      <c r="AK118" s="151"/>
      <c r="AL118" s="151"/>
      <c r="AM118" s="151"/>
    </row>
    <row r="119" spans="1:39">
      <c r="A119" s="63" t="s">
        <v>196</v>
      </c>
      <c r="B119" s="54" t="s">
        <v>166</v>
      </c>
      <c r="C119" s="49" t="s">
        <v>44</v>
      </c>
      <c r="D119" s="255"/>
      <c r="E119" s="255" t="str">
        <f t="shared" ref="E119:M119" si="157">IF(E$30=7,"Y","")</f>
        <v/>
      </c>
      <c r="F119" s="255" t="str">
        <f t="shared" si="157"/>
        <v/>
      </c>
      <c r="G119" s="255" t="str">
        <f t="shared" si="157"/>
        <v/>
      </c>
      <c r="H119" s="255" t="str">
        <f t="shared" si="157"/>
        <v/>
      </c>
      <c r="I119" s="255" t="str">
        <f t="shared" si="157"/>
        <v/>
      </c>
      <c r="J119" s="255" t="str">
        <f t="shared" si="157"/>
        <v/>
      </c>
      <c r="K119" s="255" t="str">
        <f t="shared" si="157"/>
        <v/>
      </c>
      <c r="L119" s="255" t="str">
        <f t="shared" si="157"/>
        <v/>
      </c>
      <c r="M119" s="255" t="str">
        <f t="shared" si="157"/>
        <v/>
      </c>
      <c r="O119" s="252" t="str">
        <f t="shared" ca="1" si="140"/>
        <v/>
      </c>
      <c r="P119" s="252" t="str">
        <f t="shared" ca="1" si="141"/>
        <v/>
      </c>
      <c r="Q119" s="252" t="str">
        <f t="shared" ca="1" si="142"/>
        <v/>
      </c>
      <c r="R119" s="252" t="str">
        <f t="shared" ca="1" si="143"/>
        <v/>
      </c>
      <c r="S119" s="252" t="str">
        <f t="shared" ca="1" si="144"/>
        <v/>
      </c>
      <c r="T119" s="252" t="str">
        <f t="shared" ca="1" si="145"/>
        <v/>
      </c>
      <c r="U119" s="252" t="str">
        <f t="shared" ca="1" si="146"/>
        <v/>
      </c>
      <c r="V119" s="252" t="str">
        <f t="shared" ca="1" si="147"/>
        <v/>
      </c>
      <c r="W119" s="252" t="str">
        <f t="shared" ca="1" si="148"/>
        <v/>
      </c>
      <c r="X119" s="252" t="str">
        <f t="shared" ca="1" si="149"/>
        <v/>
      </c>
      <c r="Y119" s="252" t="str">
        <f t="shared" ca="1" si="150"/>
        <v/>
      </c>
      <c r="Z119" s="252" t="str">
        <f t="shared" ca="1" si="151"/>
        <v/>
      </c>
      <c r="AB119" s="151"/>
      <c r="AC119" s="151"/>
      <c r="AD119" s="151"/>
      <c r="AE119" s="151"/>
      <c r="AF119" s="151"/>
      <c r="AG119" s="151"/>
      <c r="AH119" s="151"/>
      <c r="AI119" s="151"/>
      <c r="AJ119" s="151"/>
      <c r="AK119" s="151"/>
      <c r="AL119" s="151"/>
      <c r="AM119" s="151"/>
    </row>
    <row r="120" spans="1:39">
      <c r="A120" s="63" t="s">
        <v>197</v>
      </c>
      <c r="B120" s="54" t="s">
        <v>166</v>
      </c>
      <c r="C120" s="49" t="s">
        <v>45</v>
      </c>
      <c r="D120" s="255"/>
      <c r="E120" s="255" t="str">
        <f t="shared" ref="E120:M120" si="158">IF(E$30=8,"Y","")</f>
        <v/>
      </c>
      <c r="F120" s="255" t="str">
        <f t="shared" si="158"/>
        <v/>
      </c>
      <c r="G120" s="255" t="str">
        <f t="shared" si="158"/>
        <v/>
      </c>
      <c r="H120" s="255" t="str">
        <f t="shared" si="158"/>
        <v/>
      </c>
      <c r="I120" s="255" t="str">
        <f t="shared" si="158"/>
        <v/>
      </c>
      <c r="J120" s="255" t="str">
        <f t="shared" si="158"/>
        <v/>
      </c>
      <c r="K120" s="255" t="str">
        <f t="shared" si="158"/>
        <v/>
      </c>
      <c r="L120" s="255" t="str">
        <f t="shared" si="158"/>
        <v/>
      </c>
      <c r="M120" s="255" t="str">
        <f t="shared" si="158"/>
        <v/>
      </c>
      <c r="O120" s="252" t="str">
        <f t="shared" ca="1" si="140"/>
        <v/>
      </c>
      <c r="P120" s="252" t="str">
        <f t="shared" ca="1" si="141"/>
        <v/>
      </c>
      <c r="Q120" s="252" t="str">
        <f t="shared" ca="1" si="142"/>
        <v/>
      </c>
      <c r="R120" s="252" t="str">
        <f t="shared" ca="1" si="143"/>
        <v/>
      </c>
      <c r="S120" s="252" t="str">
        <f t="shared" ca="1" si="144"/>
        <v/>
      </c>
      <c r="T120" s="252" t="str">
        <f t="shared" ca="1" si="145"/>
        <v/>
      </c>
      <c r="U120" s="252" t="str">
        <f t="shared" ca="1" si="146"/>
        <v/>
      </c>
      <c r="V120" s="252" t="str">
        <f t="shared" ca="1" si="147"/>
        <v/>
      </c>
      <c r="W120" s="252" t="str">
        <f t="shared" ca="1" si="148"/>
        <v/>
      </c>
      <c r="X120" s="252" t="str">
        <f t="shared" ca="1" si="149"/>
        <v/>
      </c>
      <c r="Y120" s="252" t="str">
        <f t="shared" ca="1" si="150"/>
        <v/>
      </c>
      <c r="Z120" s="252" t="str">
        <f t="shared" ca="1" si="151"/>
        <v/>
      </c>
      <c r="AB120" s="151"/>
      <c r="AC120" s="151"/>
      <c r="AD120" s="151"/>
      <c r="AE120" s="151"/>
      <c r="AF120" s="151"/>
      <c r="AG120" s="151"/>
      <c r="AH120" s="151"/>
      <c r="AI120" s="151"/>
      <c r="AJ120" s="151"/>
      <c r="AK120" s="151"/>
      <c r="AL120" s="151"/>
      <c r="AM120" s="151"/>
    </row>
    <row r="121" spans="1:39">
      <c r="A121" s="63" t="s">
        <v>198</v>
      </c>
      <c r="B121" s="54" t="s">
        <v>166</v>
      </c>
      <c r="C121" s="49" t="s">
        <v>46</v>
      </c>
      <c r="D121" s="255"/>
      <c r="E121" s="255" t="str">
        <f t="shared" ref="E121:M121" si="159">IF(E$30=9,"Y","")</f>
        <v/>
      </c>
      <c r="F121" s="255" t="str">
        <f t="shared" si="159"/>
        <v/>
      </c>
      <c r="G121" s="255" t="str">
        <f t="shared" si="159"/>
        <v/>
      </c>
      <c r="H121" s="255" t="str">
        <f t="shared" si="159"/>
        <v/>
      </c>
      <c r="I121" s="255" t="str">
        <f t="shared" si="159"/>
        <v/>
      </c>
      <c r="J121" s="255" t="str">
        <f t="shared" si="159"/>
        <v/>
      </c>
      <c r="K121" s="255" t="str">
        <f t="shared" si="159"/>
        <v/>
      </c>
      <c r="L121" s="255" t="str">
        <f t="shared" si="159"/>
        <v/>
      </c>
      <c r="M121" s="255" t="str">
        <f t="shared" si="159"/>
        <v/>
      </c>
      <c r="O121" s="252" t="str">
        <f t="shared" ca="1" si="140"/>
        <v/>
      </c>
      <c r="P121" s="252" t="str">
        <f t="shared" ca="1" si="141"/>
        <v/>
      </c>
      <c r="Q121" s="252" t="str">
        <f t="shared" ca="1" si="142"/>
        <v/>
      </c>
      <c r="R121" s="252" t="str">
        <f t="shared" ca="1" si="143"/>
        <v/>
      </c>
      <c r="S121" s="252" t="str">
        <f t="shared" ca="1" si="144"/>
        <v/>
      </c>
      <c r="T121" s="252" t="str">
        <f t="shared" ca="1" si="145"/>
        <v/>
      </c>
      <c r="U121" s="252" t="str">
        <f t="shared" ca="1" si="146"/>
        <v/>
      </c>
      <c r="V121" s="252" t="str">
        <f t="shared" ca="1" si="147"/>
        <v/>
      </c>
      <c r="W121" s="252" t="str">
        <f t="shared" ca="1" si="148"/>
        <v/>
      </c>
      <c r="X121" s="252" t="str">
        <f t="shared" ca="1" si="149"/>
        <v/>
      </c>
      <c r="Y121" s="252" t="str">
        <f t="shared" ca="1" si="150"/>
        <v/>
      </c>
      <c r="Z121" s="252" t="str">
        <f t="shared" ca="1" si="151"/>
        <v/>
      </c>
      <c r="AB121" s="151"/>
      <c r="AC121" s="151"/>
      <c r="AD121" s="151"/>
      <c r="AE121" s="151"/>
      <c r="AF121" s="151"/>
      <c r="AG121" s="151"/>
      <c r="AH121" s="151"/>
      <c r="AI121" s="151"/>
      <c r="AJ121" s="151"/>
      <c r="AK121" s="151"/>
      <c r="AL121" s="151"/>
      <c r="AM121" s="151"/>
    </row>
    <row r="122" spans="1:39">
      <c r="A122" s="63" t="s">
        <v>199</v>
      </c>
      <c r="B122" s="54" t="s">
        <v>166</v>
      </c>
      <c r="C122" s="49" t="s">
        <v>47</v>
      </c>
      <c r="D122" s="255"/>
      <c r="E122" s="255" t="str">
        <f t="shared" ref="E122:M122" si="160">IF(E$30=10,"Y","")</f>
        <v/>
      </c>
      <c r="F122" s="255" t="str">
        <f t="shared" si="160"/>
        <v/>
      </c>
      <c r="G122" s="255" t="str">
        <f t="shared" si="160"/>
        <v/>
      </c>
      <c r="H122" s="255" t="str">
        <f t="shared" si="160"/>
        <v/>
      </c>
      <c r="I122" s="255" t="str">
        <f t="shared" si="160"/>
        <v/>
      </c>
      <c r="J122" s="255" t="str">
        <f t="shared" si="160"/>
        <v/>
      </c>
      <c r="K122" s="255" t="str">
        <f t="shared" si="160"/>
        <v/>
      </c>
      <c r="L122" s="255" t="str">
        <f t="shared" si="160"/>
        <v/>
      </c>
      <c r="M122" s="255" t="str">
        <f t="shared" si="160"/>
        <v/>
      </c>
      <c r="O122" s="252" t="str">
        <f t="shared" ca="1" si="140"/>
        <v/>
      </c>
      <c r="P122" s="252" t="str">
        <f t="shared" ca="1" si="141"/>
        <v/>
      </c>
      <c r="Q122" s="252" t="str">
        <f t="shared" ca="1" si="142"/>
        <v/>
      </c>
      <c r="R122" s="252" t="str">
        <f t="shared" ca="1" si="143"/>
        <v/>
      </c>
      <c r="S122" s="252" t="str">
        <f t="shared" ca="1" si="144"/>
        <v/>
      </c>
      <c r="T122" s="252" t="str">
        <f t="shared" ca="1" si="145"/>
        <v/>
      </c>
      <c r="U122" s="252" t="str">
        <f t="shared" ca="1" si="146"/>
        <v/>
      </c>
      <c r="V122" s="252" t="str">
        <f t="shared" ca="1" si="147"/>
        <v/>
      </c>
      <c r="W122" s="252" t="str">
        <f t="shared" ca="1" si="148"/>
        <v/>
      </c>
      <c r="X122" s="252" t="str">
        <f t="shared" ca="1" si="149"/>
        <v/>
      </c>
      <c r="Y122" s="252" t="str">
        <f t="shared" ca="1" si="150"/>
        <v/>
      </c>
      <c r="Z122" s="252" t="str">
        <f t="shared" ca="1" si="151"/>
        <v/>
      </c>
      <c r="AB122" s="151"/>
      <c r="AC122" s="151"/>
      <c r="AD122" s="151"/>
      <c r="AE122" s="151"/>
      <c r="AF122" s="151"/>
      <c r="AG122" s="151"/>
      <c r="AH122" s="151"/>
      <c r="AI122" s="151"/>
      <c r="AJ122" s="151"/>
      <c r="AK122" s="151"/>
      <c r="AL122" s="151"/>
      <c r="AM122" s="151"/>
    </row>
    <row r="123" spans="1:39">
      <c r="A123" s="63" t="s">
        <v>200</v>
      </c>
      <c r="B123" s="54" t="s">
        <v>166</v>
      </c>
      <c r="C123" s="49" t="s">
        <v>48</v>
      </c>
      <c r="D123" s="255"/>
      <c r="E123" s="255" t="str">
        <f t="shared" ref="E123:M123" si="161">IF(E$30=11,"Y","")</f>
        <v/>
      </c>
      <c r="F123" s="255" t="str">
        <f t="shared" si="161"/>
        <v/>
      </c>
      <c r="G123" s="255" t="str">
        <f t="shared" si="161"/>
        <v/>
      </c>
      <c r="H123" s="255" t="str">
        <f t="shared" si="161"/>
        <v>Y</v>
      </c>
      <c r="I123" s="255" t="str">
        <f t="shared" si="161"/>
        <v/>
      </c>
      <c r="J123" s="255" t="str">
        <f t="shared" si="161"/>
        <v/>
      </c>
      <c r="K123" s="255" t="str">
        <f t="shared" si="161"/>
        <v>Y</v>
      </c>
      <c r="L123" s="255" t="str">
        <f t="shared" si="161"/>
        <v/>
      </c>
      <c r="M123" s="255" t="str">
        <f t="shared" si="161"/>
        <v/>
      </c>
      <c r="O123" s="252" t="str">
        <f t="shared" ca="1" si="140"/>
        <v>Y</v>
      </c>
      <c r="P123" s="252" t="str">
        <f t="shared" ca="1" si="141"/>
        <v/>
      </c>
      <c r="Q123" s="252" t="str">
        <f t="shared" ca="1" si="142"/>
        <v/>
      </c>
      <c r="R123" s="252" t="str">
        <f t="shared" ca="1" si="143"/>
        <v>Y</v>
      </c>
      <c r="S123" s="252" t="str">
        <f t="shared" ca="1" si="144"/>
        <v>Y</v>
      </c>
      <c r="T123" s="252" t="str">
        <f t="shared" ca="1" si="145"/>
        <v/>
      </c>
      <c r="U123" s="252" t="str">
        <f t="shared" ca="1" si="146"/>
        <v/>
      </c>
      <c r="V123" s="252" t="str">
        <f t="shared" ca="1" si="147"/>
        <v>Y</v>
      </c>
      <c r="W123" s="252" t="str">
        <f t="shared" ca="1" si="148"/>
        <v/>
      </c>
      <c r="X123" s="252" t="str">
        <f t="shared" ca="1" si="149"/>
        <v/>
      </c>
      <c r="Y123" s="252" t="str">
        <f t="shared" ca="1" si="150"/>
        <v/>
      </c>
      <c r="Z123" s="252" t="str">
        <f t="shared" ca="1" si="151"/>
        <v/>
      </c>
      <c r="AB123" s="151"/>
      <c r="AC123" s="151"/>
      <c r="AD123" s="151"/>
      <c r="AE123" s="151"/>
      <c r="AF123" s="151"/>
      <c r="AG123" s="151"/>
      <c r="AH123" s="151"/>
      <c r="AI123" s="151"/>
      <c r="AJ123" s="151"/>
      <c r="AK123" s="151"/>
      <c r="AL123" s="151"/>
      <c r="AM123" s="151"/>
    </row>
    <row r="124" spans="1:39">
      <c r="A124" s="63" t="s">
        <v>201</v>
      </c>
      <c r="B124" s="54" t="s">
        <v>166</v>
      </c>
      <c r="C124" s="49" t="s">
        <v>49</v>
      </c>
      <c r="D124" s="255"/>
      <c r="E124" s="255" t="str">
        <f t="shared" ref="E124:M124" si="162">IF(E$30=12,"Y","")</f>
        <v>Y</v>
      </c>
      <c r="F124" s="255" t="str">
        <f t="shared" si="162"/>
        <v/>
      </c>
      <c r="G124" s="255" t="str">
        <f t="shared" si="162"/>
        <v>Y</v>
      </c>
      <c r="H124" s="255" t="str">
        <f t="shared" si="162"/>
        <v/>
      </c>
      <c r="I124" s="255" t="str">
        <f t="shared" si="162"/>
        <v/>
      </c>
      <c r="J124" s="255" t="str">
        <f t="shared" si="162"/>
        <v/>
      </c>
      <c r="K124" s="255" t="str">
        <f t="shared" si="162"/>
        <v/>
      </c>
      <c r="L124" s="255" t="str">
        <f t="shared" si="162"/>
        <v/>
      </c>
      <c r="M124" s="255" t="str">
        <f t="shared" si="162"/>
        <v>Y</v>
      </c>
      <c r="O124" s="252" t="str">
        <f t="shared" ca="1" si="140"/>
        <v/>
      </c>
      <c r="P124" s="252" t="str">
        <f t="shared" ca="1" si="141"/>
        <v/>
      </c>
      <c r="Q124" s="252" t="str">
        <f t="shared" ca="1" si="142"/>
        <v/>
      </c>
      <c r="R124" s="252" t="str">
        <f t="shared" ca="1" si="143"/>
        <v/>
      </c>
      <c r="S124" s="252" t="str">
        <f t="shared" ca="1" si="144"/>
        <v/>
      </c>
      <c r="T124" s="252" t="str">
        <f t="shared" ca="1" si="145"/>
        <v/>
      </c>
      <c r="U124" s="252" t="str">
        <f t="shared" ca="1" si="146"/>
        <v/>
      </c>
      <c r="V124" s="252" t="str">
        <f t="shared" ca="1" si="147"/>
        <v/>
      </c>
      <c r="W124" s="252" t="str">
        <f t="shared" ca="1" si="148"/>
        <v>Y</v>
      </c>
      <c r="X124" s="252" t="str">
        <f t="shared" ca="1" si="149"/>
        <v/>
      </c>
      <c r="Y124" s="252" t="str">
        <f t="shared" ca="1" si="150"/>
        <v>Y</v>
      </c>
      <c r="Z124" s="252" t="str">
        <f t="shared" ca="1" si="151"/>
        <v>Y</v>
      </c>
      <c r="AB124" s="151"/>
      <c r="AC124" s="151"/>
      <c r="AD124" s="151"/>
      <c r="AE124" s="151"/>
      <c r="AF124" s="151"/>
      <c r="AG124" s="151"/>
      <c r="AH124" s="151"/>
      <c r="AI124" s="151"/>
      <c r="AJ124" s="151"/>
      <c r="AK124" s="151"/>
      <c r="AL124" s="151"/>
      <c r="AM124" s="151"/>
    </row>
    <row r="125" spans="1:39" ht="13.8" thickBot="1">
      <c r="A125" s="64"/>
      <c r="B125" s="65"/>
      <c r="C125" s="66"/>
      <c r="D125" s="67"/>
      <c r="E125" s="67"/>
      <c r="F125" s="67"/>
      <c r="G125" s="67"/>
      <c r="H125" s="67"/>
      <c r="I125" s="67"/>
      <c r="J125" s="67"/>
      <c r="K125" s="67"/>
      <c r="L125" s="67"/>
      <c r="M125" s="67"/>
      <c r="N125" s="60"/>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row>
  </sheetData>
  <sheetProtection password="9C47" sheet="1"/>
  <mergeCells count="50">
    <mergeCell ref="T4:U5"/>
    <mergeCell ref="V4:W5"/>
    <mergeCell ref="J8:K9"/>
    <mergeCell ref="X6:Y7"/>
    <mergeCell ref="X10:Y11"/>
    <mergeCell ref="X8:Y9"/>
    <mergeCell ref="J6:K7"/>
    <mergeCell ref="P8:Q9"/>
    <mergeCell ref="S8:U8"/>
    <mergeCell ref="P6:Q7"/>
    <mergeCell ref="AE4:AF5"/>
    <mergeCell ref="AE15:AJ15"/>
    <mergeCell ref="AC10:AD11"/>
    <mergeCell ref="AC6:AD7"/>
    <mergeCell ref="AK8:AL9"/>
    <mergeCell ref="AG12:AH13"/>
    <mergeCell ref="AI12:AJ13"/>
    <mergeCell ref="AK10:AL11"/>
    <mergeCell ref="AE12:AF13"/>
    <mergeCell ref="AF9:AH9"/>
    <mergeCell ref="J4:K5"/>
    <mergeCell ref="AG2:AI2"/>
    <mergeCell ref="AI4:AJ5"/>
    <mergeCell ref="AA2:AD2"/>
    <mergeCell ref="R4:S5"/>
    <mergeCell ref="AB22:AM22"/>
    <mergeCell ref="AG4:AH5"/>
    <mergeCell ref="AC8:AD9"/>
    <mergeCell ref="AF8:AH8"/>
    <mergeCell ref="AK6:AL7"/>
    <mergeCell ref="T12:U13"/>
    <mergeCell ref="D10:E11"/>
    <mergeCell ref="F10:G11"/>
    <mergeCell ref="D8:E9"/>
    <mergeCell ref="V12:W13"/>
    <mergeCell ref="D4:E5"/>
    <mergeCell ref="F4:G5"/>
    <mergeCell ref="F8:H8"/>
    <mergeCell ref="H4:I5"/>
    <mergeCell ref="D6:E7"/>
    <mergeCell ref="S9:U9"/>
    <mergeCell ref="F7:H7"/>
    <mergeCell ref="E22:M22"/>
    <mergeCell ref="O22:Z22"/>
    <mergeCell ref="F15:I15"/>
    <mergeCell ref="S15:V15"/>
    <mergeCell ref="P10:Q11"/>
    <mergeCell ref="H10:I11"/>
    <mergeCell ref="J10:K11"/>
    <mergeCell ref="R12:S13"/>
  </mergeCells>
  <phoneticPr fontId="1" type="noConversion"/>
  <conditionalFormatting sqref="D38:AM124">
    <cfRule type="cellIs" dxfId="32" priority="1" stopIfTrue="1" operator="equal">
      <formula>"Y"</formula>
    </cfRule>
  </conditionalFormatting>
  <pageMargins left="0.75" right="0.75" top="1" bottom="1" header="0.5" footer="0.5"/>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P125"/>
  <sheetViews>
    <sheetView topLeftCell="A22" workbookViewId="0">
      <selection activeCell="M1" sqref="M1:M2"/>
    </sheetView>
  </sheetViews>
  <sheetFormatPr defaultColWidth="11.5546875" defaultRowHeight="13.2"/>
  <cols>
    <col min="1" max="1" width="3.33203125" style="68" customWidth="1"/>
    <col min="2" max="2" width="11.88671875" style="8" customWidth="1"/>
    <col min="3" max="3" width="13.5546875" style="13" customWidth="1"/>
    <col min="4" max="13" width="3.6640625" style="15" customWidth="1"/>
    <col min="14" max="14" width="0.88671875" style="15" customWidth="1"/>
    <col min="15" max="26" width="3.6640625" style="15" customWidth="1"/>
    <col min="27" max="27" width="0.88671875" style="15" customWidth="1"/>
    <col min="28" max="39" width="3.6640625" style="15" customWidth="1"/>
    <col min="40" max="16384" width="11.5546875" style="13"/>
  </cols>
  <sheetData>
    <row r="1" spans="1:42" ht="9.9" customHeight="1">
      <c r="M1" s="123"/>
    </row>
    <row r="2" spans="1:42" ht="13.8" thickBot="1">
      <c r="A2" s="61"/>
      <c r="C2" s="236" t="str">
        <f>DataEntry!A3</f>
        <v>Male</v>
      </c>
      <c r="D2" s="237" t="str">
        <f>DataEntry!N3</f>
        <v>specific</v>
      </c>
      <c r="E2" s="238"/>
      <c r="F2" s="238"/>
      <c r="G2" s="236" t="str">
        <f>Dasha!B841</f>
        <v>moon</v>
      </c>
      <c r="H2" s="238"/>
      <c r="I2" s="236" t="str">
        <f>Dasha!C841</f>
        <v>saturn</v>
      </c>
      <c r="J2" s="238"/>
      <c r="K2" s="437" t="str">
        <f>Dasha!D841</f>
        <v>mars</v>
      </c>
      <c r="L2" s="238"/>
      <c r="M2" s="438"/>
      <c r="N2" s="239"/>
      <c r="O2" s="239"/>
      <c r="Q2" s="239"/>
      <c r="R2" s="239"/>
      <c r="S2" s="240">
        <f>DataEntry!B9</f>
        <v>72</v>
      </c>
      <c r="T2" s="240">
        <f>DataEntry!B10</f>
        <v>36</v>
      </c>
      <c r="U2" s="240" t="str">
        <f>DataEntry!B11</f>
        <v>East</v>
      </c>
      <c r="V2" s="240"/>
      <c r="W2" s="240">
        <f>DataEntry!B14</f>
        <v>23</v>
      </c>
      <c r="X2" s="240">
        <f>DataEntry!B15</f>
        <v>48</v>
      </c>
      <c r="Y2" s="240" t="str">
        <f>DataEntry!B16</f>
        <v>North</v>
      </c>
      <c r="Z2" s="240"/>
      <c r="AA2" s="544">
        <f>DATE(DataEntry!G21,DataEntry!G20,DataEntry!G19)</f>
        <v>43240</v>
      </c>
      <c r="AB2" s="543"/>
      <c r="AC2" s="543"/>
      <c r="AD2" s="543"/>
      <c r="AE2" s="240"/>
      <c r="AF2" s="542">
        <f>TIME(12,0,1)</f>
        <v>0.50001157407407404</v>
      </c>
      <c r="AG2" s="543"/>
      <c r="AH2" s="534"/>
      <c r="AI2" s="239"/>
      <c r="AJ2" s="239"/>
      <c r="AK2" s="239"/>
      <c r="AL2" s="239"/>
      <c r="AM2" s="239"/>
      <c r="AN2" s="236" t="str">
        <f>DataEntry!M6</f>
        <v>NDM179934000</v>
      </c>
    </row>
    <row r="3" spans="1:42" ht="14.4" thickTop="1" thickBot="1">
      <c r="A3" s="61"/>
      <c r="C3" s="15"/>
    </row>
    <row r="4" spans="1:42">
      <c r="D4" s="518" t="str">
        <f>CONCATENATE(IF($D$26=12,"# ",""),IF($E$26=12,"Su ",""),IF($F$26=12,"Mo ",""),IF($G$26=12,"Me ",""),IF($H$26=12,"V ",""),IF($I$26=12,"Ma ",""),IF($J$26=12,"J ",""),IF($K$26=12,"Sa ",""),IF($L$26=12,"R ",""),IF($M$26=12,"K ",""))</f>
        <v/>
      </c>
      <c r="E4" s="519"/>
      <c r="F4" s="514" t="str">
        <f>CONCATENATE(IF($D$26=1,"# ",""),IF($E$26=1,"Su ",""),IF($F$26=1,"Mo ",""),IF($G$26=1,"Me ",""),IF($H$26=1,"V ",""),IF($I$26=1,"Ma ",""),IF($J$26=1,"J ",""),IF($K$26=1,"Sa ",""),IF($L$26=1,"R ",""),IF($M$26=1,"K ",""))</f>
        <v xml:space="preserve">Me </v>
      </c>
      <c r="G4" s="515"/>
      <c r="H4" s="526" t="str">
        <f>CONCATENATE(IF($D$26=2,"# ",""),IF($E$26=2,"Su ",""),IF($F$26=2,"Mo ",""),IF($G$26=2,"Me ",""),IF($H$26=2,"V ",""),IF($I$26=2,"Ma ",""),IF($J$26=2,"J ",""),IF($K$26=2,"Sa ",""),IF($L$26=2,"R ",""),IF($M$26=2,"K ",""))</f>
        <v xml:space="preserve">Su </v>
      </c>
      <c r="I4" s="527"/>
      <c r="J4" s="522" t="str">
        <f>CONCATENATE(IF($D$26=3,"# ",""),IF($E$26=3,"Su ",""),IF($F$26=3,"Mo ",""),IF($G$26=3,"Me ",""),IF($H$26=3,"V ",""),IF($I$26=3,"Ma ",""),IF($J$26=3,"J ",""),IF($K$26=3,"Sa ",""),IF($L$26=3,"R ",""),IF($M$26=3,"K ",""))</f>
        <v xml:space="preserve">V </v>
      </c>
      <c r="K4" s="523"/>
      <c r="R4" s="526" t="str">
        <f>CONCATENATE(IF($D$26=2,"# ",""),IF($E$26=2,"Su ",""),IF($F$26=2,"Mo ",""),IF($G$26=2,"Me ",""),IF($H$26=2,"V ",""),IF($I$26=2,"Ma ",""),IF($J$26=2,"J ",""),IF($K$26=2,"Sa ",""),IF($L$26=2,"R ",""),IF($M$26=2,"K ",""))</f>
        <v xml:space="preserve">Su </v>
      </c>
      <c r="S4" s="527"/>
      <c r="T4" s="514" t="str">
        <f>CONCATENATE(IF($D$26=1,"# ",""),IF($E$26=1,"Su ",""),IF($F$26=1,"Mo ",""),IF($G$26=1,"Me ",""),IF($H$26=1,"V ",""),IF($I$26=1,"Ma ",""),IF($J$26=1,"J ",""),IF($K$26=1,"Sa ",""),IF($L$26=1,"R ",""),IF($M$26=1,"K ",""))</f>
        <v xml:space="preserve">Me </v>
      </c>
      <c r="U4" s="515"/>
      <c r="V4" s="518" t="str">
        <f>CONCATENATE(IF($D$26=12,"# ",""),IF($E$26=12,"Su ",""),IF($F$26=12,"Mo ",""),IF($G$26=12,"Me ",""),IF($H$26=12,"V ",""),IF($I$26=12,"Ma ",""),IF($J$26=12,"J ",""),IF($K$26=12,"Sa ",""),IF($L$26=12,"R ",""),IF($M$26=12,"K ",""))</f>
        <v/>
      </c>
      <c r="W4" s="519"/>
      <c r="AE4" s="526" t="str">
        <f>CONCATENATE(IF(AF6=1,$F$4,""),IF(AF6=2,$H$4,""),IF(AF6=3,$J$4,""),IF(AF6=4,$J$6,""),IF(AF6=5,$J$8,""),IF(AF6=6,$J$10,""),IF(AF6=7,$H$10,""),IF(AF6=8,$F$10,""),IF(AF6=9,$D$10,""),IF(AF6=10,$D$8,""),IF(AF6=11,$D$6,""),IF(AF6=12,$D$4,""))</f>
        <v xml:space="preserve">Sa </v>
      </c>
      <c r="AF4" s="527"/>
      <c r="AG4" s="514" t="str">
        <f>CONCATENATE(IF(AG6=1,$F$4,""),IF(AG6=2,$H$4,""),IF(AG6=3,$J$4,""),IF(AG6=4,$J$6,""),IF(AG6=5,$J$8,""),IF(AG6=6,$J$10,""),IF(AG6=7,$H$10,""),IF(AG6=8,$F$10,""),IF(AG6=9,$D$10,""),IF(AG6=10,$D$8,""),IF(AG6=11,$D$6,""),IF(AG6=12,$D$4,""))</f>
        <v xml:space="preserve"># </v>
      </c>
      <c r="AH4" s="515"/>
      <c r="AI4" s="518" t="str">
        <f>CONCATENATE(IF(AI6=1,$F$4,""),IF(AI6=2,$H$4,""),IF(AI6=3,$J$4,""),IF(AI6=4,$J$6,""),IF(AI6=5,$J$8,""),IF(AI6=6,$J$10,""),IF(AI6=7,$H$10,""),IF(AI6=8,$F$10,""),IF(AI6=9,$D$10,""),IF(AI6=10,$D$8,""),IF(AI6=11,$D$6,""),IF(AI6=12,$D$4,""))</f>
        <v xml:space="preserve">J </v>
      </c>
      <c r="AJ4" s="519"/>
      <c r="AN4" s="222" t="s">
        <v>335</v>
      </c>
      <c r="AO4"/>
      <c r="AP4"/>
    </row>
    <row r="5" spans="1:42" ht="13.8" thickBot="1">
      <c r="D5" s="520"/>
      <c r="E5" s="521"/>
      <c r="F5" s="516"/>
      <c r="G5" s="517"/>
      <c r="H5" s="528"/>
      <c r="I5" s="529"/>
      <c r="J5" s="524"/>
      <c r="K5" s="525"/>
      <c r="R5" s="528"/>
      <c r="S5" s="529"/>
      <c r="T5" s="516"/>
      <c r="U5" s="517"/>
      <c r="V5" s="520"/>
      <c r="W5" s="521"/>
      <c r="AE5" s="528"/>
      <c r="AF5" s="529"/>
      <c r="AG5" s="516"/>
      <c r="AH5" s="517"/>
      <c r="AI5" s="520"/>
      <c r="AJ5" s="521"/>
      <c r="AN5" s="182" t="str">
        <f>PAC!O23</f>
        <v>first lord</v>
      </c>
      <c r="AO5" s="183" t="str">
        <f t="shared" ref="AO5:AO16" si="0">CONCATENATE(IF(AP5=1,"Sun",IF(AP5=2,"Mon",IF(AP5=3,"Mer",""))),IF(AP5=4,"Ven",IF(AP5=5,"Mar",IF(AP5=6,"Jup",""))),IF(AP5=7,"Sat",IF(AP5=8,"Ra",IF(AP5=9,"Ke",""))))</f>
        <v>Ven</v>
      </c>
      <c r="AP5" s="181">
        <f>PAC!O34</f>
        <v>4</v>
      </c>
    </row>
    <row r="6" spans="1:42">
      <c r="D6" s="510" t="str">
        <f>CONCATENATE(IF($D$26=11,"# ",""),IF($E$26=11,"Su ",""),IF($F$26=11,"Mo ",""),IF($G$26=11,"Me ",""),IF($H$26=11,"V ",""),IF($I$26=11,"Ma ",""),IF($J$26=11,"J ",""),IF($K$26=11,"Sa ",""),IF($L$26=11,"R ",""),IF($M$26=11,"K ",""))</f>
        <v/>
      </c>
      <c r="E6" s="511"/>
      <c r="F6" s="69"/>
      <c r="G6" s="14" t="s">
        <v>202</v>
      </c>
      <c r="H6" s="14"/>
      <c r="I6" s="70"/>
      <c r="J6" s="514" t="str">
        <f>CONCATENATE(IF($D$26=4,"# ",""),IF($E$26=4,"Su ",""),IF($F$26=4,"Mo ",""),IF($G$26=4,"Me ",""),IF($H$26=4,"V ",""),IF($I$26=4,"Ma ",""),IF($J$26=4,"J ",""),IF($K$26=4,"Sa ",""),IF($L$26=4,"R ",""),IF($M$26=4,"K ",""))</f>
        <v xml:space="preserve">Mo R </v>
      </c>
      <c r="K6" s="515"/>
      <c r="P6" s="522" t="str">
        <f>CONCATENATE(IF($D$26=3,"# ",""),IF($E$26=3,"Su ",""),IF($F$26=3,"Mo ",""),IF($G$26=3,"Me ",""),IF($H$26=3,"V ",""),IF($I$26=3,"Ma ",""),IF($J$26=3,"J ",""),IF($K$26=3,"Sa ",""),IF($L$26=3,"R ",""),IF($M$26=3,"K ",""))</f>
        <v xml:space="preserve">V </v>
      </c>
      <c r="Q6" s="523"/>
      <c r="U6" s="15" t="s">
        <v>203</v>
      </c>
      <c r="X6" s="510" t="str">
        <f>CONCATENATE(IF($D$26=11,"# ",""),IF($E$26=11,"Su ",""),IF($F$26=11,"Mo ",""),IF($G$26=11,"Me ",""),IF($H$26=11,"V ",""),IF($I$26=11,"Ma ",""),IF($J$26=11,"J ",""),IF($K$26=11,"Sa ",""),IF($L$26=11,"R ",""),IF($M$26=11,"K ",""))</f>
        <v/>
      </c>
      <c r="Y6" s="511"/>
      <c r="AC6" s="538" t="str">
        <f>CONCATENATE(IF(AE7=1,$F$4,""),IF(AE7=2,$H$4,""),IF(AE7=3,$J$4,""),IF(AE7=4,$J$6,""),IF(AE7=5,$J$8,""),IF(AE7=6,$J$10,""),IF(AE7=7,$H$10,""),IF(AE7=8,$F$10,""),IF(AE7=9,$D$10,""),IF(AE7=10,$D$8,""),IF(AE7=11,$D$6,""),IF(AE7=12,$D$4,""))</f>
        <v xml:space="preserve">Ma K </v>
      </c>
      <c r="AD6" s="539"/>
      <c r="AF6" s="15">
        <f>IF(AG6+1=13,AG6+1-12,AG6+1)</f>
        <v>9</v>
      </c>
      <c r="AG6" s="15">
        <f>$D$26</f>
        <v>8</v>
      </c>
      <c r="AI6" s="15">
        <f>IF(AJ7+1&gt;=13,AJ7+1-12,AJ7+1)</f>
        <v>7</v>
      </c>
      <c r="AK6" s="510" t="str">
        <f>CONCATENATE(IF(AJ7=1,$F$4,""),IF(AJ7=2,$H$4,""),IF(AJ7=3,$J$4,""),IF(AJ7=4,$J$6,""),IF(AJ7=5,$J$8,""),IF(AJ7=6,$J$10,""),IF(AJ7=7,$H$10,""),IF(AJ7=8,$F$10,""),IF(AJ7=9,$D$10,""),IF(AJ7=10,$D$8,""),IF(AJ7=11,$D$6,""),IF(AJ7=12,$D$4,""))</f>
        <v/>
      </c>
      <c r="AL6" s="511"/>
      <c r="AN6" s="182" t="str">
        <f>PAC!P23</f>
        <v>second lord</v>
      </c>
      <c r="AO6" s="183" t="str">
        <f t="shared" si="0"/>
        <v>Mar</v>
      </c>
      <c r="AP6" s="181">
        <f>PAC!P34</f>
        <v>5</v>
      </c>
    </row>
    <row r="7" spans="1:42" ht="13.8" thickBot="1">
      <c r="D7" s="512"/>
      <c r="E7" s="513"/>
      <c r="F7" s="506" t="s">
        <v>204</v>
      </c>
      <c r="G7" s="507"/>
      <c r="H7" s="507"/>
      <c r="I7" s="70"/>
      <c r="J7" s="516"/>
      <c r="K7" s="517"/>
      <c r="P7" s="524"/>
      <c r="Q7" s="525"/>
      <c r="X7" s="512"/>
      <c r="Y7" s="513"/>
      <c r="AC7" s="540"/>
      <c r="AD7" s="541"/>
      <c r="AE7" s="15">
        <f>IF(AF6+1=13,AF6+1-12,AF6+1)</f>
        <v>10</v>
      </c>
      <c r="AJ7" s="15">
        <f>IF(AJ8+1&gt;=13,AJ8+1-12,AJ8+1)</f>
        <v>6</v>
      </c>
      <c r="AK7" s="512"/>
      <c r="AL7" s="513"/>
      <c r="AN7" s="182" t="str">
        <f>PAC!Q23</f>
        <v>third lord</v>
      </c>
      <c r="AO7" s="183" t="str">
        <f t="shared" si="0"/>
        <v>Jup</v>
      </c>
      <c r="AP7" s="181">
        <f>PAC!Q34</f>
        <v>6</v>
      </c>
    </row>
    <row r="8" spans="1:42">
      <c r="D8" s="514" t="str">
        <f>CONCATENATE(IF($D$26=10,"# ",""),IF($E$26=10,"Su ",""),IF($F$26=10,"Mo ",""),IF($G$26=10,"Me ",""),IF($H$26=10,"V ",""),IF($I$26=10,"Ma ",""),IF($J$26=10,"J ",""),IF($K$26=10,"Sa ",""),IF($L$26=10,"R ",""),IF($M$26=10,"K ",""))</f>
        <v xml:space="preserve">Ma K </v>
      </c>
      <c r="E8" s="515"/>
      <c r="F8" s="530" t="str">
        <f>CONCATENATE(IF($G$45="Y","Me ",""),IF($H$45="Y","V ",""),IF($I$45="Y","Ma ",""),IF($J$45="Y","J ",""),IF($K$45="Y","Sa ",""))</f>
        <v xml:space="preserve">J Sa </v>
      </c>
      <c r="G8" s="531"/>
      <c r="H8" s="531"/>
      <c r="I8" s="70"/>
      <c r="J8" s="510" t="str">
        <f>CONCATENATE(IF($D$26=5,"# ",""),IF($E$26=5,"Su ",""),IF($F$26=5,"Mo ",""),IF($G$26=5,"Me ",""),IF($H$26=5,"V ",""),IF($I$26=5,"Ma ",""),IF($J$26=5,"J ",""),IF($K$26=5,"Sa ",""),IF($L$26=5,"R ",""),IF($M$26=5,"K ",""))</f>
        <v/>
      </c>
      <c r="K8" s="511"/>
      <c r="P8" s="514" t="str">
        <f>CONCATENATE(IF($D$26=4,"# ",""),IF($E$26=4,"Su ",""),IF($F$26=4,"Mo ",""),IF($G$26=4,"Me ",""),IF($H$26=4,"V ",""),IF($I$26=4,"Ma ",""),IF($J$26=4,"J ",""),IF($K$26=4,"Sa ",""),IF($L$26=4,"R ",""),IF($M$26=4,"K ",""))</f>
        <v xml:space="preserve">Mo R </v>
      </c>
      <c r="Q8" s="515"/>
      <c r="S8" s="536" t="s">
        <v>204</v>
      </c>
      <c r="T8" s="537"/>
      <c r="U8" s="537"/>
      <c r="X8" s="514" t="str">
        <f>CONCATENATE(IF($D$26=10,"# ",""),IF($E$26=10,"Su ",""),IF($F$26=10,"Mo ",""),IF($G$26=10,"Me ",""),IF($H$26=10,"V ",""),IF($I$26=10,"Ma ",""),IF($J$26=10,"J ",""),IF($K$26=10,"Sa ",""),IF($L$26=10,"R ",""),IF($M$26=10,"K ",""))</f>
        <v xml:space="preserve">Ma K </v>
      </c>
      <c r="Y8" s="515"/>
      <c r="AC8" s="514" t="str">
        <f>CONCATENATE(IF(AE9=1,$F$4,""),IF(AE9=2,$H$4,""),IF(AE9=3,$J$4,""),IF(AE9=4,$J$6,""),IF(AE9=5,$J$8,""),IF(AE9=6,$J$10,""),IF(AE9=7,$H$10,""),IF(AE9=8,$F$10,""),IF(AE9=9,$D$10,""),IF(AE9=10,$D$8,""),IF(AE9=11,$D$6,""),IF(AE9=12,$D$4,""))</f>
        <v/>
      </c>
      <c r="AD8" s="515"/>
      <c r="AF8" s="536" t="s">
        <v>204</v>
      </c>
      <c r="AG8" s="537"/>
      <c r="AH8" s="537"/>
      <c r="AJ8" s="15">
        <f>IF(AJ10+1&gt;=13,AJ10+1-12,AJ10+1)</f>
        <v>5</v>
      </c>
      <c r="AK8" s="514" t="str">
        <f>CONCATENATE(IF(AJ8=1,$F$4,""),IF(AJ8=2,$H$4,""),IF(AJ8=3,$J$4,""),IF(AJ8=4,$J$6,""),IF(AJ8=5,$J$8,""),IF(AJ8=6,$J$10,""),IF(AJ8=7,$H$10,""),IF(AJ8=8,$F$10,""),IF(AJ8=9,$D$10,""),IF(AJ8=10,$D$8,""),IF(AJ8=11,$D$6,""),IF(AJ8=12,$D$4,""))</f>
        <v/>
      </c>
      <c r="AL8" s="515"/>
      <c r="AN8" s="182" t="str">
        <f>PAC!R23</f>
        <v>fourth lord</v>
      </c>
      <c r="AO8" s="183" t="str">
        <f t="shared" si="0"/>
        <v>Sat</v>
      </c>
      <c r="AP8" s="181">
        <f>PAC!R34</f>
        <v>7</v>
      </c>
    </row>
    <row r="9" spans="1:42" ht="13.8" thickBot="1">
      <c r="D9" s="516"/>
      <c r="E9" s="517"/>
      <c r="F9" s="71"/>
      <c r="G9" s="71"/>
      <c r="H9" s="53"/>
      <c r="I9" s="72"/>
      <c r="J9" s="512"/>
      <c r="K9" s="513"/>
      <c r="P9" s="516"/>
      <c r="Q9" s="517"/>
      <c r="S9" s="504" t="str">
        <f>CONCATENATE(IF($G$45="Y","Me ",""),IF($H$45="Y","V ",""),IF($I$45="Y","Ma ",""),IF($J$45="Y","J ",""),IF($K$45="Y","Sa ",""))</f>
        <v xml:space="preserve">J Sa </v>
      </c>
      <c r="T9" s="505"/>
      <c r="U9" s="505"/>
      <c r="X9" s="516"/>
      <c r="Y9" s="517"/>
      <c r="AC9" s="516"/>
      <c r="AD9" s="517"/>
      <c r="AE9" s="15">
        <f>IF(AE7+1&gt;=13,AE7+1-12,AE7+1)</f>
        <v>11</v>
      </c>
      <c r="AF9" s="504" t="str">
        <f>CONCATENATE(IF($G$45="Y","Me ",""),IF($H$45="Y","V ",""),IF($I$45="Y","Ma ",""),IF($J$45="Y","J ",""),IF($K$45="Y","Sa ",""))</f>
        <v xml:space="preserve">J Sa </v>
      </c>
      <c r="AG9" s="505"/>
      <c r="AH9" s="505"/>
      <c r="AK9" s="516"/>
      <c r="AL9" s="517"/>
      <c r="AN9" s="182" t="str">
        <f>PAC!S23</f>
        <v>fifth lord</v>
      </c>
      <c r="AO9" s="183" t="str">
        <f t="shared" si="0"/>
        <v>Sat</v>
      </c>
      <c r="AP9" s="181">
        <f>PAC!S34</f>
        <v>7</v>
      </c>
    </row>
    <row r="10" spans="1:42">
      <c r="D10" s="522" t="str">
        <f>CONCATENATE(IF($D$26=9,"# ",""),IF($E$26=9,"Su ",""),IF($F$26=9,"Mo ",""),IF($G$26=9,"Me ",""),IF($H$26=9,"V ",""),IF($I$26=9,"Ma ",""),IF($J$26=9,"J ",""),IF($K$26=9,"Sa ",""),IF($L$26=9,"R ",""),IF($M$26=9,"K ",""))</f>
        <v xml:space="preserve">Sa </v>
      </c>
      <c r="E10" s="523"/>
      <c r="F10" s="526" t="str">
        <f>CONCATENATE(IF($D$26=8,"# ",""),IF($E$26=8,"Su ",""),IF($F$26=8,"Mo ",""),IF($G$26=8,"Me ",""),IF($H$26=8,"V ",""),IF($I$26=8,"Ma ",""),IF($J$26=8,"J ",""),IF($K$26=8,"Sa ",""),IF($L$26=8,"R ",""),IF($M$26=8,"K ",""))</f>
        <v xml:space="preserve"># </v>
      </c>
      <c r="G10" s="527"/>
      <c r="H10" s="514" t="str">
        <f>CONCATENATE(IF($D$26=7,"# ",""),IF($E$26=7,"Su ",""),IF($F$26=7,"Mo ",""),IF($G$26=7,"Me ",""),IF($H$26=7,"V ",""),IF($I$26=7,"Ma ",""),IF($J$26=7,"J ",""),IF($K$26=7,"Sa ",""),IF($L$26=7,"R ",""),IF($M$26=7,"K ",""))</f>
        <v xml:space="preserve">J </v>
      </c>
      <c r="I10" s="515"/>
      <c r="J10" s="518" t="str">
        <f>CONCATENATE(IF($D$26=6,"# ",""),IF($E$26=6,"Su ",""),IF($F$26=6,"Mo ",""),IF($G$26=6,"Me ",""),IF($H$26=6,"V ",""),IF($I$26=6,"Ma ",""),IF($J$26=6,"J ",""),IF($K$26=6,"Sa ",""),IF($L$26=6,"R ",""),IF($M$26=6,"K ",""))</f>
        <v/>
      </c>
      <c r="K10" s="519"/>
      <c r="P10" s="510" t="str">
        <f>CONCATENATE(IF($D$26=5,"# ",""),IF($E$26=5,"Su ",""),IF($F$26=5,"Mo ",""),IF($G$26=5,"Me ",""),IF($H$26=5,"V ",""),IF($I$26=5,"Ma ",""),IF($J$26=5,"J ",""),IF($K$26=5,"Sa ",""),IF($L$26=5,"R ",""),IF($M$26=5,"K ",""))</f>
        <v/>
      </c>
      <c r="Q10" s="511"/>
      <c r="X10" s="522" t="str">
        <f>CONCATENATE(IF($D$26=9,"# ",""),IF($E$26=9,"Su ",""),IF($F$26=9,"Mo ",""),IF($G$26=9,"Me ",""),IF($H$26=9,"V ",""),IF($I$26=9,"Ma ",""),IF($J$26=9,"J ",""),IF($K$26=9,"Sa ",""),IF($L$26=9,"R ",""),IF($M$26=9,"K ",""))</f>
        <v xml:space="preserve">Sa </v>
      </c>
      <c r="Y10" s="523"/>
      <c r="AC10" s="510" t="str">
        <f>CONCATENATE(IF(AE10=1,$F$4,""),IF(AE10=2,$H$4,""),IF(AE10=3,$J$4,""),IF(AE10=4,$J$6,""),IF(AE10=5,$J$8,""),IF(AE10=6,$J$10,""),IF(AE10=7,$H$10,""),IF(AE10=8,$F$10,""),IF(AE10=9,$D$10,""),IF(AE10=10,$D$8,""),IF(AE10=11,$D$6,""),IF(AE10=12,$D$4,""))</f>
        <v/>
      </c>
      <c r="AD10" s="511"/>
      <c r="AE10" s="15">
        <f>IF(AE9+1&gt;=13,AE9+1-12,AE9+1)</f>
        <v>12</v>
      </c>
      <c r="AJ10" s="15">
        <f>IF(AI11+1&gt;=13,AI11+1-12,AI11+1)</f>
        <v>4</v>
      </c>
      <c r="AK10" s="538" t="str">
        <f>CONCATENATE(IF(AJ10=1,$F$4,""),IF(AJ10=2,$H$4,""),IF(AJ10=3,$J$4,""),IF(AJ10=4,$J$6,""),IF(AJ10=5,$J$8,""),IF(AJ10=6,$J$10,""),IF(AJ10=7,$H$10,""),IF(AJ10=8,$F$10,""),IF(AJ10=9,$D$10,""),IF(AJ10=10,$D$8,""),IF(AJ10=11,$D$6,""),IF(AJ10=12,$D$4,""))</f>
        <v xml:space="preserve">Mo R </v>
      </c>
      <c r="AL10" s="539"/>
      <c r="AN10" s="182" t="str">
        <f>PAC!T23</f>
        <v>sixth lord</v>
      </c>
      <c r="AO10" s="183" t="str">
        <f t="shared" si="0"/>
        <v>Jup</v>
      </c>
      <c r="AP10" s="181">
        <f>PAC!T34</f>
        <v>6</v>
      </c>
    </row>
    <row r="11" spans="1:42" ht="13.8" thickBot="1">
      <c r="D11" s="524"/>
      <c r="E11" s="525"/>
      <c r="F11" s="528"/>
      <c r="G11" s="529"/>
      <c r="H11" s="516"/>
      <c r="I11" s="517"/>
      <c r="J11" s="520"/>
      <c r="K11" s="521"/>
      <c r="P11" s="512"/>
      <c r="Q11" s="513"/>
      <c r="X11" s="524"/>
      <c r="Y11" s="525"/>
      <c r="AC11" s="512"/>
      <c r="AD11" s="513"/>
      <c r="AF11" s="15">
        <f>IF(AE10+1&gt;=13,AE10+1-12,AE10+1)</f>
        <v>1</v>
      </c>
      <c r="AH11" s="15">
        <f>IF(AF11+1&gt;=13,AF11+1-12,AF11+1)</f>
        <v>2</v>
      </c>
      <c r="AI11" s="15">
        <f>IF(AH11+1&gt;=13,AH11+1-12,AH11+1)</f>
        <v>3</v>
      </c>
      <c r="AK11" s="540"/>
      <c r="AL11" s="541"/>
      <c r="AN11" s="182" t="str">
        <f>PAC!U23</f>
        <v>seventh lord</v>
      </c>
      <c r="AO11" s="183" t="str">
        <f t="shared" si="0"/>
        <v>Mar</v>
      </c>
      <c r="AP11" s="181">
        <f>PAC!U34</f>
        <v>5</v>
      </c>
    </row>
    <row r="12" spans="1:42">
      <c r="R12" s="518" t="str">
        <f>CONCATENATE(IF($D$26=6,"# ",""),IF($E$26=6,"Su ",""),IF($F$26=6,"Mo ",""),IF($G$26=6,"Me ",""),IF($H$26=6,"V ",""),IF($I$26=6,"Ma ",""),IF($J$26=6,"J ",""),IF($K$26=6,"Sa ",""),IF($L$26=6,"R ",""),IF($M$26=6,"K ",""))</f>
        <v/>
      </c>
      <c r="S12" s="519"/>
      <c r="T12" s="514" t="str">
        <f>CONCATENATE(IF($D$26=7,"# ",""),IF($E$26=7,"Su ",""),IF($F$26=7,"Mo ",""),IF($G$26=7,"Me ",""),IF($H$26=7,"V ",""),IF($I$26=7,"Ma ",""),IF($J$26=7,"J ",""),IF($K$26=7,"Sa ",""),IF($L$26=7,"R ",""),IF($M$26=7,"K ",""))</f>
        <v xml:space="preserve">J </v>
      </c>
      <c r="U12" s="515"/>
      <c r="V12" s="526" t="str">
        <f>CONCATENATE(IF($D$26=8,"# ",""),IF($E$26=8,"Su ",""),IF($F$26=8,"Mo ",""),IF($G$26=8,"Me ",""),IF($H$26=8,"V ",""),IF($I$26=8,"Ma ",""),IF($J$26=8,"J ",""),IF($K$26=8,"Sa ",""),IF($L$26=8,"R ",""),IF($M$26=8,"K ",""))</f>
        <v xml:space="preserve"># </v>
      </c>
      <c r="W12" s="527"/>
      <c r="AE12" s="518" t="str">
        <f>CONCATENATE(IF(AF11=1,$F$4,""),IF(AF11=2,$H$4,""),IF(AF11=3,$J$4,""),IF(AF11=4,$J$6,""),IF(AF11=5,$J$8,""),IF(AF11=6,$J$10,""),IF(AF11=7,$H$10,""),IF(AF11=8,$F$10,""),IF(AF11=9,$D$10,""),IF(AF11=10,$D$8,""),IF(AF11=11,$D$6,""),IF(AF11=12,$D$4,""))</f>
        <v xml:space="preserve">Me </v>
      </c>
      <c r="AF12" s="519"/>
      <c r="AG12" s="514" t="str">
        <f>CONCATENATE(IF(AH11=1,$F$4,""),IF(AH11=2,$H$4,""),IF(AH11=3,$J$4,""),IF(AH11=4,$J$6,""),IF(AH11=5,$J$8,""),IF(AH11=6,$J$10,""),IF(AH11=7,$H$10,""),IF(AH11=8,$F$10,""),IF(AH11=9,$D$10,""),IF(AH11=10,$D$8,""),IF(AH11=11,$D$6,""),IF(AH11=12,$D$4,""))</f>
        <v xml:space="preserve">Su </v>
      </c>
      <c r="AH12" s="515"/>
      <c r="AI12" s="526" t="str">
        <f>CONCATENATE(IF(AI11=1,$F$4,""),IF(AI11=2,$H$4,""),IF(AI11=3,$J$4,""),IF(AI11=4,$J$6,""),IF(AI11=5,$J$8,""),IF(AI11=6,$J$10,""),IF(AI11=7,$H$10,""),IF(AI11=8,$F$10,""),IF(AI11=9,$D$10,""),IF(AI11=10,$D$8,""),IF(AI11=11,$D$6,""),IF(AI11=12,$D$4,""))</f>
        <v xml:space="preserve">V </v>
      </c>
      <c r="AJ12" s="527"/>
      <c r="AN12" s="182" t="str">
        <f>PAC!V23</f>
        <v>eighth lord</v>
      </c>
      <c r="AO12" s="183" t="str">
        <f t="shared" si="0"/>
        <v>Ven</v>
      </c>
      <c r="AP12" s="181">
        <f>PAC!V34</f>
        <v>4</v>
      </c>
    </row>
    <row r="13" spans="1:42" ht="13.8" thickBot="1">
      <c r="R13" s="520"/>
      <c r="S13" s="521"/>
      <c r="T13" s="516"/>
      <c r="U13" s="517"/>
      <c r="V13" s="528"/>
      <c r="W13" s="529"/>
      <c r="AE13" s="520"/>
      <c r="AF13" s="521"/>
      <c r="AG13" s="516"/>
      <c r="AH13" s="517"/>
      <c r="AI13" s="528"/>
      <c r="AJ13" s="529"/>
      <c r="AN13" s="182" t="str">
        <f>PAC!W23</f>
        <v>ninth lord</v>
      </c>
      <c r="AO13" s="183" t="str">
        <f t="shared" si="0"/>
        <v>Mer</v>
      </c>
      <c r="AP13" s="181">
        <f>PAC!W34</f>
        <v>3</v>
      </c>
    </row>
    <row r="14" spans="1:42">
      <c r="AN14" s="182" t="str">
        <f>PAC!X23</f>
        <v>tenth lord</v>
      </c>
      <c r="AO14" s="183" t="str">
        <f t="shared" si="0"/>
        <v>Mon</v>
      </c>
      <c r="AP14" s="181">
        <f>PAC!X34</f>
        <v>2</v>
      </c>
    </row>
    <row r="15" spans="1:42">
      <c r="F15" s="509" t="s">
        <v>205</v>
      </c>
      <c r="G15" s="509"/>
      <c r="H15" s="509"/>
      <c r="I15" s="509"/>
      <c r="S15" s="509" t="s">
        <v>206</v>
      </c>
      <c r="T15" s="509"/>
      <c r="U15" s="509"/>
      <c r="V15" s="509"/>
      <c r="AE15" s="509" t="s">
        <v>207</v>
      </c>
      <c r="AF15" s="507"/>
      <c r="AG15" s="507"/>
      <c r="AH15" s="507"/>
      <c r="AI15" s="507"/>
      <c r="AJ15" s="507"/>
      <c r="AN15" s="182" t="str">
        <f>PAC!Y23</f>
        <v>eleventh lord</v>
      </c>
      <c r="AO15" s="183" t="str">
        <f t="shared" si="0"/>
        <v>Sun</v>
      </c>
      <c r="AP15" s="181">
        <f>PAC!Y34</f>
        <v>1</v>
      </c>
    </row>
    <row r="16" spans="1:42">
      <c r="AN16" s="182" t="str">
        <f>PAC!Z23</f>
        <v>twelveth lord</v>
      </c>
      <c r="AO16" s="183" t="str">
        <f t="shared" si="0"/>
        <v>Mer</v>
      </c>
      <c r="AP16" s="181">
        <f>PAC!Z34</f>
        <v>3</v>
      </c>
    </row>
    <row r="17" spans="1:41" ht="17.399999999999999">
      <c r="A17" s="7"/>
      <c r="D17" s="250" t="s">
        <v>338</v>
      </c>
      <c r="E17" s="10"/>
      <c r="F17" s="10"/>
      <c r="G17" s="10"/>
      <c r="H17" s="10"/>
      <c r="I17" s="10"/>
      <c r="J17" s="10"/>
      <c r="K17" s="10"/>
      <c r="L17" s="10"/>
      <c r="M17" s="10"/>
      <c r="N17" s="10"/>
      <c r="O17" s="241"/>
      <c r="P17" s="241"/>
      <c r="Q17" s="241"/>
      <c r="R17" s="241"/>
      <c r="S17" s="241"/>
      <c r="T17" s="241"/>
      <c r="U17" s="241"/>
      <c r="V17" s="241"/>
      <c r="W17" s="241"/>
      <c r="X17" s="241"/>
      <c r="Y17" s="241"/>
      <c r="Z17" s="241"/>
      <c r="AA17" s="10"/>
      <c r="AB17" s="10"/>
      <c r="AC17" s="10"/>
      <c r="AD17" s="10"/>
      <c r="AE17" s="10"/>
      <c r="AF17" s="10"/>
      <c r="AG17" s="10"/>
      <c r="AH17" s="10"/>
      <c r="AI17" s="10"/>
      <c r="AJ17" s="11"/>
      <c r="AK17" s="11"/>
      <c r="AL17" s="11"/>
      <c r="AM17" s="12"/>
      <c r="AN17" s="1"/>
    </row>
    <row r="18" spans="1:41">
      <c r="A18" s="7"/>
      <c r="B18" s="13"/>
      <c r="C18" s="5"/>
      <c r="D18" s="14"/>
      <c r="E18" s="4"/>
      <c r="F18" s="4"/>
      <c r="G18" s="4"/>
      <c r="H18" s="4"/>
      <c r="I18" s="4"/>
      <c r="J18" s="4"/>
      <c r="K18" s="4"/>
      <c r="L18" s="4"/>
      <c r="M18" s="4"/>
      <c r="AB18" s="4"/>
      <c r="AC18" s="4"/>
      <c r="AD18" s="4"/>
      <c r="AE18" s="4"/>
      <c r="AF18" s="4"/>
      <c r="AG18" s="4"/>
      <c r="AH18" s="4"/>
      <c r="AI18" s="4"/>
      <c r="AJ18" s="4"/>
      <c r="AK18" s="4"/>
      <c r="AL18" s="4"/>
      <c r="AN18" s="1"/>
    </row>
    <row r="19" spans="1:41" ht="17.399999999999999">
      <c r="A19" s="245" t="s">
        <v>336</v>
      </c>
      <c r="B19" s="246"/>
      <c r="C19" s="246"/>
      <c r="D19" s="246"/>
      <c r="E19" s="246"/>
      <c r="F19" s="246"/>
      <c r="G19" s="246"/>
      <c r="H19" s="246"/>
      <c r="I19" s="245" t="str">
        <f>D2</f>
        <v>specific</v>
      </c>
      <c r="J19" s="246"/>
      <c r="K19" s="246"/>
      <c r="L19" s="246"/>
      <c r="M19" s="249" t="s">
        <v>313</v>
      </c>
      <c r="N19" s="247"/>
      <c r="O19" s="247"/>
      <c r="P19" s="247"/>
      <c r="Q19" s="247"/>
      <c r="R19" s="247"/>
      <c r="S19" s="247"/>
      <c r="T19" s="247"/>
      <c r="U19" s="247"/>
      <c r="V19" s="247"/>
      <c r="W19" s="247"/>
      <c r="X19" s="247"/>
      <c r="Y19" s="247"/>
      <c r="Z19" s="247"/>
      <c r="AA19" s="247"/>
      <c r="AB19" s="247"/>
      <c r="AC19" s="247"/>
      <c r="AD19" s="247"/>
      <c r="AE19" s="247"/>
      <c r="AF19" s="247"/>
      <c r="AG19" s="247"/>
      <c r="AH19" s="247"/>
      <c r="AI19" s="247"/>
      <c r="AJ19" s="247"/>
      <c r="AK19" s="247"/>
      <c r="AL19" s="247"/>
      <c r="AM19" s="247"/>
      <c r="AN19" s="248"/>
      <c r="AO19" s="248"/>
    </row>
    <row r="20" spans="1:41">
      <c r="A20" s="7"/>
      <c r="B20" s="13"/>
      <c r="C20" s="5"/>
      <c r="D20" s="14"/>
      <c r="E20" s="4"/>
      <c r="F20" s="4"/>
      <c r="G20" s="4"/>
      <c r="H20" s="4"/>
      <c r="I20" s="4"/>
      <c r="J20" s="4"/>
      <c r="K20" s="4"/>
      <c r="L20" s="4"/>
      <c r="M20" s="4"/>
      <c r="AB20" s="4"/>
      <c r="AC20" s="4"/>
      <c r="AD20" s="4"/>
      <c r="AE20" s="4"/>
      <c r="AF20" s="4"/>
      <c r="AG20" s="4"/>
      <c r="AH20" s="4"/>
      <c r="AI20" s="4"/>
      <c r="AJ20" s="4"/>
      <c r="AK20" s="4"/>
      <c r="AL20" s="4"/>
      <c r="AN20" s="1"/>
    </row>
    <row r="21" spans="1:41">
      <c r="A21" s="7"/>
      <c r="B21" s="13"/>
      <c r="C21" s="5"/>
      <c r="D21" s="4"/>
      <c r="E21" s="4"/>
      <c r="F21" s="4"/>
      <c r="G21" s="4"/>
      <c r="H21" s="4"/>
      <c r="I21" s="4"/>
      <c r="J21" s="4"/>
      <c r="K21" s="4"/>
      <c r="L21" s="4"/>
      <c r="M21" s="4"/>
      <c r="AB21" s="4"/>
      <c r="AC21" s="4"/>
      <c r="AD21" s="4"/>
      <c r="AE21" s="4"/>
      <c r="AF21" s="4"/>
      <c r="AG21" s="4"/>
      <c r="AH21" s="4"/>
      <c r="AI21" s="4"/>
      <c r="AJ21" s="4"/>
      <c r="AK21" s="4"/>
      <c r="AL21" s="4"/>
      <c r="AM21" s="16"/>
      <c r="AN21" s="1"/>
    </row>
    <row r="22" spans="1:41" ht="15.6">
      <c r="A22" s="7"/>
      <c r="B22" s="3"/>
      <c r="C22" s="4"/>
      <c r="D22" s="17"/>
      <c r="E22" s="508" t="s">
        <v>12</v>
      </c>
      <c r="F22" s="508"/>
      <c r="G22" s="508"/>
      <c r="H22" s="508"/>
      <c r="I22" s="508"/>
      <c r="J22" s="508"/>
      <c r="K22" s="508"/>
      <c r="L22" s="508"/>
      <c r="M22" s="508"/>
      <c r="O22" s="508" t="s">
        <v>13</v>
      </c>
      <c r="P22" s="508"/>
      <c r="Q22" s="508"/>
      <c r="R22" s="508"/>
      <c r="S22" s="508"/>
      <c r="T22" s="508"/>
      <c r="U22" s="508"/>
      <c r="V22" s="508"/>
      <c r="W22" s="508"/>
      <c r="X22" s="508"/>
      <c r="Y22" s="508"/>
      <c r="Z22" s="508"/>
      <c r="AB22" s="508" t="s">
        <v>14</v>
      </c>
      <c r="AC22" s="508"/>
      <c r="AD22" s="508"/>
      <c r="AE22" s="508"/>
      <c r="AF22" s="508"/>
      <c r="AG22" s="508"/>
      <c r="AH22" s="508"/>
      <c r="AI22" s="508"/>
      <c r="AJ22" s="508"/>
      <c r="AK22" s="508"/>
      <c r="AL22" s="508"/>
      <c r="AM22" s="508"/>
      <c r="AN22" s="1"/>
    </row>
    <row r="23" spans="1:41" ht="75" customHeight="1">
      <c r="A23" s="18" t="s">
        <v>15</v>
      </c>
      <c r="B23" s="3"/>
      <c r="C23" s="4"/>
      <c r="D23" s="272" t="s">
        <v>312</v>
      </c>
      <c r="E23" s="19" t="str">
        <f>PAC!E23</f>
        <v>sun</v>
      </c>
      <c r="F23" s="19" t="str">
        <f>PAC!F23</f>
        <v>moon</v>
      </c>
      <c r="G23" s="19" t="str">
        <f>PAC!G23</f>
        <v>mercury</v>
      </c>
      <c r="H23" s="19" t="str">
        <f>PAC!H23</f>
        <v>venus</v>
      </c>
      <c r="I23" s="19" t="str">
        <f>PAC!I23</f>
        <v>mars</v>
      </c>
      <c r="J23" s="19" t="str">
        <f>PAC!J23</f>
        <v>jupiter</v>
      </c>
      <c r="K23" s="19" t="str">
        <f>PAC!K23</f>
        <v>saturn</v>
      </c>
      <c r="L23" s="19" t="str">
        <f>PAC!L23</f>
        <v>rahu</v>
      </c>
      <c r="M23" s="19" t="str">
        <f>PAC!M23</f>
        <v>ketu</v>
      </c>
      <c r="O23" s="19" t="str">
        <f>PAC!O23</f>
        <v>first lord</v>
      </c>
      <c r="P23" s="19" t="str">
        <f>PAC!P23</f>
        <v>second lord</v>
      </c>
      <c r="Q23" s="19" t="str">
        <f>PAC!Q23</f>
        <v>third lord</v>
      </c>
      <c r="R23" s="19" t="str">
        <f>PAC!R23</f>
        <v>fourth lord</v>
      </c>
      <c r="S23" s="19" t="str">
        <f>PAC!S23</f>
        <v>fifth lord</v>
      </c>
      <c r="T23" s="19" t="str">
        <f>PAC!T23</f>
        <v>sixth lord</v>
      </c>
      <c r="U23" s="19" t="str">
        <f>PAC!U23</f>
        <v>seventh lord</v>
      </c>
      <c r="V23" s="19" t="str">
        <f>PAC!V23</f>
        <v>eighth lord</v>
      </c>
      <c r="W23" s="19" t="str">
        <f>PAC!W23</f>
        <v>ninth lord</v>
      </c>
      <c r="X23" s="19" t="str">
        <f>PAC!X23</f>
        <v>tenth lord</v>
      </c>
      <c r="Y23" s="19" t="str">
        <f>PAC!Y23</f>
        <v>eleventh lord</v>
      </c>
      <c r="Z23" s="19" t="str">
        <f>PAC!Z23</f>
        <v>twelveth lord</v>
      </c>
      <c r="AB23" s="19" t="str">
        <f>PAC!AB23</f>
        <v>first bhava</v>
      </c>
      <c r="AC23" s="19" t="str">
        <f>PAC!AC23</f>
        <v>second bhava</v>
      </c>
      <c r="AD23" s="19" t="str">
        <f>PAC!AD23</f>
        <v>third bhava</v>
      </c>
      <c r="AE23" s="19" t="str">
        <f>PAC!AE23</f>
        <v>fourth bhava</v>
      </c>
      <c r="AF23" s="19" t="str">
        <f>PAC!AF23</f>
        <v>fifth bhava</v>
      </c>
      <c r="AG23" s="19" t="str">
        <f>PAC!AG23</f>
        <v>sixth bhava</v>
      </c>
      <c r="AH23" s="19" t="str">
        <f>PAC!AH23</f>
        <v>seventh bhava</v>
      </c>
      <c r="AI23" s="19" t="str">
        <f>PAC!AI23</f>
        <v>eighth bhava</v>
      </c>
      <c r="AJ23" s="19" t="str">
        <f>PAC!AJ23</f>
        <v>ninth bhava</v>
      </c>
      <c r="AK23" s="19" t="str">
        <f>PAC!AK23</f>
        <v>tenth bhava</v>
      </c>
      <c r="AL23" s="19" t="str">
        <f>PAC!AL23</f>
        <v>eleventh bhava</v>
      </c>
      <c r="AM23" s="19" t="str">
        <f>PAC!AM23</f>
        <v>twelveth bhava</v>
      </c>
      <c r="AN23" s="1"/>
    </row>
    <row r="24" spans="1:41" ht="15.6">
      <c r="A24" s="21" t="s">
        <v>50</v>
      </c>
      <c r="B24" s="22" t="s">
        <v>51</v>
      </c>
      <c r="C24" s="23"/>
      <c r="D24" s="273" t="s">
        <v>341</v>
      </c>
      <c r="E24" s="23" t="str">
        <f>PAC!E24</f>
        <v>X11</v>
      </c>
      <c r="F24" s="23" t="str">
        <f>PAC!F24</f>
        <v>X12</v>
      </c>
      <c r="G24" s="23" t="str">
        <f>PAC!G24</f>
        <v>X13</v>
      </c>
      <c r="H24" s="23" t="str">
        <f>PAC!H24</f>
        <v>X14</v>
      </c>
      <c r="I24" s="23" t="str">
        <f>PAC!I24</f>
        <v>X15</v>
      </c>
      <c r="J24" s="23" t="str">
        <f>PAC!J24</f>
        <v>X16</v>
      </c>
      <c r="K24" s="23" t="str">
        <f>PAC!K24</f>
        <v>X17</v>
      </c>
      <c r="L24" s="23" t="str">
        <f>PAC!L24</f>
        <v>X18</v>
      </c>
      <c r="M24" s="23" t="str">
        <f>PAC!M24</f>
        <v>X19</v>
      </c>
      <c r="N24" s="24"/>
      <c r="O24" s="23" t="str">
        <f>PAC!O24</f>
        <v>X21</v>
      </c>
      <c r="P24" s="23" t="str">
        <f>PAC!P24</f>
        <v>X22</v>
      </c>
      <c r="Q24" s="23" t="str">
        <f>PAC!Q24</f>
        <v>X23</v>
      </c>
      <c r="R24" s="23" t="str">
        <f>PAC!R24</f>
        <v>X24</v>
      </c>
      <c r="S24" s="23" t="str">
        <f>PAC!S24</f>
        <v>X25</v>
      </c>
      <c r="T24" s="23" t="str">
        <f>PAC!T24</f>
        <v>X26</v>
      </c>
      <c r="U24" s="23" t="str">
        <f>PAC!U24</f>
        <v>X27</v>
      </c>
      <c r="V24" s="23" t="str">
        <f>PAC!V24</f>
        <v>X28</v>
      </c>
      <c r="W24" s="23" t="str">
        <f>PAC!W24</f>
        <v>X29</v>
      </c>
      <c r="X24" s="23" t="str">
        <f>PAC!X24</f>
        <v>X30</v>
      </c>
      <c r="Y24" s="23" t="str">
        <f>PAC!Y24</f>
        <v>X31</v>
      </c>
      <c r="Z24" s="23" t="str">
        <f>PAC!Z24</f>
        <v>X32</v>
      </c>
      <c r="AA24" s="24"/>
      <c r="AB24" s="23" t="str">
        <f>PAC!AB24</f>
        <v>X41</v>
      </c>
      <c r="AC24" s="23" t="str">
        <f>PAC!AC24</f>
        <v>X42</v>
      </c>
      <c r="AD24" s="23" t="str">
        <f>PAC!AD24</f>
        <v>X43</v>
      </c>
      <c r="AE24" s="23" t="str">
        <f>PAC!AE24</f>
        <v>X44</v>
      </c>
      <c r="AF24" s="23" t="str">
        <f>PAC!AF24</f>
        <v>X43</v>
      </c>
      <c r="AG24" s="23" t="str">
        <f>PAC!AG24</f>
        <v>X46</v>
      </c>
      <c r="AH24" s="23" t="str">
        <f>PAC!AH24</f>
        <v>X47</v>
      </c>
      <c r="AI24" s="23" t="str">
        <f>PAC!AI24</f>
        <v>X48</v>
      </c>
      <c r="AJ24" s="23" t="str">
        <f>PAC!AJ24</f>
        <v>X49</v>
      </c>
      <c r="AK24" s="23" t="str">
        <f>PAC!AK24</f>
        <v>X50</v>
      </c>
      <c r="AL24" s="23" t="str">
        <f>PAC!AL24</f>
        <v>X51</v>
      </c>
      <c r="AM24" s="23" t="str">
        <f>PAC!AM24</f>
        <v>X52</v>
      </c>
      <c r="AN24" s="1"/>
    </row>
    <row r="25" spans="1:41" ht="16.2" thickBot="1">
      <c r="A25" s="25"/>
      <c r="B25" s="26" t="s">
        <v>85</v>
      </c>
      <c r="C25" s="27"/>
      <c r="D25" s="28"/>
      <c r="E25" s="29"/>
      <c r="F25" s="29"/>
      <c r="G25" s="29"/>
      <c r="H25" s="29"/>
      <c r="I25" s="29"/>
      <c r="J25" s="29"/>
      <c r="K25" s="29"/>
      <c r="L25" s="29"/>
      <c r="M25" s="29"/>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1"/>
    </row>
    <row r="26" spans="1:41">
      <c r="A26" s="25" t="str">
        <f>PAC!A26</f>
        <v>Y00</v>
      </c>
      <c r="B26" s="5" t="str">
        <f>PAC!B26</f>
        <v>Rashi where Resident</v>
      </c>
      <c r="C26" s="3"/>
      <c r="D26" s="32">
        <f>IF(AND(D27&gt;=0,D27&lt;30),1,IF(AND(D27&gt;=30,D27&lt;60),2,IF(AND(D27&gt;=60,D27&lt;90),3,IF(AND(D27&gt;=90,D27&lt;120),4,IF(AND(D27&gt;=120,D27&lt;150),5,IF(AND(D27&gt;=150,D27&lt;180),6,0))))))+IF(AND(D27&gt;=180,D27&lt;210),7,IF(AND(D27&gt;=210,D27&lt;240),8,IF(AND(D27&gt;=240,D27&lt;270),9,IF(AND(D27&gt;=270,D27&lt;300),10,IF(AND(D27&gt;=300,D27&lt;330),11,IF(AND(D27&gt;=330,D27&lt;360),12,0))))))</f>
        <v>8</v>
      </c>
      <c r="E26" s="32">
        <f t="shared" ref="E26:M26" si="1">IF(AND(E27&gt;=0,E27&lt;30),1,IF(AND(E27&gt;=30,E27&lt;60),2,IF(AND(E27&gt;=60,E27&lt;90),3,IF(AND(E27&gt;=90,E27&lt;120),4,IF(AND(E27&gt;=120,E27&lt;150),5,IF(AND(E27&gt;=150,E27&lt;180),6,0))))))+IF(AND(E27&gt;=180,E27&lt;210),7,IF(AND(E27&gt;=210,E27&lt;240),8,IF(AND(E27&gt;=240,E27&lt;270),9,IF(AND(E27&gt;=270,E27&lt;300),10,IF(AND(E27&gt;=300,E27&lt;330),11,IF(AND(E27&gt;=330,E27&lt;360),12,0))))))</f>
        <v>2</v>
      </c>
      <c r="F26" s="32">
        <f t="shared" si="1"/>
        <v>4</v>
      </c>
      <c r="G26" s="32">
        <f t="shared" si="1"/>
        <v>1</v>
      </c>
      <c r="H26" s="32">
        <f t="shared" si="1"/>
        <v>3</v>
      </c>
      <c r="I26" s="32">
        <f t="shared" si="1"/>
        <v>10</v>
      </c>
      <c r="J26" s="32">
        <f t="shared" si="1"/>
        <v>7</v>
      </c>
      <c r="K26" s="32">
        <f t="shared" si="1"/>
        <v>9</v>
      </c>
      <c r="L26" s="32">
        <f t="shared" si="1"/>
        <v>4</v>
      </c>
      <c r="M26" s="32">
        <f t="shared" si="1"/>
        <v>10</v>
      </c>
      <c r="N26" s="33"/>
      <c r="O26" s="34">
        <f ca="1">IF(ISBLANK(OFFSET(O26,0,-11+O$34))," ",OFFSET(O26,0,-11+O$34))</f>
        <v>10</v>
      </c>
      <c r="P26" s="34">
        <f ca="1">IF(ISBLANK(OFFSET(P26,0,-12+P$34))," ",OFFSET(P26,0,-12+P$34))</f>
        <v>7</v>
      </c>
      <c r="Q26" s="34">
        <f ca="1">IF(ISBLANK(OFFSET(Q26,0,-13+Q$34))," ",OFFSET(Q26,0,-13+Q$34))</f>
        <v>9</v>
      </c>
      <c r="R26" s="34">
        <f ca="1">IF(ISBLANK(OFFSET(R26,0,-14+R$34))," ",OFFSET(R26,0,-14+R$34))</f>
        <v>9</v>
      </c>
      <c r="S26" s="34">
        <f ca="1">IF(ISBLANK(OFFSET(S26,0,-15+S$34))," ",OFFSET(S26,0,-15+S$34))</f>
        <v>7</v>
      </c>
      <c r="T26" s="34">
        <f ca="1">IF(ISBLANK(OFFSET(T26,0,-16+T$34))," ",OFFSET(T26,0,-16+T$34))</f>
        <v>10</v>
      </c>
      <c r="U26" s="34">
        <f ca="1">IF(ISBLANK(OFFSET(U26,0,-17+U$34))," ",OFFSET(U26,0,-17+U$34))</f>
        <v>3</v>
      </c>
      <c r="V26" s="34">
        <f ca="1">IF(ISBLANK(OFFSET(V26,0,-18+V$34))," ",OFFSET(V26,0,-18+V$34))</f>
        <v>1</v>
      </c>
      <c r="W26" s="34">
        <f ca="1">IF(ISBLANK(OFFSET(W26,0,-19+W$34))," ",OFFSET(W26,0,-19+W$34))</f>
        <v>4</v>
      </c>
      <c r="X26" s="34">
        <f ca="1">IF(ISBLANK(OFFSET(X26,0,-20+X$34))," ",OFFSET(X26,0,-20+X$34))</f>
        <v>2</v>
      </c>
      <c r="Y26" s="34">
        <f ca="1">IF(ISBLANK(OFFSET(Y26,0,-21+Y$34))," ",OFFSET(Y26,0,-21+Y$34))</f>
        <v>1</v>
      </c>
      <c r="Z26" s="34">
        <f ca="1">IF(ISBLANK(OFFSET(Z26,0,-22+Z$34))," ",OFFSET(Z26,0,-22+Z$34))</f>
        <v>3</v>
      </c>
      <c r="AA26" s="35"/>
      <c r="AB26" s="36">
        <f>D26</f>
        <v>8</v>
      </c>
      <c r="AC26" s="36">
        <f>IF((MOD(AB26+1,12)&gt;0),MOD(AB26+1,12),12)</f>
        <v>9</v>
      </c>
      <c r="AD26" s="36">
        <f>IF((MOD(AC26+1,12)&gt;0),MOD(AC26+1,12),12)</f>
        <v>10</v>
      </c>
      <c r="AE26" s="36">
        <f t="shared" ref="AE26:AM26" si="2">IF((MOD(AD26+1,12)&gt;0),MOD(AD26+1,12),12)</f>
        <v>11</v>
      </c>
      <c r="AF26" s="36">
        <f t="shared" si="2"/>
        <v>12</v>
      </c>
      <c r="AG26" s="36">
        <f t="shared" si="2"/>
        <v>1</v>
      </c>
      <c r="AH26" s="36">
        <f t="shared" si="2"/>
        <v>2</v>
      </c>
      <c r="AI26" s="36">
        <f t="shared" si="2"/>
        <v>3</v>
      </c>
      <c r="AJ26" s="36">
        <f t="shared" si="2"/>
        <v>4</v>
      </c>
      <c r="AK26" s="36">
        <f t="shared" si="2"/>
        <v>5</v>
      </c>
      <c r="AL26" s="36">
        <f t="shared" si="2"/>
        <v>6</v>
      </c>
      <c r="AM26" s="36">
        <f t="shared" si="2"/>
        <v>7</v>
      </c>
      <c r="AN26" s="3"/>
    </row>
    <row r="27" spans="1:41">
      <c r="A27" s="25" t="str">
        <f>PAC!A27</f>
        <v>Y01</v>
      </c>
      <c r="B27" s="37" t="str">
        <f>PAC!B27</f>
        <v xml:space="preserve">Longitude </v>
      </c>
      <c r="C27" s="1"/>
      <c r="D27" s="38">
        <f>PAC!F27</f>
        <v>217.97</v>
      </c>
      <c r="E27" s="38">
        <f>Ephemeris!D43</f>
        <v>35.33</v>
      </c>
      <c r="F27" s="38">
        <f>Ephemeris!E43</f>
        <v>103.56</v>
      </c>
      <c r="G27" s="38">
        <f>Ephemeris!F43</f>
        <v>17.46</v>
      </c>
      <c r="H27" s="38">
        <f>Ephemeris!G43</f>
        <v>67.040000000000006</v>
      </c>
      <c r="I27" s="38">
        <f>Ephemeris!H43</f>
        <v>277.52999999999997</v>
      </c>
      <c r="J27" s="38">
        <f>Ephemeris!I43</f>
        <v>202.81</v>
      </c>
      <c r="K27" s="38">
        <f>Ephemeris!J43</f>
        <v>254.23</v>
      </c>
      <c r="L27" s="38">
        <f>Ephemeris!K43</f>
        <v>104.3</v>
      </c>
      <c r="M27" s="38">
        <f>Ephemeris!L43</f>
        <v>284.3</v>
      </c>
      <c r="N27" s="39"/>
      <c r="O27" s="40">
        <f ca="1">IF(ISBLANK(OFFSET(O27,0,-11+O$34))," ",OFFSET(O27,0,-11+O$34))</f>
        <v>277.52999999999997</v>
      </c>
      <c r="P27" s="40">
        <f ca="1">IF(ISBLANK(OFFSET(P27,0,-12+P$34))," ",OFFSET(P27,0,-12+P$34))</f>
        <v>202.81</v>
      </c>
      <c r="Q27" s="40">
        <f ca="1">IF(ISBLANK(OFFSET(Q27,0,-13+Q$34))," ",OFFSET(Q27,0,-13+Q$34))</f>
        <v>254.23</v>
      </c>
      <c r="R27" s="40">
        <f ca="1">IF(ISBLANK(OFFSET(R27,0,-14+R$34))," ",OFFSET(R27,0,-14+R$34))</f>
        <v>254.23</v>
      </c>
      <c r="S27" s="40">
        <f ca="1">IF(ISBLANK(OFFSET(S27,0,-15+S$34))," ",OFFSET(S27,0,-15+S$34))</f>
        <v>202.81</v>
      </c>
      <c r="T27" s="40">
        <f ca="1">IF(ISBLANK(OFFSET(T27,0,-16+T$34))," ",OFFSET(T27,0,-16+T$34))</f>
        <v>277.52999999999997</v>
      </c>
      <c r="U27" s="40">
        <f ca="1">IF(ISBLANK(OFFSET(U27,0,-17+U$34))," ",OFFSET(U27,0,-17+U$34))</f>
        <v>67.040000000000006</v>
      </c>
      <c r="V27" s="40">
        <f ca="1">IF(ISBLANK(OFFSET(V27,0,-18+V$34))," ",OFFSET(V27,0,-18+V$34))</f>
        <v>17.46</v>
      </c>
      <c r="W27" s="40">
        <f ca="1">IF(ISBLANK(OFFSET(W27,0,-19+W$34))," ",OFFSET(W27,0,-19+W$34))</f>
        <v>103.56</v>
      </c>
      <c r="X27" s="40">
        <f ca="1">IF(ISBLANK(OFFSET(X27,0,-20+X$34))," ",OFFSET(X27,0,-20+X$34))</f>
        <v>35.33</v>
      </c>
      <c r="Y27" s="40">
        <f ca="1">IF(ISBLANK(OFFSET(Y27,0,-21+Y$34))," ",OFFSET(Y27,0,-21+Y$34))</f>
        <v>17.46</v>
      </c>
      <c r="Z27" s="40">
        <f ca="1">IF(ISBLANK(OFFSET(Z27,0,-22+Z$34))," ",OFFSET(Z27,0,-22+Z$34))</f>
        <v>67.040000000000006</v>
      </c>
      <c r="AA27" s="39"/>
      <c r="AB27" s="39"/>
      <c r="AC27" s="39"/>
      <c r="AD27" s="39"/>
      <c r="AE27" s="39"/>
      <c r="AF27" s="39"/>
      <c r="AG27" s="39"/>
      <c r="AH27" s="39"/>
      <c r="AI27" s="39"/>
      <c r="AJ27" s="39"/>
      <c r="AK27" s="39"/>
      <c r="AL27" s="39"/>
      <c r="AM27" s="39"/>
      <c r="AN27" s="41"/>
    </row>
    <row r="28" spans="1:41">
      <c r="A28" s="25" t="str">
        <f>PAC!A28</f>
        <v>Y02</v>
      </c>
      <c r="B28" s="37" t="str">
        <f>PAC!B28</f>
        <v>Nakshatra Number</v>
      </c>
      <c r="C28" s="1"/>
      <c r="D28" s="42">
        <f t="shared" ref="D28:M28" si="3">IF(D$27&lt;13.33,1,IF(D$27&lt;26.67,2,IF(D$27&lt;40,3,IF(D$27&lt;53.33,4,IF(D$27&lt;66.67,5,IF(D$27&lt;80,6,IF(D$27&lt;93.33,7,0)))))))+IF(D$27&gt;93.33,IF(D$27&lt;106.67,8,IF(D$27&lt;120,9,IF(D$27&lt;133.33,10,IF(D$27&lt;146.67,11,IF(D$27&lt;160,12,IF(D$27&lt;173.33,13,IF(D$27&lt;186.67,14,0))))))),0)+IF(D$27&gt;=186.67,IF(D$27&lt;200,15,IF(D$27&lt;213.33,16,IF(D$27&lt;226.67,17,IF(D$27&lt;240,18,IF(D$27&lt;253.33,19,IF(D$27&lt;266.67,20,IF(D$27&lt;280,21,0))))))),0)+IF(D$27&gt;=266.67,IF(D$27&lt;293.33,22,IF(D$27&lt;306.67,23,IF(D$27&lt;320,24,IF(D$27&lt;333.33,25,IF(D$27&lt;346.67,26,IF(D$27&lt;360,27,"E")))))),0)</f>
        <v>17</v>
      </c>
      <c r="E28" s="42">
        <f t="shared" si="3"/>
        <v>3</v>
      </c>
      <c r="F28" s="42">
        <f t="shared" si="3"/>
        <v>8</v>
      </c>
      <c r="G28" s="42">
        <f t="shared" si="3"/>
        <v>2</v>
      </c>
      <c r="H28" s="42">
        <f t="shared" si="3"/>
        <v>6</v>
      </c>
      <c r="I28" s="42">
        <f t="shared" si="3"/>
        <v>43</v>
      </c>
      <c r="J28" s="42">
        <f t="shared" si="3"/>
        <v>16</v>
      </c>
      <c r="K28" s="42">
        <f t="shared" si="3"/>
        <v>20</v>
      </c>
      <c r="L28" s="42">
        <f t="shared" si="3"/>
        <v>8</v>
      </c>
      <c r="M28" s="42">
        <f t="shared" si="3"/>
        <v>22</v>
      </c>
      <c r="N28" s="39"/>
      <c r="O28" s="43">
        <f ca="1">IF(ISBLANK(OFFSET(O28,0,-11+O$34))," ",OFFSET(O28,0,-11+O$34))</f>
        <v>43</v>
      </c>
      <c r="P28" s="43">
        <f ca="1">IF(ISBLANK(OFFSET(P28,0,-12+P$34))," ",OFFSET(P28,0,-12+P$34))</f>
        <v>16</v>
      </c>
      <c r="Q28" s="43">
        <f ca="1">IF(ISBLANK(OFFSET(Q28,0,-13+Q$34))," ",OFFSET(Q28,0,-13+Q$34))</f>
        <v>20</v>
      </c>
      <c r="R28" s="43">
        <f ca="1">IF(ISBLANK(OFFSET(R28,0,-14+R$34))," ",OFFSET(R28,0,-14+R$34))</f>
        <v>20</v>
      </c>
      <c r="S28" s="43">
        <f ca="1">IF(ISBLANK(OFFSET(S28,0,-15+S$34))," ",OFFSET(S28,0,-15+S$34))</f>
        <v>16</v>
      </c>
      <c r="T28" s="43">
        <f ca="1">IF(ISBLANK(OFFSET(T28,0,-16+T$34))," ",OFFSET(T28,0,-16+T$34))</f>
        <v>43</v>
      </c>
      <c r="U28" s="43">
        <f ca="1">IF(ISBLANK(OFFSET(U28,0,-17+U$34))," ",OFFSET(U28,0,-17+U$34))</f>
        <v>6</v>
      </c>
      <c r="V28" s="43">
        <f ca="1">IF(ISBLANK(OFFSET(V28,0,-18+V$34))," ",OFFSET(V28,0,-18+V$34))</f>
        <v>2</v>
      </c>
      <c r="W28" s="43">
        <f ca="1">IF(ISBLANK(OFFSET(W28,0,-19+W$34))," ",OFFSET(W28,0,-19+W$34))</f>
        <v>8</v>
      </c>
      <c r="X28" s="43">
        <f ca="1">IF(ISBLANK(OFFSET(X28,0,-20+X$34))," ",OFFSET(X28,0,-20+X$34))</f>
        <v>3</v>
      </c>
      <c r="Y28" s="43">
        <f ca="1">IF(ISBLANK(OFFSET(Y28,0,-21+Y$34))," ",OFFSET(Y28,0,-21+Y$34))</f>
        <v>2</v>
      </c>
      <c r="Z28" s="43">
        <f ca="1">IF(ISBLANK(OFFSET(Z28,0,-22+Z$34))," ",OFFSET(Z28,0,-22+Z$34))</f>
        <v>6</v>
      </c>
      <c r="AA28" s="39"/>
      <c r="AB28" s="39"/>
      <c r="AC28" s="39"/>
      <c r="AD28" s="39"/>
      <c r="AE28" s="39"/>
      <c r="AF28" s="39"/>
      <c r="AG28" s="39"/>
      <c r="AH28" s="39"/>
      <c r="AI28" s="39"/>
      <c r="AJ28" s="39"/>
      <c r="AK28" s="39"/>
      <c r="AL28" s="39"/>
      <c r="AM28" s="39"/>
      <c r="AN28" s="3"/>
    </row>
    <row r="29" spans="1:41">
      <c r="A29" s="25"/>
      <c r="B29" s="5"/>
      <c r="C29" s="6" t="str">
        <f>PAC!C29</f>
        <v>Rashi check</v>
      </c>
      <c r="D29" s="44" t="str">
        <f>CONCATENATE(IF(D26=1,"Ari",""),IF(D26=2,"Tau",""),IF(D26=3,"Gem",""),IF(D26=4,"Can",""),IF(D26=5,"Leo",""),IF(D26=6,"Vir",""),IF(D26=7,"Lib",""),IF(D26=8,"Sco",""),IF(D26=9,"Sag",""),IF(D26=10,"Cap",""),IF(D26=11,"Acq",""),IF(D26=12,"Pis",""))</f>
        <v>Sco</v>
      </c>
      <c r="E29" s="44" t="str">
        <f t="shared" ref="E29:M29" si="4">CONCATENATE(IF(E26=1,"Ari",""),IF(E26=2,"Tau",""),IF(E26=3,"Gem",""),IF(E26=4,"Can",""),IF(E26=5,"Leo",""),IF(E26=6,"Vir",""),IF(E26=7,"Lib",""),IF(E26=8,"Sco",""),IF(E26=9,"Sag",""),IF(E26=10,"Cap",""),IF(E26=11,"Acq",""),IF(E26=12,"Pis",""))</f>
        <v>Tau</v>
      </c>
      <c r="F29" s="44" t="str">
        <f t="shared" si="4"/>
        <v>Can</v>
      </c>
      <c r="G29" s="44" t="str">
        <f t="shared" si="4"/>
        <v>Ari</v>
      </c>
      <c r="H29" s="44" t="str">
        <f t="shared" si="4"/>
        <v>Gem</v>
      </c>
      <c r="I29" s="44" t="str">
        <f t="shared" si="4"/>
        <v>Cap</v>
      </c>
      <c r="J29" s="44" t="str">
        <f t="shared" si="4"/>
        <v>Lib</v>
      </c>
      <c r="K29" s="44" t="str">
        <f t="shared" si="4"/>
        <v>Sag</v>
      </c>
      <c r="L29" s="44" t="str">
        <f t="shared" si="4"/>
        <v>Can</v>
      </c>
      <c r="M29" s="44" t="str">
        <f t="shared" si="4"/>
        <v>Cap</v>
      </c>
      <c r="N29" s="39"/>
      <c r="O29" s="43" t="str">
        <f ca="1">IF(ISBLANK(OFFSET(O29,0,-11+O$34))," ",OFFSET(O29,0,-11+O$34))</f>
        <v>Cap</v>
      </c>
      <c r="P29" s="43" t="str">
        <f ca="1">IF(ISBLANK(OFFSET(P29,0,-12+P$34))," ",OFFSET(P29,0,-12+P$34))</f>
        <v>Lib</v>
      </c>
      <c r="Q29" s="43" t="str">
        <f ca="1">IF(ISBLANK(OFFSET(Q29,0,-13+Q$34))," ",OFFSET(Q29,0,-13+Q$34))</f>
        <v>Sag</v>
      </c>
      <c r="R29" s="43" t="str">
        <f ca="1">IF(ISBLANK(OFFSET(R29,0,-14+R$34))," ",OFFSET(R29,0,-14+R$34))</f>
        <v>Sag</v>
      </c>
      <c r="S29" s="43" t="str">
        <f ca="1">IF(ISBLANK(OFFSET(S29,0,-15+S$34))," ",OFFSET(S29,0,-15+S$34))</f>
        <v>Lib</v>
      </c>
      <c r="T29" s="43" t="str">
        <f ca="1">IF(ISBLANK(OFFSET(T29,0,-16+T$34))," ",OFFSET(T29,0,-16+T$34))</f>
        <v>Cap</v>
      </c>
      <c r="U29" s="43" t="str">
        <f ca="1">IF(ISBLANK(OFFSET(U29,0,-17+U$34))," ",OFFSET(U29,0,-17+U$34))</f>
        <v>Gem</v>
      </c>
      <c r="V29" s="43" t="str">
        <f ca="1">IF(ISBLANK(OFFSET(V29,0,-18+V$34))," ",OFFSET(V29,0,-18+V$34))</f>
        <v>Ari</v>
      </c>
      <c r="W29" s="43" t="str">
        <f ca="1">IF(ISBLANK(OFFSET(W29,0,-19+W$34))," ",OFFSET(W29,0,-19+W$34))</f>
        <v>Can</v>
      </c>
      <c r="X29" s="43" t="str">
        <f ca="1">IF(ISBLANK(OFFSET(X29,0,-20+X$34))," ",OFFSET(X29,0,-20+X$34))</f>
        <v>Tau</v>
      </c>
      <c r="Y29" s="43" t="str">
        <f ca="1">IF(ISBLANK(OFFSET(Y29,0,-21+Y$34))," ",OFFSET(Y29,0,-21+Y$34))</f>
        <v>Ari</v>
      </c>
      <c r="Z29" s="43" t="str">
        <f ca="1">IF(ISBLANK(OFFSET(Z29,0,-22+Z$34))," ",OFFSET(Z29,0,-22+Z$34))</f>
        <v>Gem</v>
      </c>
      <c r="AA29" s="39"/>
      <c r="AB29" s="44" t="str">
        <f>CONCATENATE(IF(AB26=1,"Ari",""),IF(AB26=2,"Tau",""),IF(AB26=3,"Gem",""),IF(AB26=4,"Can",""),IF(AB26=5,"Leo",""),IF(AB26=6,"Vir",""),IF(AB26=7,"Lib",""),IF(AB26=8,"Sco",""),IF(AB26=9,"Sag",""),IF(AB26=10,"Cap",""),IF(AB26=11,"Acq",""),IF(AB26=12,"Pis",""))</f>
        <v>Sco</v>
      </c>
      <c r="AC29" s="44" t="str">
        <f t="shared" ref="AC29:AM29" si="5">CONCATENATE(IF(AC26=1,"Ari",""),IF(AC26=2,"Tau",""),IF(AC26=3,"Gem",""),IF(AC26=4,"Can",""),IF(AC26=5,"Leo",""),IF(AC26=6,"Vir",""),IF(AC26=7,"Lib",""),IF(AC26=8,"Sco",""),IF(AC26=9,"Sag",""),IF(AC26=10,"Cap",""),IF(AC26=11,"Acq",""),IF(AC26=12,"Pis",""))</f>
        <v>Sag</v>
      </c>
      <c r="AD29" s="44" t="str">
        <f t="shared" si="5"/>
        <v>Cap</v>
      </c>
      <c r="AE29" s="44" t="str">
        <f t="shared" si="5"/>
        <v>Acq</v>
      </c>
      <c r="AF29" s="44" t="str">
        <f t="shared" si="5"/>
        <v>Pis</v>
      </c>
      <c r="AG29" s="44" t="str">
        <f t="shared" si="5"/>
        <v>Ari</v>
      </c>
      <c r="AH29" s="44" t="str">
        <f t="shared" si="5"/>
        <v>Tau</v>
      </c>
      <c r="AI29" s="44" t="str">
        <f t="shared" si="5"/>
        <v>Gem</v>
      </c>
      <c r="AJ29" s="44" t="str">
        <f t="shared" si="5"/>
        <v>Can</v>
      </c>
      <c r="AK29" s="44" t="str">
        <f t="shared" si="5"/>
        <v>Leo</v>
      </c>
      <c r="AL29" s="44" t="str">
        <f t="shared" si="5"/>
        <v>Vir</v>
      </c>
      <c r="AM29" s="44" t="str">
        <f t="shared" si="5"/>
        <v>Lib</v>
      </c>
      <c r="AN29" s="1"/>
    </row>
    <row r="30" spans="1:41">
      <c r="A30" s="25" t="str">
        <f>PAC!A30</f>
        <v>Y03</v>
      </c>
      <c r="B30" s="5" t="str">
        <f>PAC!B30</f>
        <v>Bhava where resident</v>
      </c>
      <c r="C30" s="3"/>
      <c r="D30" s="45"/>
      <c r="E30" s="42">
        <f t="shared" ref="E30:M30" si="6">IF((E$26 &gt;= $D$26),(E$26-$D$26+1),(E$26-$D$26+1+12))</f>
        <v>7</v>
      </c>
      <c r="F30" s="42">
        <f t="shared" si="6"/>
        <v>9</v>
      </c>
      <c r="G30" s="42">
        <f t="shared" si="6"/>
        <v>6</v>
      </c>
      <c r="H30" s="42">
        <f t="shared" si="6"/>
        <v>8</v>
      </c>
      <c r="I30" s="42">
        <f t="shared" si="6"/>
        <v>3</v>
      </c>
      <c r="J30" s="42">
        <f t="shared" si="6"/>
        <v>12</v>
      </c>
      <c r="K30" s="42">
        <f t="shared" si="6"/>
        <v>2</v>
      </c>
      <c r="L30" s="42">
        <f t="shared" si="6"/>
        <v>9</v>
      </c>
      <c r="M30" s="42">
        <f t="shared" si="6"/>
        <v>3</v>
      </c>
      <c r="N30" s="46"/>
      <c r="O30" s="43">
        <f ca="1">IF(ISBLANK(OFFSET(O30,0,-11+O$34))," ",OFFSET(O30,0,-11+O$34))</f>
        <v>3</v>
      </c>
      <c r="P30" s="43">
        <f ca="1">IF(ISBLANK(OFFSET(P30,0,-12+P$34))," ",OFFSET(P30,0,-12+P$34))</f>
        <v>12</v>
      </c>
      <c r="Q30" s="43">
        <f ca="1">IF(ISBLANK(OFFSET(Q30,0,-13+Q$34))," ",OFFSET(Q30,0,-13+Q$34))</f>
        <v>2</v>
      </c>
      <c r="R30" s="43">
        <f ca="1">IF(ISBLANK(OFFSET(R30,0,-14+R$34))," ",OFFSET(R30,0,-14+R$34))</f>
        <v>2</v>
      </c>
      <c r="S30" s="43">
        <f ca="1">IF(ISBLANK(OFFSET(S30,0,-15+S$34))," ",OFFSET(S30,0,-15+S$34))</f>
        <v>12</v>
      </c>
      <c r="T30" s="43">
        <f ca="1">IF(ISBLANK(OFFSET(T30,0,-16+T$34))," ",OFFSET(T30,0,-16+T$34))</f>
        <v>3</v>
      </c>
      <c r="U30" s="43">
        <f ca="1">IF(ISBLANK(OFFSET(U30,0,-17+U$34))," ",OFFSET(U30,0,-17+U$34))</f>
        <v>8</v>
      </c>
      <c r="V30" s="43">
        <f ca="1">IF(ISBLANK(OFFSET(V30,0,-18+V$34))," ",OFFSET(V30,0,-18+V$34))</f>
        <v>6</v>
      </c>
      <c r="W30" s="43">
        <f ca="1">IF(ISBLANK(OFFSET(W30,0,-19+W$34))," ",OFFSET(W30,0,-19+W$34))</f>
        <v>9</v>
      </c>
      <c r="X30" s="43">
        <f ca="1">IF(ISBLANK(OFFSET(X30,0,-20+X$34))," ",OFFSET(X30,0,-20+X$34))</f>
        <v>7</v>
      </c>
      <c r="Y30" s="43">
        <f ca="1">IF(ISBLANK(OFFSET(Y30,0,-21+Y$34))," ",OFFSET(Y30,0,-21+Y$34))</f>
        <v>6</v>
      </c>
      <c r="Z30" s="43">
        <f ca="1">IF(ISBLANK(OFFSET(Z30,0,-22+Z$34))," ",OFFSET(Z30,0,-22+Z$34))</f>
        <v>8</v>
      </c>
      <c r="AA30" s="35"/>
      <c r="AB30" s="35"/>
      <c r="AC30" s="35"/>
      <c r="AD30" s="35"/>
      <c r="AE30" s="35"/>
      <c r="AF30" s="35"/>
      <c r="AG30" s="35"/>
      <c r="AH30" s="35"/>
      <c r="AI30" s="35"/>
      <c r="AJ30" s="35"/>
      <c r="AK30" s="35"/>
      <c r="AL30" s="35"/>
      <c r="AM30" s="35"/>
      <c r="AN30" s="1"/>
    </row>
    <row r="31" spans="1:41">
      <c r="A31" s="25"/>
      <c r="B31" s="5"/>
      <c r="C31" s="1"/>
      <c r="N31" s="39"/>
      <c r="AA31" s="39"/>
      <c r="AB31" s="39"/>
      <c r="AC31" s="39"/>
      <c r="AD31" s="39"/>
      <c r="AE31" s="39"/>
      <c r="AF31" s="39"/>
      <c r="AG31" s="39"/>
      <c r="AH31" s="39"/>
      <c r="AI31" s="39"/>
      <c r="AJ31" s="39"/>
      <c r="AK31" s="39"/>
      <c r="AL31" s="39"/>
      <c r="AM31" s="39"/>
      <c r="AN31" s="1"/>
    </row>
    <row r="32" spans="1:41">
      <c r="A32" s="25" t="str">
        <f>PAC!A32</f>
        <v>Y04</v>
      </c>
      <c r="B32" s="5" t="str">
        <f>PAC!B32</f>
        <v>Bhava where this graha is lord</v>
      </c>
      <c r="C32" s="1"/>
      <c r="D32" s="39"/>
      <c r="E32" s="42">
        <f>MATCH(1,$O$34:$Z$34,0)</f>
        <v>10</v>
      </c>
      <c r="F32" s="42">
        <f>MATCH(2,$O$34:$Z$34,0)</f>
        <v>9</v>
      </c>
      <c r="G32" s="42">
        <f>MATCH(3,$O$34:$Z$34,0)</f>
        <v>8</v>
      </c>
      <c r="H32" s="42">
        <f>MATCH(4,$O$34:$Z$34,0)</f>
        <v>7</v>
      </c>
      <c r="I32" s="42">
        <f>MATCH(5,$O$34:$Z$34,0)</f>
        <v>1</v>
      </c>
      <c r="J32" s="42">
        <f>MATCH(6,$O$34:$Z$34,0)</f>
        <v>2</v>
      </c>
      <c r="K32" s="42">
        <f>MATCH(7,$O$34:$Z$34,0)</f>
        <v>3</v>
      </c>
      <c r="L32" s="35"/>
      <c r="M32" s="35"/>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1"/>
    </row>
    <row r="33" spans="1:40">
      <c r="A33" s="25" t="str">
        <f>PAC!A33</f>
        <v>Y05</v>
      </c>
      <c r="B33" s="5" t="str">
        <f>PAC!B33</f>
        <v>Bhava where this graha is lord</v>
      </c>
      <c r="C33" s="1"/>
      <c r="D33" s="39"/>
      <c r="E33" s="47"/>
      <c r="F33" s="47"/>
      <c r="G33" s="42">
        <f>12-MATCH(3,$O$35:$Z$35,0)+1</f>
        <v>11</v>
      </c>
      <c r="H33" s="42">
        <f>12-MATCH(4,$O$35:$Z$35,0)+1</f>
        <v>12</v>
      </c>
      <c r="I33" s="42">
        <f>12-MATCH(5,$O$35:$Z$35,0)+1</f>
        <v>6</v>
      </c>
      <c r="J33" s="42">
        <f>12-MATCH(6,$O$35:$Z$35,0)+1</f>
        <v>5</v>
      </c>
      <c r="K33" s="42">
        <f>12-MATCH(7,$O$35:$Z$35,0)+1</f>
        <v>4</v>
      </c>
      <c r="L33" s="35"/>
      <c r="M33" s="35"/>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1"/>
    </row>
    <row r="34" spans="1:40">
      <c r="A34" s="25" t="str">
        <f>PAC!A34</f>
        <v>Y06</v>
      </c>
      <c r="B34" s="5" t="str">
        <f>PAC!B34</f>
        <v>Graha corresponding to this Lord</v>
      </c>
      <c r="C34" s="1"/>
      <c r="D34" s="39"/>
      <c r="E34" s="39"/>
      <c r="F34" s="39"/>
      <c r="G34" s="39"/>
      <c r="H34" s="39"/>
      <c r="I34" s="39"/>
      <c r="J34" s="39"/>
      <c r="K34" s="39"/>
      <c r="L34" s="39"/>
      <c r="M34" s="39"/>
      <c r="N34" s="39"/>
      <c r="O34" s="42">
        <f t="shared" ref="O34:Z34" si="7">IF(AB$26=5,1,IF(AB$26=4,2,IF(OR((AB$26=3),(AB$26=6)),3,IF(OR((AB$26=2),(AB$26=7)),4,IF(OR((AB$26=1),(AB$26=8)),5,IF(OR((AB$26=12),(AB$26=9)),6,IF(OR((AB$26=11),(AB$26=10)),7,"E")))))))</f>
        <v>5</v>
      </c>
      <c r="P34" s="42">
        <f t="shared" si="7"/>
        <v>6</v>
      </c>
      <c r="Q34" s="42">
        <f t="shared" si="7"/>
        <v>7</v>
      </c>
      <c r="R34" s="42">
        <f t="shared" si="7"/>
        <v>7</v>
      </c>
      <c r="S34" s="42">
        <f t="shared" si="7"/>
        <v>6</v>
      </c>
      <c r="T34" s="42">
        <f t="shared" si="7"/>
        <v>5</v>
      </c>
      <c r="U34" s="42">
        <f t="shared" si="7"/>
        <v>4</v>
      </c>
      <c r="V34" s="42">
        <f t="shared" si="7"/>
        <v>3</v>
      </c>
      <c r="W34" s="42">
        <f t="shared" si="7"/>
        <v>2</v>
      </c>
      <c r="X34" s="42">
        <f t="shared" si="7"/>
        <v>1</v>
      </c>
      <c r="Y34" s="42">
        <f t="shared" si="7"/>
        <v>3</v>
      </c>
      <c r="Z34" s="42">
        <f t="shared" si="7"/>
        <v>4</v>
      </c>
      <c r="AA34" s="39"/>
      <c r="AB34" s="39"/>
      <c r="AC34" s="39"/>
      <c r="AD34" s="39"/>
      <c r="AE34" s="39"/>
      <c r="AF34" s="39"/>
      <c r="AG34" s="39"/>
      <c r="AH34" s="39"/>
      <c r="AI34" s="39"/>
      <c r="AJ34" s="39"/>
      <c r="AK34" s="39"/>
      <c r="AL34" s="39"/>
      <c r="AM34" s="39"/>
      <c r="AN34" s="1"/>
    </row>
    <row r="35" spans="1:40">
      <c r="A35" s="25" t="str">
        <f>PAC!A35</f>
        <v>Y07</v>
      </c>
      <c r="B35" s="5" t="str">
        <f>PAC!B35</f>
        <v>Number of Graha in Bhava</v>
      </c>
      <c r="O35" s="10">
        <f>Z34</f>
        <v>4</v>
      </c>
      <c r="P35" s="10">
        <f>Y34</f>
        <v>3</v>
      </c>
      <c r="Q35" s="10">
        <f>X34</f>
        <v>1</v>
      </c>
      <c r="R35" s="10">
        <f>W34</f>
        <v>2</v>
      </c>
      <c r="S35" s="10">
        <f>V34</f>
        <v>3</v>
      </c>
      <c r="T35" s="10">
        <f>U34</f>
        <v>4</v>
      </c>
      <c r="U35" s="10">
        <f>T34</f>
        <v>5</v>
      </c>
      <c r="V35" s="10">
        <f>S34</f>
        <v>6</v>
      </c>
      <c r="W35" s="10">
        <f>R34</f>
        <v>7</v>
      </c>
      <c r="X35" s="10">
        <f>Q34</f>
        <v>7</v>
      </c>
      <c r="Y35" s="10">
        <f>P34</f>
        <v>6</v>
      </c>
      <c r="Z35" s="10">
        <f>O34</f>
        <v>5</v>
      </c>
      <c r="AB35" s="320">
        <f>IF(E113="Y",1,0)+IF(F113="Y",1,0)+IF(G113="Y",1,0)+IF(H113="Y",1,0)+IF(I113="Y",1,0)+IF(J113="Y",1,0)+IF(K113="Y",1,0)+IF(L113="Y",1,0)+IF(M113="Y",1,0)</f>
        <v>0</v>
      </c>
      <c r="AC35" s="320">
        <f>IF(E114="Y",1,0)+IF(F114="Y",1,0)+IF(G114="Y",1,0)+IF(H114="Y",1,0)+IF(I114="Y",1,0)+IF(J114="Y",1,0)+IF(K114="Y",1,0)+IF(L114="Y",1,0)+IF(M114="Y",1,0)</f>
        <v>1</v>
      </c>
      <c r="AD35" s="320">
        <f>IF(E115="Y",1,0)+IF(F115="Y",1,0)+IF(G115="Y",1,0)+IF(H115="Y",1,0)+IF(I115="Y",1,0)+IF(J115="Y",1,0)+IF(K115="Y",1,0)+IF(L115="Y",1,0)+IF(M115="Y",1,0)</f>
        <v>2</v>
      </c>
      <c r="AE35" s="320">
        <f>IF(E116="Y",1,0)+IF(F116="Y",1,0)+IF(G116="Y",1,0)+IF(H116="Y",1,0)+IF(I116="Y",1,0)+IF(J116="Y",1,0)+IF(K116="Y",1,0)+IF(L116="Y",1,0)+IF(M116="Y",1,0)</f>
        <v>0</v>
      </c>
      <c r="AF35" s="320">
        <f>IF(E117="Y",1,0)+IF(F117="Y",1,0)+IF(G117="Y",1,0)+IF(H117="Y",1,0)+IF(I117="Y",1,0)+IF(J117="Y",1,0)+IF(K117="Y",1,0)+IF(L117="Y",1,0)+IF(M117="Y",1,0)</f>
        <v>0</v>
      </c>
      <c r="AG35" s="320">
        <f>IF(E118="Y",1,0)+IF(F118="Y",1,0)+IF(G118="Y",1,0)+IF(H118="Y",1,0)+IF(I118="Y",1,0)+IF(J118="Y",1,0)+IF(K118="Y",1,0)+IF(L118="Y",1,0)+IF(M118="Y",1,0)</f>
        <v>1</v>
      </c>
      <c r="AH35" s="320">
        <f>IF(E119="Y",1,0)+IF(F119="Y",1,0)+IF(G119="Y",1,0)+IF(H119="Y",1,0)+IF(I119="Y",1,0)+IF(J119="Y",1,0)+IF(K119="Y",1,0)+IF(L119="Y",1,0)+IF(M119="Y",1,0)</f>
        <v>1</v>
      </c>
      <c r="AI35" s="320">
        <f>IF(E120="Y",1,0)+IF(F120="Y",1,0)+IF(G120="Y",1,0)+IF(H120="Y",1,0)+IF(I120="Y",1,0)+IF(J120="Y",1,0)+IF(K120="Y",1,0)+IF(L120="Y",1,0)+IF(M120="Y",1,0)</f>
        <v>1</v>
      </c>
      <c r="AJ35" s="320">
        <f>IF(E121="Y",1,0)+IF(F121="Y",1,0)+IF(G121="Y",1,0)+IF(H121="Y",1,0)+IF(I121="Y",1,0)+IF(J121="Y",1,0)+IF(K121="Y",1,0)+IF(L121="Y",1,0)+IF(M121="Y",1,0)</f>
        <v>2</v>
      </c>
      <c r="AK35" s="320">
        <f>IF(E122="Y",1,0)+IF(F122="Y",1,0)+IF(G122="Y",1,0)+IF(H122="Y",1,0)+IF(I122="Y",1,0)+IF(J122="Y",1,0)+IF(K122="Y",1,0)+IF(L122="Y",1,0)+IF(M122="Y",1,0)</f>
        <v>0</v>
      </c>
      <c r="AL35" s="320">
        <f>IF(E123="Y",1,0)+IF(F123="Y",1,0)+IF(G123="Y",1,0)+IF(H123="Y",1,0)+IF(I123="Y",1,0)+IF(J123="Y",1,0)+IF(K123="Y",1,0)+IF(L123="Y",1,0)+IF(M123="Y",1,0)</f>
        <v>0</v>
      </c>
      <c r="AM35" s="320">
        <f>IF(E124="Y",1,0)+IF(F124="Y",1,0)+IF(G124="Y",1,0)+IF(H124="Y",1,0)+IF(I124="Y",1,0)+IF(J124="Y",1,0)+IF(K124="Y",1,0)+IF(L124="Y",1,0)+IF(M124="Y",1,0)</f>
        <v>1</v>
      </c>
      <c r="AN35" s="13">
        <f>SUM(AB35:AM35)</f>
        <v>9</v>
      </c>
    </row>
    <row r="36" spans="1:40" ht="16.2" thickBot="1">
      <c r="A36" s="25"/>
      <c r="B36" s="50" t="s">
        <v>1</v>
      </c>
      <c r="C36" s="51"/>
      <c r="D36" s="52"/>
      <c r="E36" s="52"/>
      <c r="F36" s="52"/>
      <c r="G36" s="53"/>
      <c r="H36" s="53"/>
      <c r="I36" s="53"/>
      <c r="J36" s="53"/>
      <c r="K36" s="53"/>
      <c r="L36" s="53"/>
      <c r="M36" s="53"/>
      <c r="N36" s="53"/>
      <c r="O36" s="53"/>
      <c r="P36" s="53"/>
      <c r="Q36" s="53"/>
      <c r="R36" s="53"/>
      <c r="S36" s="53"/>
      <c r="T36" s="53"/>
      <c r="U36" s="53"/>
      <c r="V36" s="53"/>
      <c r="W36" s="53"/>
      <c r="X36" s="53"/>
      <c r="Y36" s="53"/>
      <c r="Z36" s="53"/>
      <c r="AA36" s="53"/>
      <c r="AB36" s="53"/>
      <c r="AC36" s="52"/>
      <c r="AD36" s="52"/>
      <c r="AE36" s="52"/>
      <c r="AF36" s="52"/>
      <c r="AG36" s="52"/>
      <c r="AH36" s="52"/>
      <c r="AI36" s="52"/>
      <c r="AJ36" s="52"/>
      <c r="AK36" s="52"/>
      <c r="AL36" s="52"/>
      <c r="AM36" s="52"/>
      <c r="AN36" s="1"/>
    </row>
    <row r="37" spans="1:40">
      <c r="A37" s="25"/>
      <c r="B37" s="3"/>
      <c r="C37" s="6"/>
      <c r="AN37" s="1"/>
    </row>
    <row r="38" spans="1:40">
      <c r="A38" s="25" t="str">
        <f>PAC!A38</f>
        <v>Y11</v>
      </c>
      <c r="B38" s="2" t="str">
        <f>PAC!B38</f>
        <v>is</v>
      </c>
      <c r="C38" s="5" t="str">
        <f>PAC!C38</f>
        <v>exalted</v>
      </c>
      <c r="D38" s="151"/>
      <c r="E38" s="24" t="str">
        <f>IF(AND(E$27&gt;0,E$27&lt;=30),"Y","")</f>
        <v/>
      </c>
      <c r="F38" s="24" t="str">
        <f>IF(AND(F$27&gt;30,F$27&lt;=33),"Y","")</f>
        <v/>
      </c>
      <c r="G38" s="24" t="str">
        <f>IF(AND(G$27&gt;150,G$27&lt;=165),"Y","")</f>
        <v/>
      </c>
      <c r="H38" s="24" t="str">
        <f>IF(AND(H$27&gt;330,H$27&lt;=357),"Y","")</f>
        <v/>
      </c>
      <c r="I38" s="24" t="str">
        <f>IF(AND(I$27&gt;270,I$27&lt;=298),"Y","")</f>
        <v>Y</v>
      </c>
      <c r="J38" s="24" t="str">
        <f>IF(AND(J$27&gt;90,J$27&lt;=95),"Y","")</f>
        <v/>
      </c>
      <c r="K38" s="24" t="str">
        <f>IF(AND(K$27&gt;180,K$27&lt;=200),"Y","")</f>
        <v/>
      </c>
      <c r="L38" s="257"/>
      <c r="M38" s="257"/>
      <c r="O38" s="252" t="str">
        <f t="shared" ref="O38:O47" ca="1" si="8">IF(ISBLANK(OFFSET(O38,0,-11+O$34))," ",OFFSET(O38,0,-11+O$34))</f>
        <v>Y</v>
      </c>
      <c r="P38" s="252" t="str">
        <f t="shared" ref="P38:P47" ca="1" si="9">IF(ISBLANK(OFFSET(P38,0,-12+P$34))," ",OFFSET(P38,0,-12+P$34))</f>
        <v/>
      </c>
      <c r="Q38" s="252" t="str">
        <f t="shared" ref="Q38:Q47" ca="1" si="10">IF(ISBLANK(OFFSET(Q38,0,-13+Q$34))," ",OFFSET(Q38,0,-13+Q$34))</f>
        <v/>
      </c>
      <c r="R38" s="252" t="str">
        <f t="shared" ref="R38:R47" ca="1" si="11">IF(ISBLANK(OFFSET(R38,0,-14+R$34))," ",OFFSET(R38,0,-14+R$34))</f>
        <v/>
      </c>
      <c r="S38" s="252" t="str">
        <f t="shared" ref="S38:S47" ca="1" si="12">IF(ISBLANK(OFFSET(S38,0,-15+S$34))," ",OFFSET(S38,0,-15+S$34))</f>
        <v/>
      </c>
      <c r="T38" s="252" t="str">
        <f t="shared" ref="T38:T47" ca="1" si="13">IF(ISBLANK(OFFSET(T38,0,-16+T$34))," ",OFFSET(T38,0,-16+T$34))</f>
        <v>Y</v>
      </c>
      <c r="U38" s="252" t="str">
        <f t="shared" ref="U38:U47" ca="1" si="14">IF(ISBLANK(OFFSET(U38,0,-17+U$34))," ",OFFSET(U38,0,-17+U$34))</f>
        <v/>
      </c>
      <c r="V38" s="252" t="str">
        <f t="shared" ref="V38:V47" ca="1" si="15">IF(ISBLANK(OFFSET(V38,0,-18+V$34))," ",OFFSET(V38,0,-18+V$34))</f>
        <v/>
      </c>
      <c r="W38" s="252" t="str">
        <f t="shared" ref="W38:W47" ca="1" si="16">IF(ISBLANK(OFFSET(W38,0,-19+W$34))," ",OFFSET(W38,0,-19+W$34))</f>
        <v/>
      </c>
      <c r="X38" s="252" t="str">
        <f t="shared" ref="X38:X47" ca="1" si="17">IF(ISBLANK(OFFSET(X38,0,-20+X$34))," ",OFFSET(X38,0,-20+X$34))</f>
        <v/>
      </c>
      <c r="Y38" s="252" t="str">
        <f t="shared" ref="Y38:Y47" ca="1" si="18">IF(ISBLANK(OFFSET(Y38,0,-21+Y$34))," ",OFFSET(Y38,0,-21+Y$34))</f>
        <v/>
      </c>
      <c r="Z38" s="252" t="str">
        <f t="shared" ref="Z38:Z47" ca="1" si="19">IF(ISBLANK(OFFSET(Z38,0,-22+Z$34))," ",OFFSET(Z38,0,-22+Z$34))</f>
        <v/>
      </c>
      <c r="AB38" s="151"/>
      <c r="AC38" s="151"/>
      <c r="AD38" s="151"/>
      <c r="AE38" s="151"/>
      <c r="AF38" s="151"/>
      <c r="AG38" s="151"/>
      <c r="AH38" s="151"/>
      <c r="AI38" s="151"/>
      <c r="AJ38" s="151"/>
      <c r="AK38" s="151"/>
      <c r="AL38" s="151"/>
      <c r="AM38" s="151"/>
      <c r="AN38" s="1"/>
    </row>
    <row r="39" spans="1:40">
      <c r="A39" s="25" t="str">
        <f>PAC!A39</f>
        <v>Y12</v>
      </c>
      <c r="B39" s="2" t="str">
        <f>PAC!B39</f>
        <v>is</v>
      </c>
      <c r="C39" s="5" t="str">
        <f>PAC!C39</f>
        <v>debilitated</v>
      </c>
      <c r="D39" s="151"/>
      <c r="E39" s="24" t="str">
        <f>IF(AND(E$27&gt;180,E$27&lt;=190),"Y","")</f>
        <v/>
      </c>
      <c r="F39" s="24" t="str">
        <f>IF(AND(F$27&gt;210,F$27&lt;=213),"Y","")</f>
        <v/>
      </c>
      <c r="G39" s="24" t="str">
        <f>IF(AND(G$27&gt;330,G$27&lt;=345),"Y","")</f>
        <v/>
      </c>
      <c r="H39" s="24" t="str">
        <f>IF(AND(H$27&gt;150,H$27&lt;=177),"Y","")</f>
        <v/>
      </c>
      <c r="I39" s="24" t="str">
        <f>IF(AND(I$27&gt;90,I$27&lt;=118),"Y","")</f>
        <v/>
      </c>
      <c r="J39" s="24" t="str">
        <f>IF(AND(J$27&gt;270,J$27&lt;=275),"Y","")</f>
        <v/>
      </c>
      <c r="K39" s="24" t="str">
        <f>IF(AND(K$27&gt;0,K$27&lt;=20),"Y","")</f>
        <v/>
      </c>
      <c r="L39" s="257"/>
      <c r="M39" s="257"/>
      <c r="O39" s="252" t="str">
        <f t="shared" ca="1" si="8"/>
        <v/>
      </c>
      <c r="P39" s="252" t="str">
        <f t="shared" ca="1" si="9"/>
        <v/>
      </c>
      <c r="Q39" s="252" t="str">
        <f t="shared" ca="1" si="10"/>
        <v/>
      </c>
      <c r="R39" s="252" t="str">
        <f t="shared" ca="1" si="11"/>
        <v/>
      </c>
      <c r="S39" s="252" t="str">
        <f t="shared" ca="1" si="12"/>
        <v/>
      </c>
      <c r="T39" s="252" t="str">
        <f t="shared" ca="1" si="13"/>
        <v/>
      </c>
      <c r="U39" s="252" t="str">
        <f t="shared" ca="1" si="14"/>
        <v/>
      </c>
      <c r="V39" s="252" t="str">
        <f t="shared" ca="1" si="15"/>
        <v/>
      </c>
      <c r="W39" s="252" t="str">
        <f t="shared" ca="1" si="16"/>
        <v/>
      </c>
      <c r="X39" s="252" t="str">
        <f t="shared" ca="1" si="17"/>
        <v/>
      </c>
      <c r="Y39" s="252" t="str">
        <f t="shared" ca="1" si="18"/>
        <v/>
      </c>
      <c r="Z39" s="252" t="str">
        <f t="shared" ca="1" si="19"/>
        <v/>
      </c>
      <c r="AB39" s="151"/>
      <c r="AC39" s="151"/>
      <c r="AD39" s="151"/>
      <c r="AE39" s="151"/>
      <c r="AF39" s="151"/>
      <c r="AG39" s="151"/>
      <c r="AH39" s="151"/>
      <c r="AI39" s="151"/>
      <c r="AJ39" s="151"/>
      <c r="AK39" s="151"/>
      <c r="AL39" s="151"/>
      <c r="AM39" s="151"/>
      <c r="AN39" s="1"/>
    </row>
    <row r="40" spans="1:40">
      <c r="A40" s="25" t="str">
        <f>PAC!A40</f>
        <v>Y13</v>
      </c>
      <c r="B40" s="2" t="str">
        <f>PAC!B40</f>
        <v>is</v>
      </c>
      <c r="C40" s="5" t="str">
        <f>PAC!C40</f>
        <v>at moolatrikona</v>
      </c>
      <c r="D40" s="151"/>
      <c r="E40" s="24" t="str">
        <f>IF(AND(E$27&gt;120,E$27&lt;=140),"Y","")</f>
        <v/>
      </c>
      <c r="F40" s="24" t="str">
        <f>IF(AND(F$27&gt;30,F$27&lt;=57),"Y","")</f>
        <v/>
      </c>
      <c r="G40" s="24" t="str">
        <f>IF(AND(G$27&gt;150,G$27&lt;=170),"Y","")</f>
        <v/>
      </c>
      <c r="H40" s="24" t="str">
        <f>IF(AND(H$27&gt;180,H$27&lt;=195),"Y","")</f>
        <v/>
      </c>
      <c r="I40" s="24" t="str">
        <f>IF(AND(I$27&gt;0,I$27&lt;=12),"Y","")</f>
        <v/>
      </c>
      <c r="J40" s="24" t="str">
        <f>IF(AND(J$27&gt;240,J$27&lt;=250),"Y","")</f>
        <v/>
      </c>
      <c r="K40" s="24" t="str">
        <f>IF(AND(K$27&gt;300,K$27&lt;=320),"Y","")</f>
        <v/>
      </c>
      <c r="L40" s="257"/>
      <c r="M40" s="257"/>
      <c r="O40" s="252" t="str">
        <f t="shared" ca="1" si="8"/>
        <v/>
      </c>
      <c r="P40" s="252" t="str">
        <f t="shared" ca="1" si="9"/>
        <v/>
      </c>
      <c r="Q40" s="252" t="str">
        <f t="shared" ca="1" si="10"/>
        <v/>
      </c>
      <c r="R40" s="252" t="str">
        <f t="shared" ca="1" si="11"/>
        <v/>
      </c>
      <c r="S40" s="252" t="str">
        <f t="shared" ca="1" si="12"/>
        <v/>
      </c>
      <c r="T40" s="252" t="str">
        <f t="shared" ca="1" si="13"/>
        <v/>
      </c>
      <c r="U40" s="252" t="str">
        <f t="shared" ca="1" si="14"/>
        <v/>
      </c>
      <c r="V40" s="252" t="str">
        <f t="shared" ca="1" si="15"/>
        <v/>
      </c>
      <c r="W40" s="252" t="str">
        <f t="shared" ca="1" si="16"/>
        <v/>
      </c>
      <c r="X40" s="252" t="str">
        <f t="shared" ca="1" si="17"/>
        <v/>
      </c>
      <c r="Y40" s="252" t="str">
        <f t="shared" ca="1" si="18"/>
        <v/>
      </c>
      <c r="Z40" s="252" t="str">
        <f t="shared" ca="1" si="19"/>
        <v/>
      </c>
      <c r="AB40" s="151"/>
      <c r="AC40" s="151"/>
      <c r="AD40" s="151"/>
      <c r="AE40" s="151"/>
      <c r="AF40" s="151"/>
      <c r="AG40" s="151"/>
      <c r="AH40" s="151"/>
      <c r="AI40" s="151"/>
      <c r="AJ40" s="151"/>
      <c r="AK40" s="151"/>
      <c r="AL40" s="151"/>
      <c r="AM40" s="151"/>
      <c r="AN40" s="1"/>
    </row>
    <row r="41" spans="1:40">
      <c r="A41" s="25" t="str">
        <f>PAC!A41</f>
        <v>Y14</v>
      </c>
      <c r="B41" s="2" t="str">
        <f>PAC!B41</f>
        <v>is</v>
      </c>
      <c r="C41" s="5" t="str">
        <f>PAC!C41</f>
        <v xml:space="preserve">in own house </v>
      </c>
      <c r="D41" s="151"/>
      <c r="E41" s="24" t="str">
        <f>IF(AND(E$27&gt;140,E$27&lt;=150),"Y","")</f>
        <v/>
      </c>
      <c r="F41" s="24" t="str">
        <f>IF(AND(F$27&gt;90,F$27&lt;=120),"Y","")</f>
        <v>Y</v>
      </c>
      <c r="G41" s="24" t="str">
        <f>IF(OR(AND(G$27&gt;=80,G$27&lt;=90),AND(G$27&gt;=170,G$27&lt;=180)),"Y","")</f>
        <v/>
      </c>
      <c r="H41" s="24" t="str">
        <f>IF(OR(AND(H$27&gt;=45,H$27&lt;=60),AND(H$27&gt;=195,H$27&lt;=210)),"Y","")</f>
        <v/>
      </c>
      <c r="I41" s="24" t="str">
        <f>IF(OR(AND(I$27&gt;=222,I$27&lt;=240),AND(I$27&gt;12,I$27&lt;=30)),"Y","")</f>
        <v/>
      </c>
      <c r="J41" s="24" t="str">
        <f>IF(OR(AND(J$27&gt;=340,J$27&lt;=360),AND(J$27&gt;=250,J$27&lt;=270)),"Y","")</f>
        <v/>
      </c>
      <c r="K41" s="24" t="str">
        <f>IF(OR(AND(K$27&gt;=290,K$27&lt;=300),AND(K$27&gt;320,K$27&lt;=330)),"Y","")</f>
        <v/>
      </c>
      <c r="L41" s="257"/>
      <c r="M41" s="257"/>
      <c r="O41" s="252" t="str">
        <f t="shared" ca="1" si="8"/>
        <v/>
      </c>
      <c r="P41" s="252" t="str">
        <f t="shared" ca="1" si="9"/>
        <v/>
      </c>
      <c r="Q41" s="252" t="str">
        <f t="shared" ca="1" si="10"/>
        <v/>
      </c>
      <c r="R41" s="252" t="str">
        <f t="shared" ca="1" si="11"/>
        <v/>
      </c>
      <c r="S41" s="252" t="str">
        <f t="shared" ca="1" si="12"/>
        <v/>
      </c>
      <c r="T41" s="252" t="str">
        <f t="shared" ca="1" si="13"/>
        <v/>
      </c>
      <c r="U41" s="252" t="str">
        <f t="shared" ca="1" si="14"/>
        <v/>
      </c>
      <c r="V41" s="252" t="str">
        <f t="shared" ca="1" si="15"/>
        <v/>
      </c>
      <c r="W41" s="252" t="str">
        <f t="shared" ca="1" si="16"/>
        <v>Y</v>
      </c>
      <c r="X41" s="252" t="str">
        <f t="shared" ca="1" si="17"/>
        <v/>
      </c>
      <c r="Y41" s="252" t="str">
        <f t="shared" ca="1" si="18"/>
        <v/>
      </c>
      <c r="Z41" s="252" t="str">
        <f t="shared" ca="1" si="19"/>
        <v/>
      </c>
      <c r="AB41" s="151"/>
      <c r="AC41" s="151"/>
      <c r="AD41" s="151"/>
      <c r="AE41" s="151"/>
      <c r="AF41" s="151"/>
      <c r="AG41" s="151"/>
      <c r="AH41" s="151"/>
      <c r="AI41" s="151"/>
      <c r="AJ41" s="151"/>
      <c r="AK41" s="151"/>
      <c r="AL41" s="151"/>
      <c r="AM41" s="151"/>
      <c r="AN41" s="1"/>
    </row>
    <row r="42" spans="1:40">
      <c r="A42" s="25" t="str">
        <f>PAC!A42</f>
        <v>Y15</v>
      </c>
      <c r="B42" s="2" t="str">
        <f>PAC!B42</f>
        <v>is</v>
      </c>
      <c r="C42" s="5" t="str">
        <f>PAC!C42</f>
        <v>in friendly house</v>
      </c>
      <c r="D42" s="151"/>
      <c r="E42" s="24" t="str">
        <f>IF(OR(E$26=4,E$26=1,E$26=8,E$26=9,E$26=12),"Y","")</f>
        <v/>
      </c>
      <c r="F42" s="24" t="str">
        <f>IF(OR(F$26=5,F$26=3,F$26=6),"Y","")</f>
        <v/>
      </c>
      <c r="G42" s="24" t="str">
        <f>IF(OR(G$26=5,G$26=2,G$26=7),"Y","")</f>
        <v/>
      </c>
      <c r="H42" s="24" t="str">
        <f>IF(OR(H$26=3,H$26=6),"Y","")</f>
        <v>Y</v>
      </c>
      <c r="I42" s="24" t="str">
        <f>IF(OR(I$26=5,I$26=4,I$26=9,I$26=12),"Y","")</f>
        <v/>
      </c>
      <c r="J42" s="24" t="str">
        <f>IF(OR(J$26=5,J$26=4,J$26=1,J$26=8),"Y","")</f>
        <v/>
      </c>
      <c r="K42" s="24" t="str">
        <f>IF(OR(K$26=3,K$26=6),"Y","")</f>
        <v/>
      </c>
      <c r="L42" s="257"/>
      <c r="M42" s="257"/>
      <c r="O42" s="252" t="str">
        <f t="shared" ca="1" si="8"/>
        <v/>
      </c>
      <c r="P42" s="252" t="str">
        <f t="shared" ca="1" si="9"/>
        <v/>
      </c>
      <c r="Q42" s="252" t="str">
        <f t="shared" ca="1" si="10"/>
        <v/>
      </c>
      <c r="R42" s="252" t="str">
        <f t="shared" ca="1" si="11"/>
        <v/>
      </c>
      <c r="S42" s="252" t="str">
        <f t="shared" ca="1" si="12"/>
        <v/>
      </c>
      <c r="T42" s="252" t="str">
        <f t="shared" ca="1" si="13"/>
        <v/>
      </c>
      <c r="U42" s="252" t="str">
        <f t="shared" ca="1" si="14"/>
        <v>Y</v>
      </c>
      <c r="V42" s="252" t="str">
        <f t="shared" ca="1" si="15"/>
        <v/>
      </c>
      <c r="W42" s="252" t="str">
        <f t="shared" ca="1" si="16"/>
        <v/>
      </c>
      <c r="X42" s="252" t="str">
        <f t="shared" ca="1" si="17"/>
        <v/>
      </c>
      <c r="Y42" s="252" t="str">
        <f t="shared" ca="1" si="18"/>
        <v/>
      </c>
      <c r="Z42" s="252" t="str">
        <f t="shared" ca="1" si="19"/>
        <v>Y</v>
      </c>
      <c r="AB42" s="151"/>
      <c r="AC42" s="151"/>
      <c r="AD42" s="151"/>
      <c r="AE42" s="151"/>
      <c r="AF42" s="151"/>
      <c r="AG42" s="151"/>
      <c r="AH42" s="151"/>
      <c r="AI42" s="151"/>
      <c r="AJ42" s="151"/>
      <c r="AK42" s="151"/>
      <c r="AL42" s="151"/>
      <c r="AM42" s="151"/>
      <c r="AN42" s="1"/>
    </row>
    <row r="43" spans="1:40">
      <c r="A43" s="25" t="str">
        <f>PAC!A43</f>
        <v>Y16</v>
      </c>
      <c r="B43" s="2" t="str">
        <f>PAC!B43</f>
        <v>is</v>
      </c>
      <c r="C43" s="5" t="str">
        <f>PAC!C43</f>
        <v>in hostile house</v>
      </c>
      <c r="D43" s="151"/>
      <c r="E43" s="24" t="str">
        <f>IF(OR(E$26=2,E$26=7,E$26=10,E$26=11),"Y","")</f>
        <v>Y</v>
      </c>
      <c r="F43" s="24"/>
      <c r="G43" s="24" t="str">
        <f>IF(OR(G$26=4),"Y","")</f>
        <v/>
      </c>
      <c r="H43" s="24" t="str">
        <f>IF(OR(H$26=5,H$26=4,H$26=1,H$26=8),"Y","")</f>
        <v/>
      </c>
      <c r="I43" s="24" t="str">
        <f>IF(OR(I$26=3,I$26=6),"Y","")</f>
        <v/>
      </c>
      <c r="J43" s="24" t="str">
        <f>IF(OR(J$26=3,J$26=6,J$26=2,J$26=7),"Y","")</f>
        <v>Y</v>
      </c>
      <c r="K43" s="24" t="str">
        <f>IF(OR(K$26=5,K$26=4),"Y","")</f>
        <v/>
      </c>
      <c r="L43" s="257"/>
      <c r="M43" s="257"/>
      <c r="O43" s="252" t="str">
        <f t="shared" ca="1" si="8"/>
        <v/>
      </c>
      <c r="P43" s="252" t="str">
        <f t="shared" ca="1" si="9"/>
        <v>Y</v>
      </c>
      <c r="Q43" s="252" t="str">
        <f t="shared" ca="1" si="10"/>
        <v/>
      </c>
      <c r="R43" s="252" t="str">
        <f t="shared" ca="1" si="11"/>
        <v/>
      </c>
      <c r="S43" s="252" t="str">
        <f t="shared" ca="1" si="12"/>
        <v>Y</v>
      </c>
      <c r="T43" s="252" t="str">
        <f t="shared" ca="1" si="13"/>
        <v/>
      </c>
      <c r="U43" s="252" t="str">
        <f t="shared" ca="1" si="14"/>
        <v/>
      </c>
      <c r="V43" s="252" t="str">
        <f t="shared" ca="1" si="15"/>
        <v/>
      </c>
      <c r="W43" s="252" t="str">
        <f t="shared" ca="1" si="16"/>
        <v xml:space="preserve"> </v>
      </c>
      <c r="X43" s="252" t="str">
        <f t="shared" ca="1" si="17"/>
        <v>Y</v>
      </c>
      <c r="Y43" s="252" t="str">
        <f t="shared" ca="1" si="18"/>
        <v/>
      </c>
      <c r="Z43" s="252" t="str">
        <f t="shared" ca="1" si="19"/>
        <v/>
      </c>
      <c r="AB43" s="151"/>
      <c r="AC43" s="151"/>
      <c r="AD43" s="151"/>
      <c r="AE43" s="151"/>
      <c r="AF43" s="151"/>
      <c r="AG43" s="151"/>
      <c r="AH43" s="151"/>
      <c r="AI43" s="151"/>
      <c r="AJ43" s="151"/>
      <c r="AK43" s="151"/>
      <c r="AL43" s="151"/>
      <c r="AM43" s="151"/>
      <c r="AN43" s="1"/>
    </row>
    <row r="44" spans="1:40">
      <c r="A44" s="25" t="str">
        <f>PAC!A44</f>
        <v>Y17</v>
      </c>
      <c r="B44" s="2" t="str">
        <f>PAC!B44</f>
        <v>is</v>
      </c>
      <c r="C44" s="5" t="str">
        <f>PAC!C44</f>
        <v>in neutral house</v>
      </c>
      <c r="D44" s="151"/>
      <c r="E44" s="24" t="str">
        <f>IF(OR(E$26=3,E$26=6),"Y","")</f>
        <v/>
      </c>
      <c r="F44" s="24" t="str">
        <f>IF(OR(F$26=1,F$26=8,F$26=9,F$26=12,F$26=2,F$26=7,F$26=10,F$26=11),"Y","")</f>
        <v/>
      </c>
      <c r="G44" s="24" t="str">
        <f>IF(OR(G$26=10,G$26=11,G$26=1,G$26=8,G$26=9,G$26=12),"Y","")</f>
        <v>Y</v>
      </c>
      <c r="H44" s="24" t="str">
        <f>IF(OR(H$26=9,H$26=12),"Y","")</f>
        <v/>
      </c>
      <c r="I44" s="24" t="str">
        <f>IF(OR(I$26=10,I$26=11,I$26=2,I$26=7),"Y","")</f>
        <v>Y</v>
      </c>
      <c r="J44" s="24" t="str">
        <f>IF(OR(J$26=10,J$26=11),"Y","")</f>
        <v/>
      </c>
      <c r="K44" s="24" t="str">
        <f>IF(OR(K$26=1,K$26=8,K$26=9,K$26=12),"Y","")</f>
        <v>Y</v>
      </c>
      <c r="L44" s="257"/>
      <c r="M44" s="257"/>
      <c r="O44" s="252" t="str">
        <f t="shared" ca="1" si="8"/>
        <v>Y</v>
      </c>
      <c r="P44" s="252" t="str">
        <f t="shared" ca="1" si="9"/>
        <v/>
      </c>
      <c r="Q44" s="252" t="str">
        <f t="shared" ca="1" si="10"/>
        <v>Y</v>
      </c>
      <c r="R44" s="252" t="str">
        <f t="shared" ca="1" si="11"/>
        <v>Y</v>
      </c>
      <c r="S44" s="252" t="str">
        <f t="shared" ca="1" si="12"/>
        <v/>
      </c>
      <c r="T44" s="252" t="str">
        <f t="shared" ca="1" si="13"/>
        <v>Y</v>
      </c>
      <c r="U44" s="252" t="str">
        <f t="shared" ca="1" si="14"/>
        <v/>
      </c>
      <c r="V44" s="252" t="str">
        <f t="shared" ca="1" si="15"/>
        <v>Y</v>
      </c>
      <c r="W44" s="252" t="str">
        <f t="shared" ca="1" si="16"/>
        <v/>
      </c>
      <c r="X44" s="252" t="str">
        <f t="shared" ca="1" si="17"/>
        <v/>
      </c>
      <c r="Y44" s="252" t="str">
        <f t="shared" ca="1" si="18"/>
        <v>Y</v>
      </c>
      <c r="Z44" s="252" t="str">
        <f t="shared" ca="1" si="19"/>
        <v/>
      </c>
      <c r="AB44" s="151"/>
      <c r="AC44" s="151"/>
      <c r="AD44" s="151"/>
      <c r="AE44" s="151"/>
      <c r="AF44" s="151"/>
      <c r="AG44" s="151"/>
      <c r="AH44" s="151"/>
      <c r="AI44" s="151"/>
      <c r="AJ44" s="151"/>
      <c r="AK44" s="151"/>
      <c r="AL44" s="151"/>
      <c r="AM44" s="151"/>
      <c r="AN44" s="1"/>
    </row>
    <row r="45" spans="1:40">
      <c r="A45" s="25" t="str">
        <f>PAC!A45</f>
        <v>Y18</v>
      </c>
      <c r="B45" s="2" t="str">
        <f>PAC!B45</f>
        <v>is</v>
      </c>
      <c r="C45" s="5" t="str">
        <f>PAC!C45</f>
        <v>retrograde</v>
      </c>
      <c r="D45" s="151"/>
      <c r="E45" s="256"/>
      <c r="F45" s="256"/>
      <c r="G45" s="24" t="str">
        <f>Ephemeris!F44</f>
        <v xml:space="preserve"> </v>
      </c>
      <c r="H45" s="24" t="str">
        <f>Ephemeris!G44</f>
        <v xml:space="preserve"> </v>
      </c>
      <c r="I45" s="24" t="str">
        <f>Ephemeris!H44</f>
        <v xml:space="preserve"> </v>
      </c>
      <c r="J45" s="24" t="str">
        <f>Ephemeris!I44</f>
        <v>Y</v>
      </c>
      <c r="K45" s="24" t="str">
        <f>Ephemeris!J44</f>
        <v>Y</v>
      </c>
      <c r="L45" s="257"/>
      <c r="M45" s="257"/>
      <c r="O45" s="252" t="str">
        <f t="shared" ca="1" si="8"/>
        <v xml:space="preserve"> </v>
      </c>
      <c r="P45" s="252" t="str">
        <f t="shared" ca="1" si="9"/>
        <v>Y</v>
      </c>
      <c r="Q45" s="252" t="str">
        <f t="shared" ca="1" si="10"/>
        <v>Y</v>
      </c>
      <c r="R45" s="252" t="str">
        <f t="shared" ca="1" si="11"/>
        <v>Y</v>
      </c>
      <c r="S45" s="252" t="str">
        <f t="shared" ca="1" si="12"/>
        <v>Y</v>
      </c>
      <c r="T45" s="252" t="str">
        <f t="shared" ca="1" si="13"/>
        <v xml:space="preserve"> </v>
      </c>
      <c r="U45" s="252" t="str">
        <f t="shared" ca="1" si="14"/>
        <v xml:space="preserve"> </v>
      </c>
      <c r="V45" s="252" t="str">
        <f t="shared" ca="1" si="15"/>
        <v xml:space="preserve"> </v>
      </c>
      <c r="W45" s="252" t="str">
        <f t="shared" ca="1" si="16"/>
        <v xml:space="preserve"> </v>
      </c>
      <c r="X45" s="252" t="str">
        <f t="shared" ca="1" si="17"/>
        <v xml:space="preserve"> </v>
      </c>
      <c r="Y45" s="252" t="str">
        <f t="shared" ca="1" si="18"/>
        <v xml:space="preserve"> </v>
      </c>
      <c r="Z45" s="252" t="str">
        <f t="shared" ca="1" si="19"/>
        <v xml:space="preserve"> </v>
      </c>
      <c r="AB45" s="151"/>
      <c r="AC45" s="151"/>
      <c r="AD45" s="151"/>
      <c r="AE45" s="151"/>
      <c r="AF45" s="151"/>
      <c r="AG45" s="151"/>
      <c r="AH45" s="151"/>
      <c r="AI45" s="151"/>
      <c r="AJ45" s="151"/>
      <c r="AK45" s="151"/>
      <c r="AL45" s="151"/>
      <c r="AM45" s="151"/>
      <c r="AN45" s="1"/>
    </row>
    <row r="46" spans="1:40">
      <c r="A46" s="25" t="str">
        <f>PAC!A46</f>
        <v>Y19</v>
      </c>
      <c r="B46" s="2" t="str">
        <f>PAC!B46</f>
        <v>is</v>
      </c>
      <c r="C46" s="5" t="str">
        <f>PAC!C46</f>
        <v>malefic</v>
      </c>
      <c r="D46" s="151"/>
      <c r="E46" s="124" t="s">
        <v>303</v>
      </c>
      <c r="F46" s="55"/>
      <c r="G46" s="55"/>
      <c r="H46" s="55"/>
      <c r="I46" s="124" t="s">
        <v>303</v>
      </c>
      <c r="J46" s="55"/>
      <c r="K46" s="124" t="s">
        <v>303</v>
      </c>
      <c r="L46" s="123" t="s">
        <v>303</v>
      </c>
      <c r="M46" s="123" t="s">
        <v>303</v>
      </c>
      <c r="O46" s="253" t="str">
        <f t="shared" ca="1" si="8"/>
        <v>Y</v>
      </c>
      <c r="P46" s="253" t="str">
        <f t="shared" ca="1" si="9"/>
        <v xml:space="preserve"> </v>
      </c>
      <c r="Q46" s="253" t="str">
        <f t="shared" ca="1" si="10"/>
        <v>Y</v>
      </c>
      <c r="R46" s="253" t="str">
        <f t="shared" ca="1" si="11"/>
        <v>Y</v>
      </c>
      <c r="S46" s="253" t="str">
        <f t="shared" ca="1" si="12"/>
        <v xml:space="preserve"> </v>
      </c>
      <c r="T46" s="253" t="str">
        <f t="shared" ca="1" si="13"/>
        <v>Y</v>
      </c>
      <c r="U46" s="253" t="str">
        <f t="shared" ca="1" si="14"/>
        <v xml:space="preserve"> </v>
      </c>
      <c r="V46" s="253" t="str">
        <f t="shared" ca="1" si="15"/>
        <v xml:space="preserve"> </v>
      </c>
      <c r="W46" s="253" t="str">
        <f t="shared" ca="1" si="16"/>
        <v xml:space="preserve"> </v>
      </c>
      <c r="X46" s="253" t="str">
        <f t="shared" ca="1" si="17"/>
        <v>Y</v>
      </c>
      <c r="Y46" s="253" t="str">
        <f t="shared" ca="1" si="18"/>
        <v xml:space="preserve"> </v>
      </c>
      <c r="Z46" s="253" t="str">
        <f t="shared" ca="1" si="19"/>
        <v xml:space="preserve"> </v>
      </c>
      <c r="AB46" s="151"/>
      <c r="AC46" s="151"/>
      <c r="AD46" s="151"/>
      <c r="AE46" s="151"/>
      <c r="AF46" s="151"/>
      <c r="AG46" s="151"/>
      <c r="AH46" s="151"/>
      <c r="AI46" s="151"/>
      <c r="AJ46" s="151"/>
      <c r="AK46" s="151"/>
      <c r="AL46" s="151"/>
      <c r="AM46" s="151"/>
    </row>
    <row r="47" spans="1:40" ht="13.8" thickBot="1">
      <c r="A47" s="25" t="str">
        <f>PAC!A47</f>
        <v>Y20</v>
      </c>
      <c r="B47" s="2" t="str">
        <f>PAC!B47</f>
        <v>is</v>
      </c>
      <c r="C47" s="5" t="str">
        <f>PAC!C47</f>
        <v>benefic</v>
      </c>
      <c r="D47" s="172"/>
      <c r="E47" s="172"/>
      <c r="F47" s="168" t="str">
        <f>IF(OR(F74="Y",F78="Y",F80="Y",F81="Y",F82="Y"),"","Y")</f>
        <v/>
      </c>
      <c r="G47" s="168" t="str">
        <f>IF(OR(G74="Y",G78="Y",G80="Y",G81="Y",G82="Y",G45="Y"),"","Y")</f>
        <v>Y</v>
      </c>
      <c r="H47" s="168" t="str">
        <f>IF(OR(H74="Y",H78="Y",H80="Y",H81="Y",H82="Y",H45="Y"),"","Y")</f>
        <v>Y</v>
      </c>
      <c r="I47" s="172"/>
      <c r="J47" s="168" t="str">
        <f>IF(OR(J74="Y",J78="Y",J80="Y",J81="Y",J82="Y",J45="Y"),"","Y")</f>
        <v/>
      </c>
      <c r="K47" s="168"/>
      <c r="L47" s="172"/>
      <c r="M47" s="172"/>
      <c r="N47" s="168"/>
      <c r="O47" s="253" t="str">
        <f t="shared" ca="1" si="8"/>
        <v xml:space="preserve"> </v>
      </c>
      <c r="P47" s="253" t="str">
        <f t="shared" ca="1" si="9"/>
        <v/>
      </c>
      <c r="Q47" s="253" t="str">
        <f t="shared" ca="1" si="10"/>
        <v xml:space="preserve"> </v>
      </c>
      <c r="R47" s="253" t="str">
        <f t="shared" ca="1" si="11"/>
        <v xml:space="preserve"> </v>
      </c>
      <c r="S47" s="253" t="str">
        <f t="shared" ca="1" si="12"/>
        <v/>
      </c>
      <c r="T47" s="253" t="str">
        <f t="shared" ca="1" si="13"/>
        <v xml:space="preserve"> </v>
      </c>
      <c r="U47" s="253" t="str">
        <f t="shared" ca="1" si="14"/>
        <v>Y</v>
      </c>
      <c r="V47" s="253" t="str">
        <f t="shared" ca="1" si="15"/>
        <v>Y</v>
      </c>
      <c r="W47" s="253" t="str">
        <f t="shared" ca="1" si="16"/>
        <v/>
      </c>
      <c r="X47" s="253" t="str">
        <f t="shared" ca="1" si="17"/>
        <v xml:space="preserve"> </v>
      </c>
      <c r="Y47" s="253" t="str">
        <f t="shared" ca="1" si="18"/>
        <v>Y</v>
      </c>
      <c r="Z47" s="253" t="str">
        <f t="shared" ca="1" si="19"/>
        <v>Y</v>
      </c>
      <c r="AA47" s="168"/>
      <c r="AB47" s="172"/>
      <c r="AC47" s="172"/>
      <c r="AD47" s="172"/>
      <c r="AE47" s="172"/>
      <c r="AF47" s="172"/>
      <c r="AG47" s="172"/>
      <c r="AH47" s="172"/>
      <c r="AI47" s="172"/>
      <c r="AJ47" s="172"/>
      <c r="AK47" s="172"/>
      <c r="AL47" s="172"/>
      <c r="AM47" s="172"/>
      <c r="AN47" s="169"/>
    </row>
    <row r="48" spans="1:40" ht="16.2" thickBot="1">
      <c r="A48" s="25"/>
      <c r="B48" s="56" t="s">
        <v>117</v>
      </c>
      <c r="C48" s="51"/>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1"/>
    </row>
    <row r="49" spans="1:40">
      <c r="A49" s="25" t="str">
        <f>PAC!A49</f>
        <v>Y21</v>
      </c>
      <c r="B49" s="2" t="str">
        <f>PAC!B49</f>
        <v>aspected by</v>
      </c>
      <c r="C49" s="5" t="str">
        <f>PAC!C49</f>
        <v>sun</v>
      </c>
      <c r="D49" s="254" t="str">
        <f>IF(IF((MOD($E$26+6,12)&gt;0),MOD($E$26+6,12),12)=D$26,"Y","")</f>
        <v>Y</v>
      </c>
      <c r="E49" s="254"/>
      <c r="F49" s="254" t="str">
        <f t="shared" ref="F49:M49" si="20">IF(IF((MOD($E$26+6,12)&gt;0),MOD($E$26+6,12),12)=F$26,"Y","")</f>
        <v/>
      </c>
      <c r="G49" s="254" t="str">
        <f t="shared" si="20"/>
        <v/>
      </c>
      <c r="H49" s="254" t="str">
        <f t="shared" si="20"/>
        <v/>
      </c>
      <c r="I49" s="254" t="str">
        <f t="shared" si="20"/>
        <v/>
      </c>
      <c r="J49" s="254" t="str">
        <f t="shared" si="20"/>
        <v/>
      </c>
      <c r="K49" s="254" t="str">
        <f t="shared" si="20"/>
        <v/>
      </c>
      <c r="L49" s="254" t="str">
        <f t="shared" si="20"/>
        <v/>
      </c>
      <c r="M49" s="254" t="str">
        <f t="shared" si="20"/>
        <v/>
      </c>
      <c r="O49" s="252" t="str">
        <f t="shared" ref="O49:O57" ca="1" si="21">IF(ISBLANK(OFFSET(O49,0,-11+O$34))," ",OFFSET(O49,0,-11+O$34))</f>
        <v/>
      </c>
      <c r="P49" s="252" t="str">
        <f t="shared" ref="P49:P57" ca="1" si="22">IF(ISBLANK(OFFSET(P49,0,-12+P$34))," ",OFFSET(P49,0,-12+P$34))</f>
        <v/>
      </c>
      <c r="Q49" s="252" t="str">
        <f t="shared" ref="Q49:Q57" ca="1" si="23">IF(ISBLANK(OFFSET(Q49,0,-13+Q$34))," ",OFFSET(Q49,0,-13+Q$34))</f>
        <v/>
      </c>
      <c r="R49" s="252" t="str">
        <f t="shared" ref="R49:R57" ca="1" si="24">IF(ISBLANK(OFFSET(R49,0,-14+R$34))," ",OFFSET(R49,0,-14+R$34))</f>
        <v/>
      </c>
      <c r="S49" s="252" t="str">
        <f t="shared" ref="S49:S57" ca="1" si="25">IF(ISBLANK(OFFSET(S49,0,-15+S$34))," ",OFFSET(S49,0,-15+S$34))</f>
        <v/>
      </c>
      <c r="T49" s="252" t="str">
        <f t="shared" ref="T49:T57" ca="1" si="26">IF(ISBLANK(OFFSET(T49,0,-16+T$34))," ",OFFSET(T49,0,-16+T$34))</f>
        <v/>
      </c>
      <c r="U49" s="252" t="str">
        <f t="shared" ref="U49:U57" ca="1" si="27">IF(ISBLANK(OFFSET(U49,0,-17+U$34))," ",OFFSET(U49,0,-17+U$34))</f>
        <v/>
      </c>
      <c r="V49" s="252" t="str">
        <f t="shared" ref="V49:V57" ca="1" si="28">IF(ISBLANK(OFFSET(V49,0,-18+V$34))," ",OFFSET(V49,0,-18+V$34))</f>
        <v/>
      </c>
      <c r="W49" s="252" t="str">
        <f t="shared" ref="W49:W57" ca="1" si="29">IF(ISBLANK(OFFSET(W49,0,-19+W$34))," ",OFFSET(W49,0,-19+W$34))</f>
        <v/>
      </c>
      <c r="X49" s="252" t="str">
        <f t="shared" ref="X49:X57" ca="1" si="30">IF(ISBLANK(OFFSET(X49,0,-20+X$34))," ",OFFSET(X49,0,-20+X$34))</f>
        <v xml:space="preserve"> </v>
      </c>
      <c r="Y49" s="252" t="str">
        <f t="shared" ref="Y49:Y57" ca="1" si="31">IF(ISBLANK(OFFSET(Y49,0,-21+Y$34))," ",OFFSET(Y49,0,-21+Y$34))</f>
        <v/>
      </c>
      <c r="Z49" s="252" t="str">
        <f t="shared" ref="Z49:Z57" ca="1" si="32">IF(ISBLANK(OFFSET(Z49,0,-22+Z$34))," ",OFFSET(Z49,0,-22+Z$34))</f>
        <v/>
      </c>
      <c r="AB49" s="254" t="str">
        <f t="shared" ref="AB49:AM49" si="33">IF(IF((MOD($E$26+6,12)&gt;0),MOD($E$26+6,12),12)=AB$26,"Y","")</f>
        <v>Y</v>
      </c>
      <c r="AC49" s="254" t="str">
        <f t="shared" si="33"/>
        <v/>
      </c>
      <c r="AD49" s="254" t="str">
        <f t="shared" si="33"/>
        <v/>
      </c>
      <c r="AE49" s="254" t="str">
        <f t="shared" si="33"/>
        <v/>
      </c>
      <c r="AF49" s="254" t="str">
        <f t="shared" si="33"/>
        <v/>
      </c>
      <c r="AG49" s="254" t="str">
        <f t="shared" si="33"/>
        <v/>
      </c>
      <c r="AH49" s="254" t="str">
        <f t="shared" si="33"/>
        <v/>
      </c>
      <c r="AI49" s="254" t="str">
        <f t="shared" si="33"/>
        <v/>
      </c>
      <c r="AJ49" s="254" t="str">
        <f t="shared" si="33"/>
        <v/>
      </c>
      <c r="AK49" s="254" t="str">
        <f t="shared" si="33"/>
        <v/>
      </c>
      <c r="AL49" s="254" t="str">
        <f t="shared" si="33"/>
        <v/>
      </c>
      <c r="AM49" s="254" t="str">
        <f t="shared" si="33"/>
        <v/>
      </c>
      <c r="AN49" s="1"/>
    </row>
    <row r="50" spans="1:40">
      <c r="A50" s="25" t="str">
        <f>PAC!A50</f>
        <v>Y22</v>
      </c>
      <c r="B50" s="2" t="str">
        <f>PAC!B50</f>
        <v>aspected by</v>
      </c>
      <c r="C50" s="5" t="str">
        <f>PAC!C50</f>
        <v>moon</v>
      </c>
      <c r="D50" s="254" t="str">
        <f>IF(IF((MOD($F$26+6,12)&gt;0),MOD($F$26+6,12),12)=D$26,"Y","")</f>
        <v/>
      </c>
      <c r="E50" s="254" t="str">
        <f>IF(IF((MOD($F$26+6,12)&gt;0),MOD($F$26+6,12),12)=E$26,"Y","")</f>
        <v/>
      </c>
      <c r="F50" s="254"/>
      <c r="G50" s="254" t="str">
        <f t="shared" ref="G50:M50" si="34">IF(IF((MOD($F$26+6,12)&gt;0),MOD($F$26+6,12),12)=G$26,"Y","")</f>
        <v/>
      </c>
      <c r="H50" s="254" t="str">
        <f t="shared" si="34"/>
        <v/>
      </c>
      <c r="I50" s="254" t="str">
        <f t="shared" si="34"/>
        <v>Y</v>
      </c>
      <c r="J50" s="254" t="str">
        <f t="shared" si="34"/>
        <v/>
      </c>
      <c r="K50" s="254" t="str">
        <f t="shared" si="34"/>
        <v/>
      </c>
      <c r="L50" s="254" t="str">
        <f t="shared" si="34"/>
        <v/>
      </c>
      <c r="M50" s="254" t="str">
        <f t="shared" si="34"/>
        <v>Y</v>
      </c>
      <c r="O50" s="252" t="str">
        <f t="shared" ca="1" si="21"/>
        <v>Y</v>
      </c>
      <c r="P50" s="252" t="str">
        <f t="shared" ca="1" si="22"/>
        <v/>
      </c>
      <c r="Q50" s="252" t="str">
        <f t="shared" ca="1" si="23"/>
        <v/>
      </c>
      <c r="R50" s="252" t="str">
        <f t="shared" ca="1" si="24"/>
        <v/>
      </c>
      <c r="S50" s="252" t="str">
        <f t="shared" ca="1" si="25"/>
        <v/>
      </c>
      <c r="T50" s="252" t="str">
        <f t="shared" ca="1" si="26"/>
        <v>Y</v>
      </c>
      <c r="U50" s="252" t="str">
        <f t="shared" ca="1" si="27"/>
        <v/>
      </c>
      <c r="V50" s="252" t="str">
        <f t="shared" ca="1" si="28"/>
        <v/>
      </c>
      <c r="W50" s="252" t="str">
        <f t="shared" ca="1" si="29"/>
        <v xml:space="preserve"> </v>
      </c>
      <c r="X50" s="252" t="str">
        <f t="shared" ca="1" si="30"/>
        <v/>
      </c>
      <c r="Y50" s="252" t="str">
        <f t="shared" ca="1" si="31"/>
        <v/>
      </c>
      <c r="Z50" s="252" t="str">
        <f t="shared" ca="1" si="32"/>
        <v/>
      </c>
      <c r="AB50" s="254" t="str">
        <f t="shared" ref="AB50:AM50" si="35">IF(IF((MOD($F$26+6,12)&gt;0),MOD($F$26+6,12),12)=AB$26,"Y","")</f>
        <v/>
      </c>
      <c r="AC50" s="254" t="str">
        <f t="shared" si="35"/>
        <v/>
      </c>
      <c r="AD50" s="254" t="str">
        <f t="shared" si="35"/>
        <v>Y</v>
      </c>
      <c r="AE50" s="254" t="str">
        <f t="shared" si="35"/>
        <v/>
      </c>
      <c r="AF50" s="254" t="str">
        <f t="shared" si="35"/>
        <v/>
      </c>
      <c r="AG50" s="254" t="str">
        <f t="shared" si="35"/>
        <v/>
      </c>
      <c r="AH50" s="254" t="str">
        <f t="shared" si="35"/>
        <v/>
      </c>
      <c r="AI50" s="254" t="str">
        <f t="shared" si="35"/>
        <v/>
      </c>
      <c r="AJ50" s="254" t="str">
        <f t="shared" si="35"/>
        <v/>
      </c>
      <c r="AK50" s="254" t="str">
        <f t="shared" si="35"/>
        <v/>
      </c>
      <c r="AL50" s="254" t="str">
        <f t="shared" si="35"/>
        <v/>
      </c>
      <c r="AM50" s="254" t="str">
        <f t="shared" si="35"/>
        <v/>
      </c>
      <c r="AN50" s="1"/>
    </row>
    <row r="51" spans="1:40">
      <c r="A51" s="25" t="str">
        <f>PAC!A51</f>
        <v>Y23</v>
      </c>
      <c r="B51" s="2" t="str">
        <f>PAC!B51</f>
        <v>aspected by</v>
      </c>
      <c r="C51" s="5" t="str">
        <f>PAC!C51</f>
        <v>mercury</v>
      </c>
      <c r="D51" s="254" t="str">
        <f>IF(IF((MOD($G$26+6,12)&gt;0),MOD($G$26+6,12),12)=D$26,"Y","")</f>
        <v/>
      </c>
      <c r="E51" s="254" t="str">
        <f>IF(IF((MOD($G$26+6,12)&gt;0),MOD($G$26+6,12),12)=E$26,"Y","")</f>
        <v/>
      </c>
      <c r="F51" s="254" t="str">
        <f>IF(IF((MOD($G$26+6,12)&gt;0),MOD($G$26+6,12),12)=F$26,"Y","")</f>
        <v/>
      </c>
      <c r="G51" s="254"/>
      <c r="H51" s="254" t="str">
        <f t="shared" ref="H51:M51" si="36">IF(IF((MOD($G$26+6,12)&gt;0),MOD($G$26+6,12),12)=H$26,"Y","")</f>
        <v/>
      </c>
      <c r="I51" s="254" t="str">
        <f t="shared" si="36"/>
        <v/>
      </c>
      <c r="J51" s="254" t="str">
        <f t="shared" si="36"/>
        <v>Y</v>
      </c>
      <c r="K51" s="254" t="str">
        <f t="shared" si="36"/>
        <v/>
      </c>
      <c r="L51" s="254" t="str">
        <f t="shared" si="36"/>
        <v/>
      </c>
      <c r="M51" s="254" t="str">
        <f t="shared" si="36"/>
        <v/>
      </c>
      <c r="O51" s="252" t="str">
        <f t="shared" ca="1" si="21"/>
        <v/>
      </c>
      <c r="P51" s="252" t="str">
        <f t="shared" ca="1" si="22"/>
        <v>Y</v>
      </c>
      <c r="Q51" s="252" t="str">
        <f t="shared" ca="1" si="23"/>
        <v/>
      </c>
      <c r="R51" s="252" t="str">
        <f t="shared" ca="1" si="24"/>
        <v/>
      </c>
      <c r="S51" s="252" t="str">
        <f t="shared" ca="1" si="25"/>
        <v>Y</v>
      </c>
      <c r="T51" s="252" t="str">
        <f t="shared" ca="1" si="26"/>
        <v/>
      </c>
      <c r="U51" s="252" t="str">
        <f t="shared" ca="1" si="27"/>
        <v/>
      </c>
      <c r="V51" s="252" t="str">
        <f t="shared" ca="1" si="28"/>
        <v xml:space="preserve"> </v>
      </c>
      <c r="W51" s="252" t="str">
        <f t="shared" ca="1" si="29"/>
        <v/>
      </c>
      <c r="X51" s="252" t="str">
        <f t="shared" ca="1" si="30"/>
        <v/>
      </c>
      <c r="Y51" s="252" t="str">
        <f t="shared" ca="1" si="31"/>
        <v xml:space="preserve"> </v>
      </c>
      <c r="Z51" s="252" t="str">
        <f t="shared" ca="1" si="32"/>
        <v/>
      </c>
      <c r="AB51" s="254" t="str">
        <f t="shared" ref="AB51:AM51" si="37">IF(IF((MOD($G$26+6,12)&gt;0),MOD($G$26+6,12),12)=AB$26,"Y","")</f>
        <v/>
      </c>
      <c r="AC51" s="254" t="str">
        <f t="shared" si="37"/>
        <v/>
      </c>
      <c r="AD51" s="254" t="str">
        <f t="shared" si="37"/>
        <v/>
      </c>
      <c r="AE51" s="254" t="str">
        <f t="shared" si="37"/>
        <v/>
      </c>
      <c r="AF51" s="254" t="str">
        <f t="shared" si="37"/>
        <v/>
      </c>
      <c r="AG51" s="254" t="str">
        <f t="shared" si="37"/>
        <v/>
      </c>
      <c r="AH51" s="254" t="str">
        <f t="shared" si="37"/>
        <v/>
      </c>
      <c r="AI51" s="254" t="str">
        <f t="shared" si="37"/>
        <v/>
      </c>
      <c r="AJ51" s="254" t="str">
        <f t="shared" si="37"/>
        <v/>
      </c>
      <c r="AK51" s="254" t="str">
        <f t="shared" si="37"/>
        <v/>
      </c>
      <c r="AL51" s="254" t="str">
        <f t="shared" si="37"/>
        <v/>
      </c>
      <c r="AM51" s="254" t="str">
        <f t="shared" si="37"/>
        <v>Y</v>
      </c>
      <c r="AN51" s="1"/>
    </row>
    <row r="52" spans="1:40">
      <c r="A52" s="25" t="str">
        <f>PAC!A52</f>
        <v>Y24</v>
      </c>
      <c r="B52" s="2" t="str">
        <f>PAC!B52</f>
        <v>aspected by</v>
      </c>
      <c r="C52" s="5" t="str">
        <f>PAC!C52</f>
        <v>venus</v>
      </c>
      <c r="D52" s="254" t="str">
        <f>IF(IF((MOD($H$26+6,12)&gt;0),MOD($H$26+6,12),12)=D$26,"Y","")</f>
        <v/>
      </c>
      <c r="E52" s="254" t="str">
        <f>IF(IF((MOD($H$26+6,12)&gt;0),MOD($H$26+6,12),12)=E$26,"Y","")</f>
        <v/>
      </c>
      <c r="F52" s="254" t="str">
        <f>IF(IF((MOD($H$26+6,12)&gt;0),MOD($H$26+6,12),12)=F$26,"Y","")</f>
        <v/>
      </c>
      <c r="G52" s="254" t="str">
        <f>IF(IF((MOD($H$26+6,12)&gt;0),MOD($H$26+6,12),12)=G$26,"Y","")</f>
        <v/>
      </c>
      <c r="H52" s="254"/>
      <c r="I52" s="254" t="str">
        <f>IF(IF((MOD($H$26+6,12)&gt;0),MOD($H$26+6,12),12)=I$26,"Y","")</f>
        <v/>
      </c>
      <c r="J52" s="254" t="str">
        <f>IF(IF((MOD($H$26+6,12)&gt;0),MOD($H$26+6,12),12)=J$26,"Y","")</f>
        <v/>
      </c>
      <c r="K52" s="254" t="str">
        <f>IF(IF((MOD($H$26+6,12)&gt;0),MOD($H$26+6,12),12)=K$26,"Y","")</f>
        <v>Y</v>
      </c>
      <c r="L52" s="254" t="str">
        <f>IF(IF((MOD($H$26+6,12)&gt;0),MOD($H$26+6,12),12)=L$26,"Y","")</f>
        <v/>
      </c>
      <c r="M52" s="254" t="str">
        <f>IF(IF((MOD($H$26+6,12)&gt;0),MOD($H$26+6,12),12)=M$26,"Y","")</f>
        <v/>
      </c>
      <c r="O52" s="252" t="str">
        <f t="shared" ca="1" si="21"/>
        <v/>
      </c>
      <c r="P52" s="252" t="str">
        <f t="shared" ca="1" si="22"/>
        <v/>
      </c>
      <c r="Q52" s="252" t="str">
        <f t="shared" ca="1" si="23"/>
        <v>Y</v>
      </c>
      <c r="R52" s="252" t="str">
        <f t="shared" ca="1" si="24"/>
        <v>Y</v>
      </c>
      <c r="S52" s="252" t="str">
        <f t="shared" ca="1" si="25"/>
        <v/>
      </c>
      <c r="T52" s="252" t="str">
        <f t="shared" ca="1" si="26"/>
        <v/>
      </c>
      <c r="U52" s="252" t="str">
        <f t="shared" ca="1" si="27"/>
        <v xml:space="preserve"> </v>
      </c>
      <c r="V52" s="252" t="str">
        <f t="shared" ca="1" si="28"/>
        <v/>
      </c>
      <c r="W52" s="252" t="str">
        <f t="shared" ca="1" si="29"/>
        <v/>
      </c>
      <c r="X52" s="252" t="str">
        <f t="shared" ca="1" si="30"/>
        <v/>
      </c>
      <c r="Y52" s="252" t="str">
        <f t="shared" ca="1" si="31"/>
        <v/>
      </c>
      <c r="Z52" s="252" t="str">
        <f t="shared" ca="1" si="32"/>
        <v xml:space="preserve"> </v>
      </c>
      <c r="AB52" s="254" t="str">
        <f t="shared" ref="AB52:AM52" si="38">IF(IF((MOD($H$26+6,12)&gt;0),MOD($H$26+6,12),12)=AB$26,"Y","")</f>
        <v/>
      </c>
      <c r="AC52" s="254" t="str">
        <f t="shared" si="38"/>
        <v>Y</v>
      </c>
      <c r="AD52" s="254" t="str">
        <f t="shared" si="38"/>
        <v/>
      </c>
      <c r="AE52" s="254" t="str">
        <f t="shared" si="38"/>
        <v/>
      </c>
      <c r="AF52" s="254" t="str">
        <f t="shared" si="38"/>
        <v/>
      </c>
      <c r="AG52" s="254" t="str">
        <f t="shared" si="38"/>
        <v/>
      </c>
      <c r="AH52" s="254" t="str">
        <f t="shared" si="38"/>
        <v/>
      </c>
      <c r="AI52" s="254" t="str">
        <f t="shared" si="38"/>
        <v/>
      </c>
      <c r="AJ52" s="254" t="str">
        <f t="shared" si="38"/>
        <v/>
      </c>
      <c r="AK52" s="254" t="str">
        <f t="shared" si="38"/>
        <v/>
      </c>
      <c r="AL52" s="254" t="str">
        <f t="shared" si="38"/>
        <v/>
      </c>
      <c r="AM52" s="254" t="str">
        <f t="shared" si="38"/>
        <v/>
      </c>
      <c r="AN52" s="1"/>
    </row>
    <row r="53" spans="1:40">
      <c r="A53" s="25" t="str">
        <f>PAC!A53</f>
        <v>Y25</v>
      </c>
      <c r="B53" s="2" t="str">
        <f>PAC!B53</f>
        <v>aspected by</v>
      </c>
      <c r="C53" s="5" t="str">
        <f>PAC!C53</f>
        <v>mars</v>
      </c>
      <c r="D53" s="254" t="str">
        <f>CONCATENATE(IF(IF((MOD($I$26+6,12)&gt;0),MOD($I$26+6,12),12)=D$26,"Y",""),IF(IF((MOD($I$26+3,12)&gt;0),MOD($I$26+3,12),12)=D$26,"Y",""),IF(IF((MOD($I$26+7,12)&gt;0),MOD($I$26+7,12),12)=D$26,"Y",""))</f>
        <v/>
      </c>
      <c r="E53" s="254" t="str">
        <f>CONCATENATE(IF(IF((MOD($I$26+6,12)&gt;0),MOD($I$26+6,12),12)=E$26,"Y",""),IF(IF((MOD($I$26+3,12)&gt;0),MOD($I$26+3,12),12)=E$26,"Y",""),IF(IF((MOD($I$26+7,12)&gt;0),MOD($I$26+7,12),12)=E$26,"Y",""))</f>
        <v/>
      </c>
      <c r="F53" s="254" t="str">
        <f>CONCATENATE(IF(IF((MOD($I$26+6,12)&gt;0),MOD($I$26+6,12),12)=F$26,"Y",""),IF(IF((MOD($I$26+3,12)&gt;0),MOD($I$26+3,12),12)=F$26,"Y",""),IF(IF((MOD($I$26+7,12)&gt;0),MOD($I$26+7,12),12)=F$26,"Y",""))</f>
        <v>Y</v>
      </c>
      <c r="G53" s="254" t="str">
        <f>CONCATENATE(IF(IF((MOD($I$26+6,12)&gt;0),MOD($I$26+6,12),12)=G$26,"Y",""),IF(IF((MOD($I$26+3,12)&gt;0),MOD($I$26+3,12),12)=G$26,"Y",""),IF(IF((MOD($I$26+7,12)&gt;0),MOD($I$26+7,12),12)=G$26,"Y",""))</f>
        <v>Y</v>
      </c>
      <c r="H53" s="254" t="str">
        <f>CONCATENATE(IF(IF((MOD($I$26+6,12)&gt;0),MOD($I$26+6,12),12)=H$26,"Y",""),IF(IF((MOD($I$26+3,12)&gt;0),MOD($I$26+3,12),12)=H$26,"Y",""),IF(IF((MOD($I$26+7,12)&gt;0),MOD($I$26+7,12),12)=H$26,"Y",""))</f>
        <v/>
      </c>
      <c r="I53" s="254"/>
      <c r="J53" s="254" t="str">
        <f>CONCATENATE(IF(IF((MOD($I$26+6,12)&gt;0),MOD($I$26+6,12),12)=J$26,"Y",""),IF(IF((MOD($I$26+3,12)&gt;0),MOD($I$26+3,12),12)=J$26,"Y",""),IF(IF((MOD($I$26+7,12)&gt;0),MOD($I$26+7,12),12)=J$26,"Y",""))</f>
        <v/>
      </c>
      <c r="K53" s="254" t="str">
        <f>CONCATENATE(IF(IF((MOD($I$26+6,12)&gt;0),MOD($I$26+6,12),12)=K$26,"Y",""),IF(IF((MOD($I$26+3,12)&gt;0),MOD($I$26+3,12),12)=K$26,"Y",""),IF(IF((MOD($I$26+7,12)&gt;0),MOD($I$26+7,12),12)=K$26,"Y",""))</f>
        <v/>
      </c>
      <c r="L53" s="254" t="str">
        <f>CONCATENATE(IF(IF((MOD($I$26+6,12)&gt;0),MOD($I$26+6,12),12)=L$26,"Y",""),IF(IF((MOD($I$26+3,12)&gt;0),MOD($I$26+3,12),12)=L$26,"Y",""),IF(IF((MOD($I$26+7,12)&gt;0),MOD($I$26+7,12),12)=L$26,"Y",""))</f>
        <v>Y</v>
      </c>
      <c r="M53" s="254" t="str">
        <f>CONCATENATE(IF(IF((MOD($I$26+6,12)&gt;0),MOD($I$26+6,12),12)=M$26,"Y",""),IF(IF((MOD($I$26+3,12)&gt;0),MOD($I$26+3,12),12)=M$26,"Y",""),IF(IF((MOD($I$26+7,12)&gt;0),MOD($I$26+7,12),12)=M$26,"Y",""))</f>
        <v/>
      </c>
      <c r="O53" s="252" t="str">
        <f t="shared" ca="1" si="21"/>
        <v xml:space="preserve"> </v>
      </c>
      <c r="P53" s="252" t="str">
        <f t="shared" ca="1" si="22"/>
        <v/>
      </c>
      <c r="Q53" s="252" t="str">
        <f t="shared" ca="1" si="23"/>
        <v/>
      </c>
      <c r="R53" s="252" t="str">
        <f t="shared" ca="1" si="24"/>
        <v/>
      </c>
      <c r="S53" s="252" t="str">
        <f t="shared" ca="1" si="25"/>
        <v/>
      </c>
      <c r="T53" s="252" t="str">
        <f t="shared" ca="1" si="26"/>
        <v xml:space="preserve"> </v>
      </c>
      <c r="U53" s="252" t="str">
        <f t="shared" ca="1" si="27"/>
        <v/>
      </c>
      <c r="V53" s="252" t="str">
        <f t="shared" ca="1" si="28"/>
        <v>Y</v>
      </c>
      <c r="W53" s="252" t="str">
        <f t="shared" ca="1" si="29"/>
        <v>Y</v>
      </c>
      <c r="X53" s="252" t="str">
        <f t="shared" ca="1" si="30"/>
        <v/>
      </c>
      <c r="Y53" s="252" t="str">
        <f t="shared" ca="1" si="31"/>
        <v>Y</v>
      </c>
      <c r="Z53" s="252" t="str">
        <f t="shared" ca="1" si="32"/>
        <v/>
      </c>
      <c r="AB53" s="254" t="str">
        <f t="shared" ref="AB53:AM53" si="39">CONCATENATE(IF(IF((MOD($I$26+6,12)&gt;0),MOD($I$26+6,12),12)=AB$26,"Y",""),IF(IF((MOD($I$26+3,12)&gt;0),MOD($I$26+3,12),12)=AB$26,"Y",""),IF(IF((MOD($I$26+7,12)&gt;0),MOD($I$26+7,12),12)=AB$26,"Y",""))</f>
        <v/>
      </c>
      <c r="AC53" s="254" t="str">
        <f t="shared" si="39"/>
        <v/>
      </c>
      <c r="AD53" s="254" t="str">
        <f t="shared" si="39"/>
        <v/>
      </c>
      <c r="AE53" s="254" t="str">
        <f t="shared" si="39"/>
        <v/>
      </c>
      <c r="AF53" s="254" t="str">
        <f t="shared" si="39"/>
        <v/>
      </c>
      <c r="AG53" s="254" t="str">
        <f t="shared" si="39"/>
        <v>Y</v>
      </c>
      <c r="AH53" s="254" t="str">
        <f t="shared" si="39"/>
        <v/>
      </c>
      <c r="AI53" s="254" t="str">
        <f t="shared" si="39"/>
        <v/>
      </c>
      <c r="AJ53" s="254" t="str">
        <f t="shared" si="39"/>
        <v>Y</v>
      </c>
      <c r="AK53" s="254" t="str">
        <f t="shared" si="39"/>
        <v>Y</v>
      </c>
      <c r="AL53" s="254" t="str">
        <f t="shared" si="39"/>
        <v/>
      </c>
      <c r="AM53" s="254" t="str">
        <f t="shared" si="39"/>
        <v/>
      </c>
      <c r="AN53" s="1"/>
    </row>
    <row r="54" spans="1:40">
      <c r="A54" s="25" t="str">
        <f>PAC!A54</f>
        <v>Y26</v>
      </c>
      <c r="B54" s="2" t="str">
        <f>PAC!B54</f>
        <v>aspected by</v>
      </c>
      <c r="C54" s="5" t="str">
        <f>PAC!C54</f>
        <v>jupiter</v>
      </c>
      <c r="D54" s="254" t="str">
        <f t="shared" ref="D54:I54" si="40">CONCATENATE(IF(IF((MOD($J$26+6,12)&gt;0),MOD($J$26+6,12),12)=D$26,"Y",""),IF(IF((MOD($J$26+4,12)&gt;0),MOD($J$26+4,12),12)=D$26,"Y",""),IF(IF((MOD($J$26+8,12)&gt;0),MOD($J$26+8,12),12)=D$26,"Y",""))</f>
        <v/>
      </c>
      <c r="E54" s="254" t="str">
        <f t="shared" si="40"/>
        <v/>
      </c>
      <c r="F54" s="254" t="str">
        <f t="shared" si="40"/>
        <v/>
      </c>
      <c r="G54" s="254" t="str">
        <f t="shared" si="40"/>
        <v>Y</v>
      </c>
      <c r="H54" s="254" t="str">
        <f t="shared" si="40"/>
        <v>Y</v>
      </c>
      <c r="I54" s="254" t="str">
        <f t="shared" si="40"/>
        <v/>
      </c>
      <c r="J54" s="254"/>
      <c r="K54" s="254" t="str">
        <f>CONCATENATE(IF(IF((MOD($J$26+6,12)&gt;0),MOD($J$26+6,12),12)=K$26,"Y",""),IF(IF((MOD($J$26+4,12)&gt;0),MOD($J$26+4,12),12)=K$26,"Y",""),IF(IF((MOD($J$26+8,12)&gt;0),MOD($J$26+8,12),12)=K$26,"Y",""))</f>
        <v/>
      </c>
      <c r="L54" s="254" t="str">
        <f>CONCATENATE(IF(IF((MOD($J$26+6,12)&gt;0),MOD($J$26+6,12),12)=L$26,"Y",""),IF(IF((MOD($J$26+4,12)&gt;0),MOD($J$26+4,12),12)=L$26,"Y",""),IF(IF((MOD($J$26+8,12)&gt;0),MOD($J$26+8,12),12)=L$26,"Y",""))</f>
        <v/>
      </c>
      <c r="M54" s="254" t="str">
        <f>CONCATENATE(IF(IF((MOD($J$26+6,12)&gt;0),MOD($J$26+6,12),12)=M$26,"Y",""),IF(IF((MOD($J$26+4,12)&gt;0),MOD($J$26+4,12),12)=M$26,"Y",""),IF(IF((MOD($J$26+8,12)&gt;0),MOD($J$26+8,12),12)=M$26,"Y",""))</f>
        <v/>
      </c>
      <c r="O54" s="252" t="str">
        <f t="shared" ca="1" si="21"/>
        <v/>
      </c>
      <c r="P54" s="252" t="str">
        <f t="shared" ca="1" si="22"/>
        <v xml:space="preserve"> </v>
      </c>
      <c r="Q54" s="252" t="str">
        <f t="shared" ca="1" si="23"/>
        <v/>
      </c>
      <c r="R54" s="252" t="str">
        <f t="shared" ca="1" si="24"/>
        <v/>
      </c>
      <c r="S54" s="252" t="str">
        <f t="shared" ca="1" si="25"/>
        <v xml:space="preserve"> </v>
      </c>
      <c r="T54" s="252" t="str">
        <f t="shared" ca="1" si="26"/>
        <v/>
      </c>
      <c r="U54" s="252" t="str">
        <f t="shared" ca="1" si="27"/>
        <v>Y</v>
      </c>
      <c r="V54" s="252" t="str">
        <f t="shared" ca="1" si="28"/>
        <v>Y</v>
      </c>
      <c r="W54" s="252" t="str">
        <f t="shared" ca="1" si="29"/>
        <v/>
      </c>
      <c r="X54" s="252" t="str">
        <f t="shared" ca="1" si="30"/>
        <v/>
      </c>
      <c r="Y54" s="252" t="str">
        <f t="shared" ca="1" si="31"/>
        <v>Y</v>
      </c>
      <c r="Z54" s="252" t="str">
        <f t="shared" ca="1" si="32"/>
        <v>Y</v>
      </c>
      <c r="AB54" s="254" t="str">
        <f t="shared" ref="AB54:AM54" si="41">CONCATENATE(IF(IF((MOD($J$26+6,12)&gt;0),MOD($J$26+6,12),12)=AB$26,"Y",""),IF(IF((MOD($J$26+4,12)&gt;0),MOD($J$26+4,12),12)=AB$26,"Y",""),IF(IF((MOD($J$26+8,12)&gt;0),MOD($J$26+8,12),12)=AB$26,"Y",""))</f>
        <v/>
      </c>
      <c r="AC54" s="254" t="str">
        <f t="shared" si="41"/>
        <v/>
      </c>
      <c r="AD54" s="254" t="str">
        <f t="shared" si="41"/>
        <v/>
      </c>
      <c r="AE54" s="254" t="str">
        <f t="shared" si="41"/>
        <v>Y</v>
      </c>
      <c r="AF54" s="254" t="str">
        <f t="shared" si="41"/>
        <v/>
      </c>
      <c r="AG54" s="254" t="str">
        <f t="shared" si="41"/>
        <v>Y</v>
      </c>
      <c r="AH54" s="254" t="str">
        <f t="shared" si="41"/>
        <v/>
      </c>
      <c r="AI54" s="254" t="str">
        <f t="shared" si="41"/>
        <v>Y</v>
      </c>
      <c r="AJ54" s="254" t="str">
        <f t="shared" si="41"/>
        <v/>
      </c>
      <c r="AK54" s="254" t="str">
        <f t="shared" si="41"/>
        <v/>
      </c>
      <c r="AL54" s="254" t="str">
        <f t="shared" si="41"/>
        <v/>
      </c>
      <c r="AM54" s="254" t="str">
        <f t="shared" si="41"/>
        <v/>
      </c>
      <c r="AN54" s="1"/>
    </row>
    <row r="55" spans="1:40">
      <c r="A55" s="25" t="str">
        <f>PAC!A55</f>
        <v>Y27</v>
      </c>
      <c r="B55" s="2" t="str">
        <f>PAC!B55</f>
        <v>aspected by</v>
      </c>
      <c r="C55" s="5" t="str">
        <f>PAC!C55</f>
        <v>saturn</v>
      </c>
      <c r="D55" s="254" t="str">
        <f t="shared" ref="D55:J55" si="42">CONCATENATE(IF(IF((MOD($K$26+6,12)&gt;0),MOD($K$26+6,12),12)=D$26,"Y",""),IF(IF((MOD($K$26+2,12)&gt;0),MOD($K$26+2,12),12)=D$26,"Y",""),IF(IF((MOD($K$26+9,12)&gt;0),MOD($K$26+9,12),12)=D$26,"Y",""))</f>
        <v/>
      </c>
      <c r="E55" s="254" t="str">
        <f t="shared" si="42"/>
        <v/>
      </c>
      <c r="F55" s="254" t="str">
        <f t="shared" si="42"/>
        <v/>
      </c>
      <c r="G55" s="254" t="str">
        <f t="shared" si="42"/>
        <v/>
      </c>
      <c r="H55" s="254" t="str">
        <f t="shared" si="42"/>
        <v>Y</v>
      </c>
      <c r="I55" s="254" t="str">
        <f t="shared" si="42"/>
        <v/>
      </c>
      <c r="J55" s="254" t="str">
        <f t="shared" si="42"/>
        <v/>
      </c>
      <c r="K55" s="254"/>
      <c r="L55" s="254" t="str">
        <f>CONCATENATE(IF(IF((MOD($K$26+6,12)&gt;0),MOD($K$26+6,12),12)=L$26,"Y",""),IF(IF((MOD($K$26+2,12)&gt;0),MOD($K$26+2,12),12)=L$26,"Y",""),IF(IF((MOD($K$26+9,12)&gt;0),MOD($K$26+9,12),12)=L$26,"Y",""))</f>
        <v/>
      </c>
      <c r="M55" s="254" t="str">
        <f>CONCATENATE(IF(IF((MOD($K$26+6,12)&gt;0),MOD($K$26+6,12),12)=M$26,"Y",""),IF(IF((MOD($K$26+2,12)&gt;0),MOD($K$26+2,12),12)=M$26,"Y",""),IF(IF((MOD($K$26+9,12)&gt;0),MOD($K$26+9,12),12)=M$26,"Y",""))</f>
        <v/>
      </c>
      <c r="O55" s="252" t="str">
        <f t="shared" ca="1" si="21"/>
        <v/>
      </c>
      <c r="P55" s="252" t="str">
        <f t="shared" ca="1" si="22"/>
        <v/>
      </c>
      <c r="Q55" s="252" t="str">
        <f t="shared" ca="1" si="23"/>
        <v xml:space="preserve"> </v>
      </c>
      <c r="R55" s="252" t="str">
        <f t="shared" ca="1" si="24"/>
        <v xml:space="preserve"> </v>
      </c>
      <c r="S55" s="252" t="str">
        <f t="shared" ca="1" si="25"/>
        <v/>
      </c>
      <c r="T55" s="252" t="str">
        <f t="shared" ca="1" si="26"/>
        <v/>
      </c>
      <c r="U55" s="252" t="str">
        <f t="shared" ca="1" si="27"/>
        <v>Y</v>
      </c>
      <c r="V55" s="252" t="str">
        <f t="shared" ca="1" si="28"/>
        <v/>
      </c>
      <c r="W55" s="252" t="str">
        <f t="shared" ca="1" si="29"/>
        <v/>
      </c>
      <c r="X55" s="252" t="str">
        <f t="shared" ca="1" si="30"/>
        <v/>
      </c>
      <c r="Y55" s="252" t="str">
        <f t="shared" ca="1" si="31"/>
        <v/>
      </c>
      <c r="Z55" s="252" t="str">
        <f t="shared" ca="1" si="32"/>
        <v>Y</v>
      </c>
      <c r="AB55" s="254" t="str">
        <f t="shared" ref="AB55:AM55" si="43">CONCATENATE(IF(IF((MOD($K$26+6,12)&gt;0),MOD($K$26+6,12),12)=AB$26,"Y",""),IF(IF((MOD($K$26+2,12)&gt;0),MOD($K$26+2,12),12)=AB$26,"Y",""),IF(IF((MOD($K$26+9,12)&gt;0),MOD($K$26+9,12),12)=AB$26,"Y",""))</f>
        <v/>
      </c>
      <c r="AC55" s="254" t="str">
        <f t="shared" si="43"/>
        <v/>
      </c>
      <c r="AD55" s="254" t="str">
        <f t="shared" si="43"/>
        <v/>
      </c>
      <c r="AE55" s="254" t="str">
        <f t="shared" si="43"/>
        <v>Y</v>
      </c>
      <c r="AF55" s="254" t="str">
        <f t="shared" si="43"/>
        <v/>
      </c>
      <c r="AG55" s="254" t="str">
        <f t="shared" si="43"/>
        <v/>
      </c>
      <c r="AH55" s="254" t="str">
        <f t="shared" si="43"/>
        <v/>
      </c>
      <c r="AI55" s="254" t="str">
        <f t="shared" si="43"/>
        <v>Y</v>
      </c>
      <c r="AJ55" s="254" t="str">
        <f t="shared" si="43"/>
        <v/>
      </c>
      <c r="AK55" s="254" t="str">
        <f t="shared" si="43"/>
        <v/>
      </c>
      <c r="AL55" s="254" t="str">
        <f t="shared" si="43"/>
        <v>Y</v>
      </c>
      <c r="AM55" s="254" t="str">
        <f t="shared" si="43"/>
        <v/>
      </c>
      <c r="AN55" s="1"/>
    </row>
    <row r="56" spans="1:40">
      <c r="A56" s="25" t="str">
        <f>PAC!A56</f>
        <v>Y28</v>
      </c>
      <c r="B56" s="2" t="str">
        <f>PAC!B56</f>
        <v>aspected by</v>
      </c>
      <c r="C56" s="5" t="str">
        <f>PAC!C56</f>
        <v>rahu</v>
      </c>
      <c r="D56" s="254" t="str">
        <f t="shared" ref="D56:K56" si="44">IF(IF((MOD($L$26+6,12)&gt;0),MOD($L$26+6,12),12)=D$26,"Y","")</f>
        <v/>
      </c>
      <c r="E56" s="254" t="str">
        <f t="shared" si="44"/>
        <v/>
      </c>
      <c r="F56" s="254" t="str">
        <f t="shared" si="44"/>
        <v/>
      </c>
      <c r="G56" s="254" t="str">
        <f t="shared" si="44"/>
        <v/>
      </c>
      <c r="H56" s="254" t="str">
        <f t="shared" si="44"/>
        <v/>
      </c>
      <c r="I56" s="254" t="str">
        <f t="shared" si="44"/>
        <v>Y</v>
      </c>
      <c r="J56" s="254" t="str">
        <f t="shared" si="44"/>
        <v/>
      </c>
      <c r="K56" s="254" t="str">
        <f t="shared" si="44"/>
        <v/>
      </c>
      <c r="L56" s="254"/>
      <c r="M56" s="254"/>
      <c r="O56" s="252" t="str">
        <f t="shared" ca="1" si="21"/>
        <v>Y</v>
      </c>
      <c r="P56" s="252" t="str">
        <f t="shared" ca="1" si="22"/>
        <v/>
      </c>
      <c r="Q56" s="252" t="str">
        <f t="shared" ca="1" si="23"/>
        <v/>
      </c>
      <c r="R56" s="252" t="str">
        <f t="shared" ca="1" si="24"/>
        <v/>
      </c>
      <c r="S56" s="252" t="str">
        <f t="shared" ca="1" si="25"/>
        <v/>
      </c>
      <c r="T56" s="252" t="str">
        <f t="shared" ca="1" si="26"/>
        <v>Y</v>
      </c>
      <c r="U56" s="252" t="str">
        <f t="shared" ca="1" si="27"/>
        <v/>
      </c>
      <c r="V56" s="252" t="str">
        <f t="shared" ca="1" si="28"/>
        <v/>
      </c>
      <c r="W56" s="252" t="str">
        <f t="shared" ca="1" si="29"/>
        <v/>
      </c>
      <c r="X56" s="252" t="str">
        <f t="shared" ca="1" si="30"/>
        <v/>
      </c>
      <c r="Y56" s="252" t="str">
        <f t="shared" ca="1" si="31"/>
        <v/>
      </c>
      <c r="Z56" s="252" t="str">
        <f t="shared" ca="1" si="32"/>
        <v/>
      </c>
      <c r="AB56" s="254" t="str">
        <f t="shared" ref="AB56:AM56" si="45">IF(IF((MOD($L$26+6,12)&gt;0),MOD($L$26+6,12),12)=AB$26,"Y","")</f>
        <v/>
      </c>
      <c r="AC56" s="254" t="str">
        <f t="shared" si="45"/>
        <v/>
      </c>
      <c r="AD56" s="254" t="str">
        <f t="shared" si="45"/>
        <v>Y</v>
      </c>
      <c r="AE56" s="254" t="str">
        <f t="shared" si="45"/>
        <v/>
      </c>
      <c r="AF56" s="254" t="str">
        <f t="shared" si="45"/>
        <v/>
      </c>
      <c r="AG56" s="254" t="str">
        <f t="shared" si="45"/>
        <v/>
      </c>
      <c r="AH56" s="254" t="str">
        <f t="shared" si="45"/>
        <v/>
      </c>
      <c r="AI56" s="254" t="str">
        <f t="shared" si="45"/>
        <v/>
      </c>
      <c r="AJ56" s="254" t="str">
        <f t="shared" si="45"/>
        <v/>
      </c>
      <c r="AK56" s="254" t="str">
        <f t="shared" si="45"/>
        <v/>
      </c>
      <c r="AL56" s="254" t="str">
        <f t="shared" si="45"/>
        <v/>
      </c>
      <c r="AM56" s="254" t="str">
        <f t="shared" si="45"/>
        <v/>
      </c>
      <c r="AN56" s="1"/>
    </row>
    <row r="57" spans="1:40">
      <c r="A57" s="25" t="str">
        <f>PAC!A57</f>
        <v>Y29</v>
      </c>
      <c r="B57" s="2" t="str">
        <f>PAC!B57</f>
        <v>aspected by</v>
      </c>
      <c r="C57" s="5" t="str">
        <f>PAC!C57</f>
        <v>ketu</v>
      </c>
      <c r="D57" s="254" t="str">
        <f t="shared" ref="D57:K57" si="46">IF(IF((MOD($M$26+6,12)&gt;0),MOD($M$26+6,12),12)=D$26,"Y","")</f>
        <v/>
      </c>
      <c r="E57" s="254" t="str">
        <f t="shared" si="46"/>
        <v/>
      </c>
      <c r="F57" s="254" t="str">
        <f t="shared" si="46"/>
        <v>Y</v>
      </c>
      <c r="G57" s="254" t="str">
        <f t="shared" si="46"/>
        <v/>
      </c>
      <c r="H57" s="254" t="str">
        <f t="shared" si="46"/>
        <v/>
      </c>
      <c r="I57" s="254" t="str">
        <f t="shared" si="46"/>
        <v/>
      </c>
      <c r="J57" s="254" t="str">
        <f t="shared" si="46"/>
        <v/>
      </c>
      <c r="K57" s="254" t="str">
        <f t="shared" si="46"/>
        <v/>
      </c>
      <c r="L57" s="254"/>
      <c r="M57" s="254"/>
      <c r="O57" s="252" t="str">
        <f t="shared" ca="1" si="21"/>
        <v/>
      </c>
      <c r="P57" s="252" t="str">
        <f t="shared" ca="1" si="22"/>
        <v/>
      </c>
      <c r="Q57" s="252" t="str">
        <f t="shared" ca="1" si="23"/>
        <v/>
      </c>
      <c r="R57" s="252" t="str">
        <f t="shared" ca="1" si="24"/>
        <v/>
      </c>
      <c r="S57" s="252" t="str">
        <f t="shared" ca="1" si="25"/>
        <v/>
      </c>
      <c r="T57" s="252" t="str">
        <f t="shared" ca="1" si="26"/>
        <v/>
      </c>
      <c r="U57" s="252" t="str">
        <f t="shared" ca="1" si="27"/>
        <v/>
      </c>
      <c r="V57" s="252" t="str">
        <f t="shared" ca="1" si="28"/>
        <v/>
      </c>
      <c r="W57" s="252" t="str">
        <f t="shared" ca="1" si="29"/>
        <v>Y</v>
      </c>
      <c r="X57" s="252" t="str">
        <f t="shared" ca="1" si="30"/>
        <v/>
      </c>
      <c r="Y57" s="252" t="str">
        <f t="shared" ca="1" si="31"/>
        <v/>
      </c>
      <c r="Z57" s="252" t="str">
        <f t="shared" ca="1" si="32"/>
        <v/>
      </c>
      <c r="AB57" s="254" t="str">
        <f t="shared" ref="AB57:AM57" si="47">IF(IF((MOD($M$26+6,12)&gt;0),MOD($M$26+6,12),12)=AB$26,"Y","")</f>
        <v/>
      </c>
      <c r="AC57" s="254" t="str">
        <f t="shared" si="47"/>
        <v/>
      </c>
      <c r="AD57" s="254" t="str">
        <f t="shared" si="47"/>
        <v/>
      </c>
      <c r="AE57" s="254" t="str">
        <f t="shared" si="47"/>
        <v/>
      </c>
      <c r="AF57" s="254" t="str">
        <f t="shared" si="47"/>
        <v/>
      </c>
      <c r="AG57" s="254" t="str">
        <f t="shared" si="47"/>
        <v/>
      </c>
      <c r="AH57" s="254" t="str">
        <f t="shared" si="47"/>
        <v/>
      </c>
      <c r="AI57" s="254" t="str">
        <f t="shared" si="47"/>
        <v/>
      </c>
      <c r="AJ57" s="254" t="str">
        <f t="shared" si="47"/>
        <v>Y</v>
      </c>
      <c r="AK57" s="254" t="str">
        <f t="shared" si="47"/>
        <v/>
      </c>
      <c r="AL57" s="254" t="str">
        <f t="shared" si="47"/>
        <v/>
      </c>
      <c r="AM57" s="254" t="str">
        <f t="shared" si="47"/>
        <v/>
      </c>
      <c r="AN57" s="1"/>
    </row>
    <row r="58" spans="1:40">
      <c r="A58" s="25"/>
      <c r="B58" s="3"/>
      <c r="C58" s="6"/>
      <c r="O58" s="57"/>
      <c r="P58" s="57"/>
      <c r="Q58" s="57"/>
      <c r="R58" s="57"/>
      <c r="S58" s="57"/>
      <c r="T58" s="57"/>
      <c r="U58" s="57"/>
      <c r="V58" s="57"/>
      <c r="W58" s="57"/>
      <c r="X58" s="57"/>
      <c r="Y58" s="57"/>
      <c r="Z58" s="57"/>
      <c r="AN58" s="1"/>
    </row>
    <row r="59" spans="1:40">
      <c r="A59" s="25" t="str">
        <f>PAC!A59</f>
        <v>Y31</v>
      </c>
      <c r="B59" s="2" t="str">
        <f>PAC!B59</f>
        <v>aspected by</v>
      </c>
      <c r="C59" s="5" t="str">
        <f>PAC!C59</f>
        <v>first lord</v>
      </c>
      <c r="D59" s="254" t="str">
        <f t="shared" ref="D59:M59" ca="1" si="48">IF(ISBLANK(OFFSET(D$48,$O$34,0)),"",OFFSET(D$48,$O$34,0))</f>
        <v/>
      </c>
      <c r="E59" s="254" t="str">
        <f t="shared" ca="1" si="48"/>
        <v/>
      </c>
      <c r="F59" s="254" t="str">
        <f t="shared" ca="1" si="48"/>
        <v>Y</v>
      </c>
      <c r="G59" s="254" t="str">
        <f t="shared" ca="1" si="48"/>
        <v>Y</v>
      </c>
      <c r="H59" s="254" t="str">
        <f t="shared" ca="1" si="48"/>
        <v/>
      </c>
      <c r="I59" s="254" t="str">
        <f t="shared" ca="1" si="48"/>
        <v/>
      </c>
      <c r="J59" s="254" t="str">
        <f t="shared" ca="1" si="48"/>
        <v/>
      </c>
      <c r="K59" s="254" t="str">
        <f t="shared" ca="1" si="48"/>
        <v/>
      </c>
      <c r="L59" s="254" t="str">
        <f t="shared" ca="1" si="48"/>
        <v>Y</v>
      </c>
      <c r="M59" s="254" t="str">
        <f t="shared" ca="1" si="48"/>
        <v/>
      </c>
      <c r="O59" s="252" t="str">
        <f t="shared" ref="O59:O70" ca="1" si="49">IF(ISBLANK(OFFSET(O59,0,-11+O$34))," ",OFFSET(O59,0,-11+O$34))</f>
        <v/>
      </c>
      <c r="P59" s="252" t="str">
        <f t="shared" ref="P59:P70" ca="1" si="50">IF(ISBLANK(OFFSET(P59,0,-12+P$34))," ",OFFSET(P59,0,-12+P$34))</f>
        <v/>
      </c>
      <c r="Q59" s="252" t="str">
        <f t="shared" ref="Q59:Q70" ca="1" si="51">IF(ISBLANK(OFFSET(Q59,0,-13+Q$34))," ",OFFSET(Q59,0,-13+Q$34))</f>
        <v/>
      </c>
      <c r="R59" s="252" t="str">
        <f t="shared" ref="R59:R70" ca="1" si="52">IF(ISBLANK(OFFSET(R59,0,-14+R$34))," ",OFFSET(R59,0,-14+R$34))</f>
        <v/>
      </c>
      <c r="S59" s="252" t="str">
        <f t="shared" ref="S59:S70" ca="1" si="53">IF(ISBLANK(OFFSET(S59,0,-15+S$34))," ",OFFSET(S59,0,-15+S$34))</f>
        <v/>
      </c>
      <c r="T59" s="252" t="str">
        <f t="shared" ref="T59:T70" ca="1" si="54">IF(ISBLANK(OFFSET(T59,0,-16+T$34))," ",OFFSET(T59,0,-16+T$34))</f>
        <v/>
      </c>
      <c r="U59" s="252" t="str">
        <f t="shared" ref="U59:U70" ca="1" si="55">IF(ISBLANK(OFFSET(U59,0,-17+U$34))," ",OFFSET(U59,0,-17+U$34))</f>
        <v/>
      </c>
      <c r="V59" s="252" t="str">
        <f t="shared" ref="V59:V70" ca="1" si="56">IF(ISBLANK(OFFSET(V59,0,-18+V$34))," ",OFFSET(V59,0,-18+V$34))</f>
        <v>Y</v>
      </c>
      <c r="W59" s="252" t="str">
        <f t="shared" ref="W59:W70" ca="1" si="57">IF(ISBLANK(OFFSET(W59,0,-19+W$34))," ",OFFSET(W59,0,-19+W$34))</f>
        <v>Y</v>
      </c>
      <c r="X59" s="252" t="str">
        <f t="shared" ref="X59:X70" ca="1" si="58">IF(ISBLANK(OFFSET(X59,0,-20+X$34))," ",OFFSET(X59,0,-20+X$34))</f>
        <v/>
      </c>
      <c r="Y59" s="252" t="str">
        <f t="shared" ref="Y59:Y70" ca="1" si="59">IF(ISBLANK(OFFSET(Y59,0,-21+Y$34))," ",OFFSET(Y59,0,-21+Y$34))</f>
        <v>Y</v>
      </c>
      <c r="Z59" s="252" t="str">
        <f t="shared" ref="Z59:Z70" ca="1" si="60">IF(ISBLANK(OFFSET(Z59,0,-22+Z$34))," ",OFFSET(Z59,0,-22+Z$34))</f>
        <v/>
      </c>
      <c r="AB59" s="254" t="str">
        <f t="shared" ref="AB59:AM59" ca="1" si="61">IF(ISBLANK(OFFSET(AB$48,$O$34,0)),"",OFFSET(AB$48,$O$34,0))</f>
        <v/>
      </c>
      <c r="AC59" s="254" t="str">
        <f t="shared" ca="1" si="61"/>
        <v/>
      </c>
      <c r="AD59" s="254" t="str">
        <f t="shared" ca="1" si="61"/>
        <v/>
      </c>
      <c r="AE59" s="254" t="str">
        <f t="shared" ca="1" si="61"/>
        <v/>
      </c>
      <c r="AF59" s="254" t="str">
        <f t="shared" ca="1" si="61"/>
        <v/>
      </c>
      <c r="AG59" s="254" t="str">
        <f t="shared" ca="1" si="61"/>
        <v>Y</v>
      </c>
      <c r="AH59" s="254" t="str">
        <f t="shared" ca="1" si="61"/>
        <v/>
      </c>
      <c r="AI59" s="254" t="str">
        <f t="shared" ca="1" si="61"/>
        <v/>
      </c>
      <c r="AJ59" s="254" t="str">
        <f t="shared" ca="1" si="61"/>
        <v>Y</v>
      </c>
      <c r="AK59" s="254" t="str">
        <f t="shared" ca="1" si="61"/>
        <v>Y</v>
      </c>
      <c r="AL59" s="254" t="str">
        <f t="shared" ca="1" si="61"/>
        <v/>
      </c>
      <c r="AM59" s="254" t="str">
        <f t="shared" ca="1" si="61"/>
        <v/>
      </c>
      <c r="AN59" s="1"/>
    </row>
    <row r="60" spans="1:40">
      <c r="A60" s="25" t="str">
        <f>PAC!A60</f>
        <v>Y32</v>
      </c>
      <c r="B60" s="2" t="str">
        <f>PAC!B60</f>
        <v>aspected by</v>
      </c>
      <c r="C60" s="5" t="str">
        <f>PAC!C60</f>
        <v>second lord</v>
      </c>
      <c r="D60" s="254" t="str">
        <f t="shared" ref="D60:M60" ca="1" si="62">IF(ISBLANK(OFFSET(D$48,$P$34,0)),"",OFFSET(D$48,$P$34,0))</f>
        <v/>
      </c>
      <c r="E60" s="254" t="str">
        <f t="shared" ca="1" si="62"/>
        <v/>
      </c>
      <c r="F60" s="254" t="str">
        <f t="shared" ca="1" si="62"/>
        <v/>
      </c>
      <c r="G60" s="254" t="str">
        <f t="shared" ca="1" si="62"/>
        <v>Y</v>
      </c>
      <c r="H60" s="254" t="str">
        <f t="shared" ca="1" si="62"/>
        <v>Y</v>
      </c>
      <c r="I60" s="254" t="str">
        <f t="shared" ca="1" si="62"/>
        <v/>
      </c>
      <c r="J60" s="254" t="str">
        <f t="shared" ca="1" si="62"/>
        <v/>
      </c>
      <c r="K60" s="254" t="str">
        <f t="shared" ca="1" si="62"/>
        <v/>
      </c>
      <c r="L60" s="254" t="str">
        <f t="shared" ca="1" si="62"/>
        <v/>
      </c>
      <c r="M60" s="254" t="str">
        <f t="shared" ca="1" si="62"/>
        <v/>
      </c>
      <c r="O60" s="252" t="str">
        <f t="shared" ca="1" si="49"/>
        <v/>
      </c>
      <c r="P60" s="252" t="str">
        <f t="shared" ca="1" si="50"/>
        <v/>
      </c>
      <c r="Q60" s="252" t="str">
        <f t="shared" ca="1" si="51"/>
        <v/>
      </c>
      <c r="R60" s="252" t="str">
        <f t="shared" ca="1" si="52"/>
        <v/>
      </c>
      <c r="S60" s="252" t="str">
        <f t="shared" ca="1" si="53"/>
        <v/>
      </c>
      <c r="T60" s="252" t="str">
        <f t="shared" ca="1" si="54"/>
        <v/>
      </c>
      <c r="U60" s="252" t="str">
        <f t="shared" ca="1" si="55"/>
        <v>Y</v>
      </c>
      <c r="V60" s="252" t="str">
        <f t="shared" ca="1" si="56"/>
        <v>Y</v>
      </c>
      <c r="W60" s="252" t="str">
        <f t="shared" ca="1" si="57"/>
        <v/>
      </c>
      <c r="X60" s="252" t="str">
        <f t="shared" ca="1" si="58"/>
        <v/>
      </c>
      <c r="Y60" s="252" t="str">
        <f t="shared" ca="1" si="59"/>
        <v>Y</v>
      </c>
      <c r="Z60" s="252" t="str">
        <f t="shared" ca="1" si="60"/>
        <v>Y</v>
      </c>
      <c r="AB60" s="254" t="str">
        <f t="shared" ref="AB60:AM60" ca="1" si="63">IF(ISBLANK(OFFSET(AB$48,$P$34,0)),"",OFFSET(AB$48,$P$34,0))</f>
        <v/>
      </c>
      <c r="AC60" s="254" t="str">
        <f t="shared" ca="1" si="63"/>
        <v/>
      </c>
      <c r="AD60" s="254" t="str">
        <f t="shared" ca="1" si="63"/>
        <v/>
      </c>
      <c r="AE60" s="254" t="str">
        <f t="shared" ca="1" si="63"/>
        <v>Y</v>
      </c>
      <c r="AF60" s="254" t="str">
        <f t="shared" ca="1" si="63"/>
        <v/>
      </c>
      <c r="AG60" s="254" t="str">
        <f t="shared" ca="1" si="63"/>
        <v>Y</v>
      </c>
      <c r="AH60" s="254" t="str">
        <f t="shared" ca="1" si="63"/>
        <v/>
      </c>
      <c r="AI60" s="254" t="str">
        <f t="shared" ca="1" si="63"/>
        <v>Y</v>
      </c>
      <c r="AJ60" s="254" t="str">
        <f t="shared" ca="1" si="63"/>
        <v/>
      </c>
      <c r="AK60" s="254" t="str">
        <f t="shared" ca="1" si="63"/>
        <v/>
      </c>
      <c r="AL60" s="254" t="str">
        <f t="shared" ca="1" si="63"/>
        <v/>
      </c>
      <c r="AM60" s="254" t="str">
        <f t="shared" ca="1" si="63"/>
        <v/>
      </c>
      <c r="AN60" s="1"/>
    </row>
    <row r="61" spans="1:40">
      <c r="A61" s="25" t="str">
        <f>PAC!A61</f>
        <v>Y33</v>
      </c>
      <c r="B61" s="2" t="str">
        <f>PAC!B61</f>
        <v>aspected by</v>
      </c>
      <c r="C61" s="5" t="str">
        <f>PAC!C61</f>
        <v>third lord</v>
      </c>
      <c r="D61" s="254" t="str">
        <f t="shared" ref="D61:M61" ca="1" si="64">IF(ISBLANK(OFFSET(D$48,$Q$34,0)),"",OFFSET(D$48,$Q$34,0))</f>
        <v/>
      </c>
      <c r="E61" s="254" t="str">
        <f t="shared" ca="1" si="64"/>
        <v/>
      </c>
      <c r="F61" s="254" t="str">
        <f t="shared" ca="1" si="64"/>
        <v/>
      </c>
      <c r="G61" s="254" t="str">
        <f t="shared" ca="1" si="64"/>
        <v/>
      </c>
      <c r="H61" s="254" t="str">
        <f t="shared" ca="1" si="64"/>
        <v>Y</v>
      </c>
      <c r="I61" s="254" t="str">
        <f t="shared" ca="1" si="64"/>
        <v/>
      </c>
      <c r="J61" s="254" t="str">
        <f t="shared" ca="1" si="64"/>
        <v/>
      </c>
      <c r="K61" s="254" t="str">
        <f t="shared" ca="1" si="64"/>
        <v/>
      </c>
      <c r="L61" s="254" t="str">
        <f t="shared" ca="1" si="64"/>
        <v/>
      </c>
      <c r="M61" s="254" t="str">
        <f t="shared" ca="1" si="64"/>
        <v/>
      </c>
      <c r="O61" s="252" t="str">
        <f t="shared" ca="1" si="49"/>
        <v/>
      </c>
      <c r="P61" s="252" t="str">
        <f t="shared" ca="1" si="50"/>
        <v/>
      </c>
      <c r="Q61" s="252" t="str">
        <f t="shared" ca="1" si="51"/>
        <v/>
      </c>
      <c r="R61" s="252" t="str">
        <f t="shared" ca="1" si="52"/>
        <v/>
      </c>
      <c r="S61" s="252" t="str">
        <f t="shared" ca="1" si="53"/>
        <v/>
      </c>
      <c r="T61" s="252" t="str">
        <f t="shared" ca="1" si="54"/>
        <v/>
      </c>
      <c r="U61" s="252" t="str">
        <f t="shared" ca="1" si="55"/>
        <v>Y</v>
      </c>
      <c r="V61" s="252" t="str">
        <f t="shared" ca="1" si="56"/>
        <v/>
      </c>
      <c r="W61" s="252" t="str">
        <f t="shared" ca="1" si="57"/>
        <v/>
      </c>
      <c r="X61" s="252" t="str">
        <f t="shared" ca="1" si="58"/>
        <v/>
      </c>
      <c r="Y61" s="252" t="str">
        <f t="shared" ca="1" si="59"/>
        <v/>
      </c>
      <c r="Z61" s="252" t="str">
        <f t="shared" ca="1" si="60"/>
        <v>Y</v>
      </c>
      <c r="AB61" s="254" t="str">
        <f t="shared" ref="AB61:AM61" ca="1" si="65">IF(ISBLANK(OFFSET(AB$48,$Q$34,0)),"",OFFSET(AB$48,$Q$34,0))</f>
        <v/>
      </c>
      <c r="AC61" s="254" t="str">
        <f t="shared" ca="1" si="65"/>
        <v/>
      </c>
      <c r="AD61" s="254" t="str">
        <f t="shared" ca="1" si="65"/>
        <v/>
      </c>
      <c r="AE61" s="254" t="str">
        <f t="shared" ca="1" si="65"/>
        <v>Y</v>
      </c>
      <c r="AF61" s="254" t="str">
        <f t="shared" ca="1" si="65"/>
        <v/>
      </c>
      <c r="AG61" s="254" t="str">
        <f t="shared" ca="1" si="65"/>
        <v/>
      </c>
      <c r="AH61" s="254" t="str">
        <f t="shared" ca="1" si="65"/>
        <v/>
      </c>
      <c r="AI61" s="254" t="str">
        <f t="shared" ca="1" si="65"/>
        <v>Y</v>
      </c>
      <c r="AJ61" s="254" t="str">
        <f t="shared" ca="1" si="65"/>
        <v/>
      </c>
      <c r="AK61" s="254" t="str">
        <f t="shared" ca="1" si="65"/>
        <v/>
      </c>
      <c r="AL61" s="254" t="str">
        <f t="shared" ca="1" si="65"/>
        <v>Y</v>
      </c>
      <c r="AM61" s="254" t="str">
        <f t="shared" ca="1" si="65"/>
        <v/>
      </c>
      <c r="AN61" s="1"/>
    </row>
    <row r="62" spans="1:40">
      <c r="A62" s="25" t="str">
        <f>PAC!A62</f>
        <v>Y34</v>
      </c>
      <c r="B62" s="2" t="str">
        <f>PAC!B62</f>
        <v>aspected by</v>
      </c>
      <c r="C62" s="5" t="str">
        <f>PAC!C62</f>
        <v>fourth lord</v>
      </c>
      <c r="D62" s="254" t="str">
        <f t="shared" ref="D62:M62" ca="1" si="66">IF(ISBLANK(OFFSET(D$48,$R$34,0)),"",OFFSET(D$48,$R$34,0))</f>
        <v/>
      </c>
      <c r="E62" s="254" t="str">
        <f t="shared" ca="1" si="66"/>
        <v/>
      </c>
      <c r="F62" s="254" t="str">
        <f t="shared" ca="1" si="66"/>
        <v/>
      </c>
      <c r="G62" s="254" t="str">
        <f t="shared" ca="1" si="66"/>
        <v/>
      </c>
      <c r="H62" s="254" t="str">
        <f t="shared" ca="1" si="66"/>
        <v>Y</v>
      </c>
      <c r="I62" s="254" t="str">
        <f t="shared" ca="1" si="66"/>
        <v/>
      </c>
      <c r="J62" s="254" t="str">
        <f t="shared" ca="1" si="66"/>
        <v/>
      </c>
      <c r="K62" s="254" t="str">
        <f t="shared" ca="1" si="66"/>
        <v/>
      </c>
      <c r="L62" s="254" t="str">
        <f t="shared" ca="1" si="66"/>
        <v/>
      </c>
      <c r="M62" s="254" t="str">
        <f t="shared" ca="1" si="66"/>
        <v/>
      </c>
      <c r="O62" s="252" t="str">
        <f t="shared" ca="1" si="49"/>
        <v/>
      </c>
      <c r="P62" s="252" t="str">
        <f t="shared" ca="1" si="50"/>
        <v/>
      </c>
      <c r="Q62" s="252" t="str">
        <f t="shared" ca="1" si="51"/>
        <v/>
      </c>
      <c r="R62" s="252" t="str">
        <f t="shared" ca="1" si="52"/>
        <v/>
      </c>
      <c r="S62" s="252" t="str">
        <f t="shared" ca="1" si="53"/>
        <v/>
      </c>
      <c r="T62" s="252" t="str">
        <f t="shared" ca="1" si="54"/>
        <v/>
      </c>
      <c r="U62" s="252" t="str">
        <f t="shared" ca="1" si="55"/>
        <v>Y</v>
      </c>
      <c r="V62" s="252" t="str">
        <f t="shared" ca="1" si="56"/>
        <v/>
      </c>
      <c r="W62" s="252" t="str">
        <f t="shared" ca="1" si="57"/>
        <v/>
      </c>
      <c r="X62" s="252" t="str">
        <f t="shared" ca="1" si="58"/>
        <v/>
      </c>
      <c r="Y62" s="252" t="str">
        <f t="shared" ca="1" si="59"/>
        <v/>
      </c>
      <c r="Z62" s="252" t="str">
        <f t="shared" ca="1" si="60"/>
        <v>Y</v>
      </c>
      <c r="AB62" s="254" t="str">
        <f t="shared" ref="AB62:AM62" ca="1" si="67">IF(ISBLANK(OFFSET(AB$48,$R$34,0)),"",OFFSET(AB$48,$R$34,0))</f>
        <v/>
      </c>
      <c r="AC62" s="254" t="str">
        <f t="shared" ca="1" si="67"/>
        <v/>
      </c>
      <c r="AD62" s="254" t="str">
        <f t="shared" ca="1" si="67"/>
        <v/>
      </c>
      <c r="AE62" s="254" t="str">
        <f t="shared" ca="1" si="67"/>
        <v>Y</v>
      </c>
      <c r="AF62" s="254" t="str">
        <f t="shared" ca="1" si="67"/>
        <v/>
      </c>
      <c r="AG62" s="254" t="str">
        <f t="shared" ca="1" si="67"/>
        <v/>
      </c>
      <c r="AH62" s="254" t="str">
        <f t="shared" ca="1" si="67"/>
        <v/>
      </c>
      <c r="AI62" s="254" t="str">
        <f t="shared" ca="1" si="67"/>
        <v>Y</v>
      </c>
      <c r="AJ62" s="254" t="str">
        <f t="shared" ca="1" si="67"/>
        <v/>
      </c>
      <c r="AK62" s="254" t="str">
        <f t="shared" ca="1" si="67"/>
        <v/>
      </c>
      <c r="AL62" s="254" t="str">
        <f t="shared" ca="1" si="67"/>
        <v>Y</v>
      </c>
      <c r="AM62" s="254" t="str">
        <f t="shared" ca="1" si="67"/>
        <v/>
      </c>
      <c r="AN62" s="1"/>
    </row>
    <row r="63" spans="1:40">
      <c r="A63" s="25" t="str">
        <f>PAC!A63</f>
        <v>Y35</v>
      </c>
      <c r="B63" s="2" t="str">
        <f>PAC!B63</f>
        <v>aspected by</v>
      </c>
      <c r="C63" s="5" t="str">
        <f>PAC!C63</f>
        <v>fifth lord</v>
      </c>
      <c r="D63" s="254" t="str">
        <f t="shared" ref="D63:M63" ca="1" si="68">IF(ISBLANK(OFFSET(D$48,$S$34,0)),"",OFFSET(D$48,$S$34,0))</f>
        <v/>
      </c>
      <c r="E63" s="254" t="str">
        <f t="shared" ca="1" si="68"/>
        <v/>
      </c>
      <c r="F63" s="254" t="str">
        <f t="shared" ca="1" si="68"/>
        <v/>
      </c>
      <c r="G63" s="254" t="str">
        <f t="shared" ca="1" si="68"/>
        <v>Y</v>
      </c>
      <c r="H63" s="254" t="str">
        <f t="shared" ca="1" si="68"/>
        <v>Y</v>
      </c>
      <c r="I63" s="254" t="str">
        <f t="shared" ca="1" si="68"/>
        <v/>
      </c>
      <c r="J63" s="254" t="str">
        <f t="shared" ca="1" si="68"/>
        <v/>
      </c>
      <c r="K63" s="254" t="str">
        <f t="shared" ca="1" si="68"/>
        <v/>
      </c>
      <c r="L63" s="254" t="str">
        <f t="shared" ca="1" si="68"/>
        <v/>
      </c>
      <c r="M63" s="254" t="str">
        <f t="shared" ca="1" si="68"/>
        <v/>
      </c>
      <c r="O63" s="252" t="str">
        <f t="shared" ca="1" si="49"/>
        <v/>
      </c>
      <c r="P63" s="252" t="str">
        <f t="shared" ca="1" si="50"/>
        <v/>
      </c>
      <c r="Q63" s="252" t="str">
        <f t="shared" ca="1" si="51"/>
        <v/>
      </c>
      <c r="R63" s="252" t="str">
        <f t="shared" ca="1" si="52"/>
        <v/>
      </c>
      <c r="S63" s="252" t="str">
        <f t="shared" ca="1" si="53"/>
        <v/>
      </c>
      <c r="T63" s="252" t="str">
        <f t="shared" ca="1" si="54"/>
        <v/>
      </c>
      <c r="U63" s="252" t="str">
        <f t="shared" ca="1" si="55"/>
        <v>Y</v>
      </c>
      <c r="V63" s="252" t="str">
        <f t="shared" ca="1" si="56"/>
        <v>Y</v>
      </c>
      <c r="W63" s="252" t="str">
        <f t="shared" ca="1" si="57"/>
        <v/>
      </c>
      <c r="X63" s="252" t="str">
        <f t="shared" ca="1" si="58"/>
        <v/>
      </c>
      <c r="Y63" s="252" t="str">
        <f t="shared" ca="1" si="59"/>
        <v>Y</v>
      </c>
      <c r="Z63" s="252" t="str">
        <f t="shared" ca="1" si="60"/>
        <v>Y</v>
      </c>
      <c r="AB63" s="254" t="str">
        <f t="shared" ref="AB63:AM63" ca="1" si="69">IF(ISBLANK(OFFSET(AB$48,$S$34,0)),"",OFFSET(AB$48,$S$34,0))</f>
        <v/>
      </c>
      <c r="AC63" s="254" t="str">
        <f t="shared" ca="1" si="69"/>
        <v/>
      </c>
      <c r="AD63" s="254" t="str">
        <f t="shared" ca="1" si="69"/>
        <v/>
      </c>
      <c r="AE63" s="254" t="str">
        <f t="shared" ca="1" si="69"/>
        <v>Y</v>
      </c>
      <c r="AF63" s="254" t="str">
        <f t="shared" ca="1" si="69"/>
        <v/>
      </c>
      <c r="AG63" s="254" t="str">
        <f t="shared" ca="1" si="69"/>
        <v>Y</v>
      </c>
      <c r="AH63" s="254" t="str">
        <f t="shared" ca="1" si="69"/>
        <v/>
      </c>
      <c r="AI63" s="254" t="str">
        <f t="shared" ca="1" si="69"/>
        <v>Y</v>
      </c>
      <c r="AJ63" s="254" t="str">
        <f t="shared" ca="1" si="69"/>
        <v/>
      </c>
      <c r="AK63" s="254" t="str">
        <f t="shared" ca="1" si="69"/>
        <v/>
      </c>
      <c r="AL63" s="254" t="str">
        <f t="shared" ca="1" si="69"/>
        <v/>
      </c>
      <c r="AM63" s="254" t="str">
        <f t="shared" ca="1" si="69"/>
        <v/>
      </c>
      <c r="AN63" s="1"/>
    </row>
    <row r="64" spans="1:40">
      <c r="A64" s="25" t="str">
        <f>PAC!A64</f>
        <v>Y36</v>
      </c>
      <c r="B64" s="2" t="str">
        <f>PAC!B64</f>
        <v>aspected by</v>
      </c>
      <c r="C64" s="5" t="str">
        <f>PAC!C64</f>
        <v>sixth lord</v>
      </c>
      <c r="D64" s="254" t="str">
        <f t="shared" ref="D64:M64" ca="1" si="70">IF(ISBLANK(OFFSET(D$48,$T$34,0)),"",OFFSET(D$48,$T$34,0))</f>
        <v/>
      </c>
      <c r="E64" s="254" t="str">
        <f t="shared" ca="1" si="70"/>
        <v/>
      </c>
      <c r="F64" s="254" t="str">
        <f t="shared" ca="1" si="70"/>
        <v>Y</v>
      </c>
      <c r="G64" s="254" t="str">
        <f t="shared" ca="1" si="70"/>
        <v>Y</v>
      </c>
      <c r="H64" s="254" t="str">
        <f t="shared" ca="1" si="70"/>
        <v/>
      </c>
      <c r="I64" s="254" t="str">
        <f t="shared" ca="1" si="70"/>
        <v/>
      </c>
      <c r="J64" s="254" t="str">
        <f t="shared" ca="1" si="70"/>
        <v/>
      </c>
      <c r="K64" s="254" t="str">
        <f t="shared" ca="1" si="70"/>
        <v/>
      </c>
      <c r="L64" s="254" t="str">
        <f t="shared" ca="1" si="70"/>
        <v>Y</v>
      </c>
      <c r="M64" s="254" t="str">
        <f t="shared" ca="1" si="70"/>
        <v/>
      </c>
      <c r="O64" s="252" t="str">
        <f t="shared" ca="1" si="49"/>
        <v/>
      </c>
      <c r="P64" s="252" t="str">
        <f t="shared" ca="1" si="50"/>
        <v/>
      </c>
      <c r="Q64" s="252" t="str">
        <f t="shared" ca="1" si="51"/>
        <v/>
      </c>
      <c r="R64" s="252" t="str">
        <f t="shared" ca="1" si="52"/>
        <v/>
      </c>
      <c r="S64" s="252" t="str">
        <f t="shared" ca="1" si="53"/>
        <v/>
      </c>
      <c r="T64" s="252" t="str">
        <f t="shared" ca="1" si="54"/>
        <v/>
      </c>
      <c r="U64" s="252" t="str">
        <f t="shared" ca="1" si="55"/>
        <v/>
      </c>
      <c r="V64" s="252" t="str">
        <f t="shared" ca="1" si="56"/>
        <v>Y</v>
      </c>
      <c r="W64" s="252" t="str">
        <f t="shared" ca="1" si="57"/>
        <v>Y</v>
      </c>
      <c r="X64" s="252" t="str">
        <f t="shared" ca="1" si="58"/>
        <v/>
      </c>
      <c r="Y64" s="252" t="str">
        <f t="shared" ca="1" si="59"/>
        <v>Y</v>
      </c>
      <c r="Z64" s="252" t="str">
        <f t="shared" ca="1" si="60"/>
        <v/>
      </c>
      <c r="AB64" s="254" t="str">
        <f t="shared" ref="AB64:AM64" ca="1" si="71">IF(ISBLANK(OFFSET(AB$48,$T$34,0)),"",OFFSET(AB$48,$T$34,0))</f>
        <v/>
      </c>
      <c r="AC64" s="254" t="str">
        <f t="shared" ca="1" si="71"/>
        <v/>
      </c>
      <c r="AD64" s="254" t="str">
        <f t="shared" ca="1" si="71"/>
        <v/>
      </c>
      <c r="AE64" s="254" t="str">
        <f t="shared" ca="1" si="71"/>
        <v/>
      </c>
      <c r="AF64" s="254" t="str">
        <f t="shared" ca="1" si="71"/>
        <v/>
      </c>
      <c r="AG64" s="254" t="str">
        <f t="shared" ca="1" si="71"/>
        <v>Y</v>
      </c>
      <c r="AH64" s="254" t="str">
        <f t="shared" ca="1" si="71"/>
        <v/>
      </c>
      <c r="AI64" s="254" t="str">
        <f t="shared" ca="1" si="71"/>
        <v/>
      </c>
      <c r="AJ64" s="254" t="str">
        <f t="shared" ca="1" si="71"/>
        <v>Y</v>
      </c>
      <c r="AK64" s="254" t="str">
        <f t="shared" ca="1" si="71"/>
        <v>Y</v>
      </c>
      <c r="AL64" s="254" t="str">
        <f t="shared" ca="1" si="71"/>
        <v/>
      </c>
      <c r="AM64" s="254" t="str">
        <f t="shared" ca="1" si="71"/>
        <v/>
      </c>
      <c r="AN64" s="1"/>
    </row>
    <row r="65" spans="1:40">
      <c r="A65" s="25" t="str">
        <f>PAC!A65</f>
        <v>Y37</v>
      </c>
      <c r="B65" s="2" t="str">
        <f>PAC!B65</f>
        <v>aspected by</v>
      </c>
      <c r="C65" s="5" t="str">
        <f>PAC!C65</f>
        <v>seventh lord</v>
      </c>
      <c r="D65" s="254" t="str">
        <f t="shared" ref="D65:M65" ca="1" si="72">IF(ISBLANK(OFFSET(D$48,$U$34,0)),"",OFFSET(D$48,$U$34,0))</f>
        <v/>
      </c>
      <c r="E65" s="254" t="str">
        <f t="shared" ca="1" si="72"/>
        <v/>
      </c>
      <c r="F65" s="254" t="str">
        <f t="shared" ca="1" si="72"/>
        <v/>
      </c>
      <c r="G65" s="254" t="str">
        <f t="shared" ca="1" si="72"/>
        <v/>
      </c>
      <c r="H65" s="254" t="str">
        <f t="shared" ca="1" si="72"/>
        <v/>
      </c>
      <c r="I65" s="254" t="str">
        <f t="shared" ca="1" si="72"/>
        <v/>
      </c>
      <c r="J65" s="254" t="str">
        <f t="shared" ca="1" si="72"/>
        <v/>
      </c>
      <c r="K65" s="254" t="str">
        <f t="shared" ca="1" si="72"/>
        <v>Y</v>
      </c>
      <c r="L65" s="254" t="str">
        <f t="shared" ca="1" si="72"/>
        <v/>
      </c>
      <c r="M65" s="254" t="str">
        <f t="shared" ca="1" si="72"/>
        <v/>
      </c>
      <c r="O65" s="252" t="str">
        <f t="shared" ca="1" si="49"/>
        <v/>
      </c>
      <c r="P65" s="252" t="str">
        <f t="shared" ca="1" si="50"/>
        <v/>
      </c>
      <c r="Q65" s="252" t="str">
        <f t="shared" ca="1" si="51"/>
        <v>Y</v>
      </c>
      <c r="R65" s="252" t="str">
        <f t="shared" ca="1" si="52"/>
        <v>Y</v>
      </c>
      <c r="S65" s="252" t="str">
        <f t="shared" ca="1" si="53"/>
        <v/>
      </c>
      <c r="T65" s="252" t="str">
        <f t="shared" ca="1" si="54"/>
        <v/>
      </c>
      <c r="U65" s="252" t="str">
        <f t="shared" ca="1" si="55"/>
        <v/>
      </c>
      <c r="V65" s="252" t="str">
        <f t="shared" ca="1" si="56"/>
        <v/>
      </c>
      <c r="W65" s="252" t="str">
        <f t="shared" ca="1" si="57"/>
        <v/>
      </c>
      <c r="X65" s="252" t="str">
        <f t="shared" ca="1" si="58"/>
        <v/>
      </c>
      <c r="Y65" s="252" t="str">
        <f t="shared" ca="1" si="59"/>
        <v/>
      </c>
      <c r="Z65" s="252" t="str">
        <f t="shared" ca="1" si="60"/>
        <v/>
      </c>
      <c r="AB65" s="254" t="str">
        <f t="shared" ref="AB65:AM65" ca="1" si="73">IF(ISBLANK(OFFSET(AB$48,$U$34,0)),"",OFFSET(AB$48,$U$34,0))</f>
        <v/>
      </c>
      <c r="AC65" s="254" t="str">
        <f t="shared" ca="1" si="73"/>
        <v>Y</v>
      </c>
      <c r="AD65" s="254" t="str">
        <f t="shared" ca="1" si="73"/>
        <v/>
      </c>
      <c r="AE65" s="254" t="str">
        <f t="shared" ca="1" si="73"/>
        <v/>
      </c>
      <c r="AF65" s="254" t="str">
        <f t="shared" ca="1" si="73"/>
        <v/>
      </c>
      <c r="AG65" s="254" t="str">
        <f t="shared" ca="1" si="73"/>
        <v/>
      </c>
      <c r="AH65" s="254" t="str">
        <f t="shared" ca="1" si="73"/>
        <v/>
      </c>
      <c r="AI65" s="254" t="str">
        <f t="shared" ca="1" si="73"/>
        <v/>
      </c>
      <c r="AJ65" s="254" t="str">
        <f t="shared" ca="1" si="73"/>
        <v/>
      </c>
      <c r="AK65" s="254" t="str">
        <f t="shared" ca="1" si="73"/>
        <v/>
      </c>
      <c r="AL65" s="254" t="str">
        <f t="shared" ca="1" si="73"/>
        <v/>
      </c>
      <c r="AM65" s="254" t="str">
        <f t="shared" ca="1" si="73"/>
        <v/>
      </c>
      <c r="AN65" s="1"/>
    </row>
    <row r="66" spans="1:40">
      <c r="A66" s="25" t="str">
        <f>PAC!A66</f>
        <v>Y38</v>
      </c>
      <c r="B66" s="2" t="str">
        <f>PAC!B66</f>
        <v>aspected by</v>
      </c>
      <c r="C66" s="5" t="str">
        <f>PAC!C66</f>
        <v>eighth lord</v>
      </c>
      <c r="D66" s="254" t="str">
        <f t="shared" ref="D66:M66" ca="1" si="74">IF(ISBLANK(OFFSET(D$48,$V$34,0)),"",OFFSET(D$48,$V$34,0))</f>
        <v/>
      </c>
      <c r="E66" s="254" t="str">
        <f t="shared" ca="1" si="74"/>
        <v/>
      </c>
      <c r="F66" s="254" t="str">
        <f t="shared" ca="1" si="74"/>
        <v/>
      </c>
      <c r="G66" s="254" t="str">
        <f t="shared" ca="1" si="74"/>
        <v/>
      </c>
      <c r="H66" s="254" t="str">
        <f t="shared" ca="1" si="74"/>
        <v/>
      </c>
      <c r="I66" s="254" t="str">
        <f t="shared" ca="1" si="74"/>
        <v/>
      </c>
      <c r="J66" s="254" t="str">
        <f t="shared" ca="1" si="74"/>
        <v>Y</v>
      </c>
      <c r="K66" s="254" t="str">
        <f t="shared" ca="1" si="74"/>
        <v/>
      </c>
      <c r="L66" s="254" t="str">
        <f t="shared" ca="1" si="74"/>
        <v/>
      </c>
      <c r="M66" s="254" t="str">
        <f t="shared" ca="1" si="74"/>
        <v/>
      </c>
      <c r="O66" s="252" t="str">
        <f t="shared" ca="1" si="49"/>
        <v/>
      </c>
      <c r="P66" s="252" t="str">
        <f t="shared" ca="1" si="50"/>
        <v>Y</v>
      </c>
      <c r="Q66" s="252" t="str">
        <f t="shared" ca="1" si="51"/>
        <v/>
      </c>
      <c r="R66" s="252" t="str">
        <f t="shared" ca="1" si="52"/>
        <v/>
      </c>
      <c r="S66" s="252" t="str">
        <f t="shared" ca="1" si="53"/>
        <v>Y</v>
      </c>
      <c r="T66" s="252" t="str">
        <f t="shared" ca="1" si="54"/>
        <v/>
      </c>
      <c r="U66" s="252" t="str">
        <f t="shared" ca="1" si="55"/>
        <v/>
      </c>
      <c r="V66" s="252" t="str">
        <f t="shared" ca="1" si="56"/>
        <v/>
      </c>
      <c r="W66" s="252" t="str">
        <f t="shared" ca="1" si="57"/>
        <v/>
      </c>
      <c r="X66" s="252" t="str">
        <f t="shared" ca="1" si="58"/>
        <v/>
      </c>
      <c r="Y66" s="252" t="str">
        <f t="shared" ca="1" si="59"/>
        <v/>
      </c>
      <c r="Z66" s="252" t="str">
        <f t="shared" ca="1" si="60"/>
        <v/>
      </c>
      <c r="AB66" s="254" t="str">
        <f t="shared" ref="AB66:AM66" ca="1" si="75">IF(ISBLANK(OFFSET(AB$48,$V$34,0)),"",OFFSET(AB$48,$V$34,0))</f>
        <v/>
      </c>
      <c r="AC66" s="254" t="str">
        <f t="shared" ca="1" si="75"/>
        <v/>
      </c>
      <c r="AD66" s="254" t="str">
        <f t="shared" ca="1" si="75"/>
        <v/>
      </c>
      <c r="AE66" s="254" t="str">
        <f t="shared" ca="1" si="75"/>
        <v/>
      </c>
      <c r="AF66" s="254" t="str">
        <f t="shared" ca="1" si="75"/>
        <v/>
      </c>
      <c r="AG66" s="254" t="str">
        <f t="shared" ca="1" si="75"/>
        <v/>
      </c>
      <c r="AH66" s="254" t="str">
        <f t="shared" ca="1" si="75"/>
        <v/>
      </c>
      <c r="AI66" s="254" t="str">
        <f t="shared" ca="1" si="75"/>
        <v/>
      </c>
      <c r="AJ66" s="254" t="str">
        <f t="shared" ca="1" si="75"/>
        <v/>
      </c>
      <c r="AK66" s="254" t="str">
        <f t="shared" ca="1" si="75"/>
        <v/>
      </c>
      <c r="AL66" s="254" t="str">
        <f t="shared" ca="1" si="75"/>
        <v/>
      </c>
      <c r="AM66" s="254" t="str">
        <f t="shared" ca="1" si="75"/>
        <v>Y</v>
      </c>
      <c r="AN66" s="1"/>
    </row>
    <row r="67" spans="1:40">
      <c r="A67" s="25" t="str">
        <f>PAC!A67</f>
        <v>Y39</v>
      </c>
      <c r="B67" s="2" t="str">
        <f>PAC!B67</f>
        <v>aspected by</v>
      </c>
      <c r="C67" s="5" t="str">
        <f>PAC!C67</f>
        <v>ninth lord</v>
      </c>
      <c r="D67" s="254" t="str">
        <f t="shared" ref="D67:M67" ca="1" si="76">IF(ISBLANK(OFFSET(D$48,$W$34,0)),"",OFFSET(D$48,$W$34,0))</f>
        <v/>
      </c>
      <c r="E67" s="254" t="str">
        <f t="shared" ca="1" si="76"/>
        <v/>
      </c>
      <c r="F67" s="254" t="str">
        <f t="shared" ca="1" si="76"/>
        <v/>
      </c>
      <c r="G67" s="254" t="str">
        <f t="shared" ca="1" si="76"/>
        <v/>
      </c>
      <c r="H67" s="254" t="str">
        <f t="shared" ca="1" si="76"/>
        <v/>
      </c>
      <c r="I67" s="254" t="str">
        <f t="shared" ca="1" si="76"/>
        <v>Y</v>
      </c>
      <c r="J67" s="254" t="str">
        <f t="shared" ca="1" si="76"/>
        <v/>
      </c>
      <c r="K67" s="254" t="str">
        <f t="shared" ca="1" si="76"/>
        <v/>
      </c>
      <c r="L67" s="254" t="str">
        <f t="shared" ca="1" si="76"/>
        <v/>
      </c>
      <c r="M67" s="254" t="str">
        <f t="shared" ca="1" si="76"/>
        <v>Y</v>
      </c>
      <c r="O67" s="252" t="str">
        <f t="shared" ca="1" si="49"/>
        <v>Y</v>
      </c>
      <c r="P67" s="252" t="str">
        <f t="shared" ca="1" si="50"/>
        <v/>
      </c>
      <c r="Q67" s="252" t="str">
        <f t="shared" ca="1" si="51"/>
        <v/>
      </c>
      <c r="R67" s="252" t="str">
        <f t="shared" ca="1" si="52"/>
        <v/>
      </c>
      <c r="S67" s="252" t="str">
        <f t="shared" ca="1" si="53"/>
        <v/>
      </c>
      <c r="T67" s="252" t="str">
        <f t="shared" ca="1" si="54"/>
        <v>Y</v>
      </c>
      <c r="U67" s="252" t="str">
        <f t="shared" ca="1" si="55"/>
        <v/>
      </c>
      <c r="V67" s="252" t="str">
        <f t="shared" ca="1" si="56"/>
        <v/>
      </c>
      <c r="W67" s="252" t="str">
        <f t="shared" ca="1" si="57"/>
        <v/>
      </c>
      <c r="X67" s="252" t="str">
        <f t="shared" ca="1" si="58"/>
        <v/>
      </c>
      <c r="Y67" s="252" t="str">
        <f t="shared" ca="1" si="59"/>
        <v/>
      </c>
      <c r="Z67" s="252" t="str">
        <f t="shared" ca="1" si="60"/>
        <v/>
      </c>
      <c r="AB67" s="254" t="str">
        <f t="shared" ref="AB67:AM67" ca="1" si="77">IF(ISBLANK(OFFSET(AB$48,$W$34,0)),"",OFFSET(AB$48,$W$34,0))</f>
        <v/>
      </c>
      <c r="AC67" s="254" t="str">
        <f t="shared" ca="1" si="77"/>
        <v/>
      </c>
      <c r="AD67" s="254" t="str">
        <f t="shared" ca="1" si="77"/>
        <v>Y</v>
      </c>
      <c r="AE67" s="254" t="str">
        <f t="shared" ca="1" si="77"/>
        <v/>
      </c>
      <c r="AF67" s="254" t="str">
        <f t="shared" ca="1" si="77"/>
        <v/>
      </c>
      <c r="AG67" s="254" t="str">
        <f t="shared" ca="1" si="77"/>
        <v/>
      </c>
      <c r="AH67" s="254" t="str">
        <f t="shared" ca="1" si="77"/>
        <v/>
      </c>
      <c r="AI67" s="254" t="str">
        <f t="shared" ca="1" si="77"/>
        <v/>
      </c>
      <c r="AJ67" s="254" t="str">
        <f t="shared" ca="1" si="77"/>
        <v/>
      </c>
      <c r="AK67" s="254" t="str">
        <f t="shared" ca="1" si="77"/>
        <v/>
      </c>
      <c r="AL67" s="254" t="str">
        <f t="shared" ca="1" si="77"/>
        <v/>
      </c>
      <c r="AM67" s="254" t="str">
        <f t="shared" ca="1" si="77"/>
        <v/>
      </c>
      <c r="AN67" s="1"/>
    </row>
    <row r="68" spans="1:40">
      <c r="A68" s="25" t="str">
        <f>PAC!A68</f>
        <v>Y40</v>
      </c>
      <c r="B68" s="2" t="str">
        <f>PAC!B68</f>
        <v>aspected by</v>
      </c>
      <c r="C68" s="5" t="str">
        <f>PAC!C68</f>
        <v>tenth lord</v>
      </c>
      <c r="D68" s="254" t="str">
        <f t="shared" ref="D68:M68" ca="1" si="78">IF(ISBLANK(OFFSET(D$48,$X$34,0)),"",OFFSET(D$48,$X$34,0))</f>
        <v>Y</v>
      </c>
      <c r="E68" s="254" t="str">
        <f t="shared" ca="1" si="78"/>
        <v/>
      </c>
      <c r="F68" s="254" t="str">
        <f t="shared" ca="1" si="78"/>
        <v/>
      </c>
      <c r="G68" s="254" t="str">
        <f t="shared" ca="1" si="78"/>
        <v/>
      </c>
      <c r="H68" s="254" t="str">
        <f t="shared" ca="1" si="78"/>
        <v/>
      </c>
      <c r="I68" s="254" t="str">
        <f t="shared" ca="1" si="78"/>
        <v/>
      </c>
      <c r="J68" s="254" t="str">
        <f t="shared" ca="1" si="78"/>
        <v/>
      </c>
      <c r="K68" s="254" t="str">
        <f t="shared" ca="1" si="78"/>
        <v/>
      </c>
      <c r="L68" s="254" t="str">
        <f t="shared" ca="1" si="78"/>
        <v/>
      </c>
      <c r="M68" s="254" t="str">
        <f t="shared" ca="1" si="78"/>
        <v/>
      </c>
      <c r="O68" s="252" t="str">
        <f t="shared" ca="1" si="49"/>
        <v/>
      </c>
      <c r="P68" s="252" t="str">
        <f t="shared" ca="1" si="50"/>
        <v/>
      </c>
      <c r="Q68" s="252" t="str">
        <f t="shared" ca="1" si="51"/>
        <v/>
      </c>
      <c r="R68" s="252" t="str">
        <f t="shared" ca="1" si="52"/>
        <v/>
      </c>
      <c r="S68" s="252" t="str">
        <f t="shared" ca="1" si="53"/>
        <v/>
      </c>
      <c r="T68" s="252" t="str">
        <f t="shared" ca="1" si="54"/>
        <v/>
      </c>
      <c r="U68" s="252" t="str">
        <f t="shared" ca="1" si="55"/>
        <v/>
      </c>
      <c r="V68" s="252" t="str">
        <f t="shared" ca="1" si="56"/>
        <v/>
      </c>
      <c r="W68" s="252" t="str">
        <f t="shared" ca="1" si="57"/>
        <v/>
      </c>
      <c r="X68" s="252" t="str">
        <f t="shared" ca="1" si="58"/>
        <v/>
      </c>
      <c r="Y68" s="252" t="str">
        <f t="shared" ca="1" si="59"/>
        <v/>
      </c>
      <c r="Z68" s="252" t="str">
        <f t="shared" ca="1" si="60"/>
        <v/>
      </c>
      <c r="AB68" s="254" t="str">
        <f t="shared" ref="AB68:AM68" ca="1" si="79">IF(ISBLANK(OFFSET(AB$48,$X$34,0)),"",OFFSET(AB$48,$X$34,0))</f>
        <v>Y</v>
      </c>
      <c r="AC68" s="254" t="str">
        <f t="shared" ca="1" si="79"/>
        <v/>
      </c>
      <c r="AD68" s="254" t="str">
        <f t="shared" ca="1" si="79"/>
        <v/>
      </c>
      <c r="AE68" s="254" t="str">
        <f t="shared" ca="1" si="79"/>
        <v/>
      </c>
      <c r="AF68" s="254" t="str">
        <f t="shared" ca="1" si="79"/>
        <v/>
      </c>
      <c r="AG68" s="254" t="str">
        <f t="shared" ca="1" si="79"/>
        <v/>
      </c>
      <c r="AH68" s="254" t="str">
        <f t="shared" ca="1" si="79"/>
        <v/>
      </c>
      <c r="AI68" s="254" t="str">
        <f t="shared" ca="1" si="79"/>
        <v/>
      </c>
      <c r="AJ68" s="254" t="str">
        <f t="shared" ca="1" si="79"/>
        <v/>
      </c>
      <c r="AK68" s="254" t="str">
        <f t="shared" ca="1" si="79"/>
        <v/>
      </c>
      <c r="AL68" s="254" t="str">
        <f t="shared" ca="1" si="79"/>
        <v/>
      </c>
      <c r="AM68" s="254" t="str">
        <f t="shared" ca="1" si="79"/>
        <v/>
      </c>
      <c r="AN68" s="1"/>
    </row>
    <row r="69" spans="1:40">
      <c r="A69" s="25" t="str">
        <f>PAC!A69</f>
        <v>Y41</v>
      </c>
      <c r="B69" s="2" t="str">
        <f>PAC!B69</f>
        <v>aspected by</v>
      </c>
      <c r="C69" s="5" t="str">
        <f>PAC!C69</f>
        <v>eleventh lord</v>
      </c>
      <c r="D69" s="254" t="str">
        <f t="shared" ref="D69:M69" ca="1" si="80">IF(ISBLANK(OFFSET(D$48,$Y$34,0)),"",OFFSET(D$48,$Y$34,0))</f>
        <v/>
      </c>
      <c r="E69" s="254" t="str">
        <f t="shared" ca="1" si="80"/>
        <v/>
      </c>
      <c r="F69" s="254" t="str">
        <f t="shared" ca="1" si="80"/>
        <v/>
      </c>
      <c r="G69" s="254" t="str">
        <f t="shared" ca="1" si="80"/>
        <v/>
      </c>
      <c r="H69" s="254" t="str">
        <f t="shared" ca="1" si="80"/>
        <v/>
      </c>
      <c r="I69" s="254" t="str">
        <f t="shared" ca="1" si="80"/>
        <v/>
      </c>
      <c r="J69" s="254" t="str">
        <f t="shared" ca="1" si="80"/>
        <v>Y</v>
      </c>
      <c r="K69" s="254" t="str">
        <f t="shared" ca="1" si="80"/>
        <v/>
      </c>
      <c r="L69" s="254" t="str">
        <f t="shared" ca="1" si="80"/>
        <v/>
      </c>
      <c r="M69" s="254" t="str">
        <f t="shared" ca="1" si="80"/>
        <v/>
      </c>
      <c r="O69" s="252" t="str">
        <f t="shared" ca="1" si="49"/>
        <v/>
      </c>
      <c r="P69" s="252" t="str">
        <f t="shared" ca="1" si="50"/>
        <v>Y</v>
      </c>
      <c r="Q69" s="252" t="str">
        <f t="shared" ca="1" si="51"/>
        <v/>
      </c>
      <c r="R69" s="252" t="str">
        <f t="shared" ca="1" si="52"/>
        <v/>
      </c>
      <c r="S69" s="252" t="str">
        <f t="shared" ca="1" si="53"/>
        <v>Y</v>
      </c>
      <c r="T69" s="252" t="str">
        <f t="shared" ca="1" si="54"/>
        <v/>
      </c>
      <c r="U69" s="252" t="str">
        <f t="shared" ca="1" si="55"/>
        <v/>
      </c>
      <c r="V69" s="252" t="str">
        <f t="shared" ca="1" si="56"/>
        <v/>
      </c>
      <c r="W69" s="252" t="str">
        <f t="shared" ca="1" si="57"/>
        <v/>
      </c>
      <c r="X69" s="252" t="str">
        <f t="shared" ca="1" si="58"/>
        <v/>
      </c>
      <c r="Y69" s="252" t="str">
        <f t="shared" ca="1" si="59"/>
        <v/>
      </c>
      <c r="Z69" s="252" t="str">
        <f t="shared" ca="1" si="60"/>
        <v/>
      </c>
      <c r="AB69" s="254" t="str">
        <f t="shared" ref="AB69:AM69" ca="1" si="81">IF(ISBLANK(OFFSET(AB$48,$Y$34,0)),"",OFFSET(AB$48,$Y$34,0))</f>
        <v/>
      </c>
      <c r="AC69" s="254" t="str">
        <f t="shared" ca="1" si="81"/>
        <v/>
      </c>
      <c r="AD69" s="254" t="str">
        <f t="shared" ca="1" si="81"/>
        <v/>
      </c>
      <c r="AE69" s="254" t="str">
        <f t="shared" ca="1" si="81"/>
        <v/>
      </c>
      <c r="AF69" s="254" t="str">
        <f t="shared" ca="1" si="81"/>
        <v/>
      </c>
      <c r="AG69" s="254" t="str">
        <f t="shared" ca="1" si="81"/>
        <v/>
      </c>
      <c r="AH69" s="254" t="str">
        <f t="shared" ca="1" si="81"/>
        <v/>
      </c>
      <c r="AI69" s="254" t="str">
        <f t="shared" ca="1" si="81"/>
        <v/>
      </c>
      <c r="AJ69" s="254" t="str">
        <f t="shared" ca="1" si="81"/>
        <v/>
      </c>
      <c r="AK69" s="254" t="str">
        <f t="shared" ca="1" si="81"/>
        <v/>
      </c>
      <c r="AL69" s="254" t="str">
        <f t="shared" ca="1" si="81"/>
        <v/>
      </c>
      <c r="AM69" s="254" t="str">
        <f t="shared" ca="1" si="81"/>
        <v>Y</v>
      </c>
      <c r="AN69" s="1"/>
    </row>
    <row r="70" spans="1:40">
      <c r="A70" s="25" t="str">
        <f>PAC!A70</f>
        <v>Y42</v>
      </c>
      <c r="B70" s="2" t="str">
        <f>PAC!B70</f>
        <v>aspected by</v>
      </c>
      <c r="C70" s="5" t="str">
        <f>PAC!C70</f>
        <v>twelveth lord</v>
      </c>
      <c r="D70" s="254" t="str">
        <f t="shared" ref="D70:M70" ca="1" si="82">IF(ISBLANK(OFFSET(D$48,$Z$34,0)),"",OFFSET(D$48,$Z$34,0))</f>
        <v/>
      </c>
      <c r="E70" s="254" t="str">
        <f t="shared" ca="1" si="82"/>
        <v/>
      </c>
      <c r="F70" s="254" t="str">
        <f t="shared" ca="1" si="82"/>
        <v/>
      </c>
      <c r="G70" s="254" t="str">
        <f t="shared" ca="1" si="82"/>
        <v/>
      </c>
      <c r="H70" s="254" t="str">
        <f t="shared" ca="1" si="82"/>
        <v/>
      </c>
      <c r="I70" s="254" t="str">
        <f t="shared" ca="1" si="82"/>
        <v/>
      </c>
      <c r="J70" s="254" t="str">
        <f t="shared" ca="1" si="82"/>
        <v/>
      </c>
      <c r="K70" s="254" t="str">
        <f t="shared" ca="1" si="82"/>
        <v>Y</v>
      </c>
      <c r="L70" s="254" t="str">
        <f t="shared" ca="1" si="82"/>
        <v/>
      </c>
      <c r="M70" s="254" t="str">
        <f t="shared" ca="1" si="82"/>
        <v/>
      </c>
      <c r="O70" s="252" t="str">
        <f t="shared" ca="1" si="49"/>
        <v/>
      </c>
      <c r="P70" s="252" t="str">
        <f t="shared" ca="1" si="50"/>
        <v/>
      </c>
      <c r="Q70" s="252" t="str">
        <f t="shared" ca="1" si="51"/>
        <v>Y</v>
      </c>
      <c r="R70" s="252" t="str">
        <f t="shared" ca="1" si="52"/>
        <v>Y</v>
      </c>
      <c r="S70" s="252" t="str">
        <f t="shared" ca="1" si="53"/>
        <v/>
      </c>
      <c r="T70" s="252" t="str">
        <f t="shared" ca="1" si="54"/>
        <v/>
      </c>
      <c r="U70" s="252" t="str">
        <f t="shared" ca="1" si="55"/>
        <v/>
      </c>
      <c r="V70" s="252" t="str">
        <f t="shared" ca="1" si="56"/>
        <v/>
      </c>
      <c r="W70" s="252" t="str">
        <f t="shared" ca="1" si="57"/>
        <v/>
      </c>
      <c r="X70" s="252" t="str">
        <f t="shared" ca="1" si="58"/>
        <v/>
      </c>
      <c r="Y70" s="252" t="str">
        <f t="shared" ca="1" si="59"/>
        <v/>
      </c>
      <c r="Z70" s="252" t="str">
        <f t="shared" ca="1" si="60"/>
        <v/>
      </c>
      <c r="AB70" s="254" t="str">
        <f t="shared" ref="AB70:AM70" ca="1" si="83">IF(ISBLANK(OFFSET(AB$48,$Z$34,0)),"",OFFSET(AB$48,$Z$34,0))</f>
        <v/>
      </c>
      <c r="AC70" s="254" t="str">
        <f t="shared" ca="1" si="83"/>
        <v>Y</v>
      </c>
      <c r="AD70" s="254" t="str">
        <f t="shared" ca="1" si="83"/>
        <v/>
      </c>
      <c r="AE70" s="254" t="str">
        <f t="shared" ca="1" si="83"/>
        <v/>
      </c>
      <c r="AF70" s="254" t="str">
        <f t="shared" ca="1" si="83"/>
        <v/>
      </c>
      <c r="AG70" s="254" t="str">
        <f t="shared" ca="1" si="83"/>
        <v/>
      </c>
      <c r="AH70" s="254" t="str">
        <f t="shared" ca="1" si="83"/>
        <v/>
      </c>
      <c r="AI70" s="254" t="str">
        <f t="shared" ca="1" si="83"/>
        <v/>
      </c>
      <c r="AJ70" s="254" t="str">
        <f t="shared" ca="1" si="83"/>
        <v/>
      </c>
      <c r="AK70" s="254" t="str">
        <f t="shared" ca="1" si="83"/>
        <v/>
      </c>
      <c r="AL70" s="254" t="str">
        <f t="shared" ca="1" si="83"/>
        <v/>
      </c>
      <c r="AM70" s="254" t="str">
        <f t="shared" ca="1" si="83"/>
        <v/>
      </c>
      <c r="AN70" s="1"/>
    </row>
    <row r="71" spans="1:40">
      <c r="A71" s="25"/>
      <c r="C71" s="15"/>
    </row>
    <row r="72" spans="1:40" ht="16.2" thickBot="1">
      <c r="A72" s="25"/>
      <c r="B72" s="56" t="s">
        <v>140</v>
      </c>
      <c r="C72" s="51"/>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1"/>
    </row>
    <row r="73" spans="1:40">
      <c r="A73" s="25"/>
      <c r="B73" s="3"/>
      <c r="C73" s="4"/>
      <c r="AN73" s="1"/>
    </row>
    <row r="74" spans="1:40">
      <c r="A74" s="25" t="str">
        <f>PAC!A74</f>
        <v>Y51</v>
      </c>
      <c r="B74" s="2" t="str">
        <f>PAC!B74</f>
        <v>conjunct with</v>
      </c>
      <c r="C74" s="5" t="str">
        <f>PAC!C74</f>
        <v>sun</v>
      </c>
      <c r="D74" s="254" t="str">
        <f>IF((D$26=$E$26),"Y","")</f>
        <v/>
      </c>
      <c r="E74" s="254"/>
      <c r="F74" s="254" t="str">
        <f t="shared" ref="F74:M74" si="84">IF((F$26=$E$26),"Y","")</f>
        <v/>
      </c>
      <c r="G74" s="254" t="str">
        <f t="shared" si="84"/>
        <v/>
      </c>
      <c r="H74" s="254" t="str">
        <f t="shared" si="84"/>
        <v/>
      </c>
      <c r="I74" s="254" t="str">
        <f t="shared" si="84"/>
        <v/>
      </c>
      <c r="J74" s="254" t="str">
        <f t="shared" si="84"/>
        <v/>
      </c>
      <c r="K74" s="254" t="str">
        <f t="shared" si="84"/>
        <v/>
      </c>
      <c r="L74" s="254" t="str">
        <f t="shared" si="84"/>
        <v/>
      </c>
      <c r="M74" s="254" t="str">
        <f t="shared" si="84"/>
        <v/>
      </c>
      <c r="O74" s="252" t="str">
        <f t="shared" ref="O74:O82" ca="1" si="85">IF(ISBLANK(OFFSET(O74,0,-11+O$34))," ",OFFSET(O74,0,-11+O$34))</f>
        <v/>
      </c>
      <c r="P74" s="252" t="str">
        <f t="shared" ref="P74:P82" ca="1" si="86">IF(ISBLANK(OFFSET(P74,0,-12+P$34))," ",OFFSET(P74,0,-12+P$34))</f>
        <v/>
      </c>
      <c r="Q74" s="252" t="str">
        <f t="shared" ref="Q74:Q82" ca="1" si="87">IF(ISBLANK(OFFSET(Q74,0,-13+Q$34))," ",OFFSET(Q74,0,-13+Q$34))</f>
        <v/>
      </c>
      <c r="R74" s="252" t="str">
        <f t="shared" ref="R74:R82" ca="1" si="88">IF(ISBLANK(OFFSET(R74,0,-14+R$34))," ",OFFSET(R74,0,-14+R$34))</f>
        <v/>
      </c>
      <c r="S74" s="252" t="str">
        <f t="shared" ref="S74:S82" ca="1" si="89">IF(ISBLANK(OFFSET(S74,0,-15+S$34))," ",OFFSET(S74,0,-15+S$34))</f>
        <v/>
      </c>
      <c r="T74" s="252" t="str">
        <f t="shared" ref="T74:T82" ca="1" si="90">IF(ISBLANK(OFFSET(T74,0,-16+T$34))," ",OFFSET(T74,0,-16+T$34))</f>
        <v/>
      </c>
      <c r="U74" s="252" t="str">
        <f t="shared" ref="U74:U82" ca="1" si="91">IF(ISBLANK(OFFSET(U74,0,-17+U$34))," ",OFFSET(U74,0,-17+U$34))</f>
        <v/>
      </c>
      <c r="V74" s="252" t="str">
        <f t="shared" ref="V74:V82" ca="1" si="92">IF(ISBLANK(OFFSET(V74,0,-18+V$34))," ",OFFSET(V74,0,-18+V$34))</f>
        <v/>
      </c>
      <c r="W74" s="252" t="str">
        <f t="shared" ref="W74:W82" ca="1" si="93">IF(ISBLANK(OFFSET(W74,0,-19+W$34))," ",OFFSET(W74,0,-19+W$34))</f>
        <v/>
      </c>
      <c r="X74" s="252" t="str">
        <f t="shared" ref="X74:X82" ca="1" si="94">IF(ISBLANK(OFFSET(X74,0,-20+X$34))," ",OFFSET(X74,0,-20+X$34))</f>
        <v xml:space="preserve"> </v>
      </c>
      <c r="Y74" s="252" t="str">
        <f t="shared" ref="Y74:Y82" ca="1" si="95">IF(ISBLANK(OFFSET(Y74,0,-21+Y$34))," ",OFFSET(Y74,0,-21+Y$34))</f>
        <v/>
      </c>
      <c r="Z74" s="252" t="str">
        <f t="shared" ref="Z74:Z82" ca="1" si="96">IF(ISBLANK(OFFSET(Z74,0,-22+Z$34))," ",OFFSET(Z74,0,-22+Z$34))</f>
        <v/>
      </c>
      <c r="AB74" s="151"/>
      <c r="AC74" s="151"/>
      <c r="AD74" s="151"/>
      <c r="AE74" s="151"/>
      <c r="AF74" s="151"/>
      <c r="AG74" s="151"/>
      <c r="AH74" s="151"/>
      <c r="AI74" s="151"/>
      <c r="AJ74" s="151"/>
      <c r="AK74" s="151"/>
      <c r="AL74" s="151"/>
      <c r="AM74" s="151"/>
      <c r="AN74" s="1"/>
    </row>
    <row r="75" spans="1:40">
      <c r="A75" s="25" t="str">
        <f>PAC!A75</f>
        <v>Y52</v>
      </c>
      <c r="B75" s="2" t="str">
        <f>PAC!B75</f>
        <v>conjunct with</v>
      </c>
      <c r="C75" s="5" t="str">
        <f>PAC!C75</f>
        <v xml:space="preserve">moon </v>
      </c>
      <c r="D75" s="254" t="str">
        <f>IF((D$26=$F$26),"Y","")</f>
        <v/>
      </c>
      <c r="E75" s="254" t="str">
        <f>IF((E$26=$F$26),"Y","")</f>
        <v/>
      </c>
      <c r="F75" s="254"/>
      <c r="G75" s="254" t="str">
        <f t="shared" ref="G75:M75" si="97">IF((G$26=$F$26),"Y","")</f>
        <v/>
      </c>
      <c r="H75" s="254" t="str">
        <f t="shared" si="97"/>
        <v/>
      </c>
      <c r="I75" s="254" t="str">
        <f t="shared" si="97"/>
        <v/>
      </c>
      <c r="J75" s="254" t="str">
        <f t="shared" si="97"/>
        <v/>
      </c>
      <c r="K75" s="254" t="str">
        <f t="shared" si="97"/>
        <v/>
      </c>
      <c r="L75" s="254" t="str">
        <f t="shared" si="97"/>
        <v>Y</v>
      </c>
      <c r="M75" s="254" t="str">
        <f t="shared" si="97"/>
        <v/>
      </c>
      <c r="O75" s="252" t="str">
        <f t="shared" ca="1" si="85"/>
        <v/>
      </c>
      <c r="P75" s="252" t="str">
        <f t="shared" ca="1" si="86"/>
        <v/>
      </c>
      <c r="Q75" s="252" t="str">
        <f t="shared" ca="1" si="87"/>
        <v/>
      </c>
      <c r="R75" s="252" t="str">
        <f t="shared" ca="1" si="88"/>
        <v/>
      </c>
      <c r="S75" s="252" t="str">
        <f t="shared" ca="1" si="89"/>
        <v/>
      </c>
      <c r="T75" s="252" t="str">
        <f t="shared" ca="1" si="90"/>
        <v/>
      </c>
      <c r="U75" s="252" t="str">
        <f t="shared" ca="1" si="91"/>
        <v/>
      </c>
      <c r="V75" s="252" t="str">
        <f t="shared" ca="1" si="92"/>
        <v/>
      </c>
      <c r="W75" s="252" t="str">
        <f t="shared" ca="1" si="93"/>
        <v xml:space="preserve"> </v>
      </c>
      <c r="X75" s="252" t="str">
        <f t="shared" ca="1" si="94"/>
        <v/>
      </c>
      <c r="Y75" s="252" t="str">
        <f t="shared" ca="1" si="95"/>
        <v/>
      </c>
      <c r="Z75" s="252" t="str">
        <f t="shared" ca="1" si="96"/>
        <v/>
      </c>
      <c r="AB75" s="151"/>
      <c r="AC75" s="151"/>
      <c r="AD75" s="151"/>
      <c r="AE75" s="151"/>
      <c r="AF75" s="151"/>
      <c r="AG75" s="151"/>
      <c r="AH75" s="151"/>
      <c r="AI75" s="151"/>
      <c r="AJ75" s="151"/>
      <c r="AK75" s="151"/>
      <c r="AL75" s="151"/>
      <c r="AM75" s="151"/>
      <c r="AN75" s="1"/>
    </row>
    <row r="76" spans="1:40">
      <c r="A76" s="25" t="str">
        <f>PAC!A76</f>
        <v>Y53</v>
      </c>
      <c r="B76" s="2" t="str">
        <f>PAC!B76</f>
        <v>conjunct with</v>
      </c>
      <c r="C76" s="5" t="str">
        <f>PAC!C76</f>
        <v>mercury</v>
      </c>
      <c r="D76" s="254" t="str">
        <f>IF((D$26=$G$26),"Y","")</f>
        <v/>
      </c>
      <c r="E76" s="254" t="str">
        <f>IF((E$26=$G$26),"Y","")</f>
        <v/>
      </c>
      <c r="F76" s="254" t="str">
        <f>IF((F$26=$G$26),"Y","")</f>
        <v/>
      </c>
      <c r="G76" s="254"/>
      <c r="H76" s="254" t="str">
        <f t="shared" ref="H76:M76" si="98">IF((H$26=$G$26),"Y","")</f>
        <v/>
      </c>
      <c r="I76" s="254" t="str">
        <f t="shared" si="98"/>
        <v/>
      </c>
      <c r="J76" s="254" t="str">
        <f t="shared" si="98"/>
        <v/>
      </c>
      <c r="K76" s="254" t="str">
        <f t="shared" si="98"/>
        <v/>
      </c>
      <c r="L76" s="254" t="str">
        <f t="shared" si="98"/>
        <v/>
      </c>
      <c r="M76" s="254" t="str">
        <f t="shared" si="98"/>
        <v/>
      </c>
      <c r="O76" s="252" t="str">
        <f t="shared" ca="1" si="85"/>
        <v/>
      </c>
      <c r="P76" s="252" t="str">
        <f t="shared" ca="1" si="86"/>
        <v/>
      </c>
      <c r="Q76" s="252" t="str">
        <f t="shared" ca="1" si="87"/>
        <v/>
      </c>
      <c r="R76" s="252" t="str">
        <f t="shared" ca="1" si="88"/>
        <v/>
      </c>
      <c r="S76" s="252" t="str">
        <f t="shared" ca="1" si="89"/>
        <v/>
      </c>
      <c r="T76" s="252" t="str">
        <f t="shared" ca="1" si="90"/>
        <v/>
      </c>
      <c r="U76" s="252" t="str">
        <f t="shared" ca="1" si="91"/>
        <v/>
      </c>
      <c r="V76" s="252" t="str">
        <f t="shared" ca="1" si="92"/>
        <v xml:space="preserve"> </v>
      </c>
      <c r="W76" s="252" t="str">
        <f t="shared" ca="1" si="93"/>
        <v/>
      </c>
      <c r="X76" s="252" t="str">
        <f t="shared" ca="1" si="94"/>
        <v/>
      </c>
      <c r="Y76" s="252" t="str">
        <f t="shared" ca="1" si="95"/>
        <v xml:space="preserve"> </v>
      </c>
      <c r="Z76" s="252" t="str">
        <f t="shared" ca="1" si="96"/>
        <v/>
      </c>
      <c r="AB76" s="151"/>
      <c r="AC76" s="151"/>
      <c r="AD76" s="151"/>
      <c r="AE76" s="151"/>
      <c r="AF76" s="151"/>
      <c r="AG76" s="151"/>
      <c r="AH76" s="151"/>
      <c r="AI76" s="151"/>
      <c r="AJ76" s="151"/>
      <c r="AK76" s="151"/>
      <c r="AL76" s="151"/>
      <c r="AM76" s="151"/>
      <c r="AN76" s="1"/>
    </row>
    <row r="77" spans="1:40">
      <c r="A77" s="25" t="str">
        <f>PAC!A77</f>
        <v>Y54</v>
      </c>
      <c r="B77" s="2" t="str">
        <f>PAC!B77</f>
        <v>conjunct with</v>
      </c>
      <c r="C77" s="5" t="str">
        <f>PAC!C77</f>
        <v>venus</v>
      </c>
      <c r="D77" s="254" t="str">
        <f>IF((D$26=$H$26),"Y","")</f>
        <v/>
      </c>
      <c r="E77" s="254" t="str">
        <f>IF((E$26=$H$26),"Y","")</f>
        <v/>
      </c>
      <c r="F77" s="254" t="str">
        <f>IF((F$26=$H$26),"Y","")</f>
        <v/>
      </c>
      <c r="G77" s="254" t="str">
        <f>IF((G$26=$H$26),"Y","")</f>
        <v/>
      </c>
      <c r="H77" s="254"/>
      <c r="I77" s="254" t="str">
        <f>IF((I$26=$H$26),"Y","")</f>
        <v/>
      </c>
      <c r="J77" s="254" t="str">
        <f>IF((J$26=$H$26),"Y","")</f>
        <v/>
      </c>
      <c r="K77" s="254" t="str">
        <f>IF((K$26=$H$26),"Y","")</f>
        <v/>
      </c>
      <c r="L77" s="254" t="str">
        <f>IF((L$26=$H$26),"Y","")</f>
        <v/>
      </c>
      <c r="M77" s="254" t="str">
        <f>IF((M$26=$H$26),"Y","")</f>
        <v/>
      </c>
      <c r="O77" s="252" t="str">
        <f t="shared" ca="1" si="85"/>
        <v/>
      </c>
      <c r="P77" s="252" t="str">
        <f t="shared" ca="1" si="86"/>
        <v/>
      </c>
      <c r="Q77" s="252" t="str">
        <f t="shared" ca="1" si="87"/>
        <v/>
      </c>
      <c r="R77" s="252" t="str">
        <f t="shared" ca="1" si="88"/>
        <v/>
      </c>
      <c r="S77" s="252" t="str">
        <f t="shared" ca="1" si="89"/>
        <v/>
      </c>
      <c r="T77" s="252" t="str">
        <f t="shared" ca="1" si="90"/>
        <v/>
      </c>
      <c r="U77" s="252" t="str">
        <f t="shared" ca="1" si="91"/>
        <v xml:space="preserve"> </v>
      </c>
      <c r="V77" s="252" t="str">
        <f t="shared" ca="1" si="92"/>
        <v/>
      </c>
      <c r="W77" s="252" t="str">
        <f t="shared" ca="1" si="93"/>
        <v/>
      </c>
      <c r="X77" s="252" t="str">
        <f t="shared" ca="1" si="94"/>
        <v/>
      </c>
      <c r="Y77" s="252" t="str">
        <f t="shared" ca="1" si="95"/>
        <v/>
      </c>
      <c r="Z77" s="252" t="str">
        <f t="shared" ca="1" si="96"/>
        <v xml:space="preserve"> </v>
      </c>
      <c r="AB77" s="151"/>
      <c r="AC77" s="151"/>
      <c r="AD77" s="151"/>
      <c r="AE77" s="151"/>
      <c r="AF77" s="151"/>
      <c r="AG77" s="151"/>
      <c r="AH77" s="151"/>
      <c r="AI77" s="151"/>
      <c r="AJ77" s="151"/>
      <c r="AK77" s="151"/>
      <c r="AL77" s="151"/>
      <c r="AM77" s="151"/>
      <c r="AN77" s="1"/>
    </row>
    <row r="78" spans="1:40">
      <c r="A78" s="25" t="str">
        <f>PAC!A78</f>
        <v>Y55</v>
      </c>
      <c r="B78" s="2" t="str">
        <f>PAC!B78</f>
        <v>conjunct with</v>
      </c>
      <c r="C78" s="5" t="str">
        <f>PAC!C78</f>
        <v>mars</v>
      </c>
      <c r="D78" s="254" t="str">
        <f>IF((D$26=$I$26),"Y","")</f>
        <v/>
      </c>
      <c r="E78" s="254" t="str">
        <f>IF((E$26=$I$26),"Y","")</f>
        <v/>
      </c>
      <c r="F78" s="254" t="str">
        <f>IF((F$26=$I$26),"Y","")</f>
        <v/>
      </c>
      <c r="G78" s="254" t="str">
        <f>IF((G$26=$I$26),"Y","")</f>
        <v/>
      </c>
      <c r="H78" s="254" t="str">
        <f>IF((H$26=$I$26),"Y","")</f>
        <v/>
      </c>
      <c r="I78" s="254"/>
      <c r="J78" s="254" t="str">
        <f>IF((J$26=$I$26),"Y","")</f>
        <v/>
      </c>
      <c r="K78" s="254" t="str">
        <f>IF((K$26=$I$26),"Y","")</f>
        <v/>
      </c>
      <c r="L78" s="254" t="str">
        <f>IF((L$26=$I$26),"Y","")</f>
        <v/>
      </c>
      <c r="M78" s="254" t="str">
        <f>IF((M$26=$I$26),"Y","")</f>
        <v>Y</v>
      </c>
      <c r="O78" s="252" t="str">
        <f t="shared" ca="1" si="85"/>
        <v xml:space="preserve"> </v>
      </c>
      <c r="P78" s="252" t="str">
        <f t="shared" ca="1" si="86"/>
        <v/>
      </c>
      <c r="Q78" s="252" t="str">
        <f t="shared" ca="1" si="87"/>
        <v/>
      </c>
      <c r="R78" s="252" t="str">
        <f t="shared" ca="1" si="88"/>
        <v/>
      </c>
      <c r="S78" s="252" t="str">
        <f t="shared" ca="1" si="89"/>
        <v/>
      </c>
      <c r="T78" s="252" t="str">
        <f t="shared" ca="1" si="90"/>
        <v xml:space="preserve"> </v>
      </c>
      <c r="U78" s="252" t="str">
        <f t="shared" ca="1" si="91"/>
        <v/>
      </c>
      <c r="V78" s="252" t="str">
        <f t="shared" ca="1" si="92"/>
        <v/>
      </c>
      <c r="W78" s="252" t="str">
        <f t="shared" ca="1" si="93"/>
        <v/>
      </c>
      <c r="X78" s="252" t="str">
        <f t="shared" ca="1" si="94"/>
        <v/>
      </c>
      <c r="Y78" s="252" t="str">
        <f t="shared" ca="1" si="95"/>
        <v/>
      </c>
      <c r="Z78" s="252" t="str">
        <f t="shared" ca="1" si="96"/>
        <v/>
      </c>
      <c r="AB78" s="151"/>
      <c r="AC78" s="151"/>
      <c r="AD78" s="151"/>
      <c r="AE78" s="151"/>
      <c r="AF78" s="151"/>
      <c r="AG78" s="151"/>
      <c r="AH78" s="151"/>
      <c r="AI78" s="151"/>
      <c r="AJ78" s="151"/>
      <c r="AK78" s="151"/>
      <c r="AL78" s="151"/>
      <c r="AM78" s="151"/>
      <c r="AN78" s="1"/>
    </row>
    <row r="79" spans="1:40">
      <c r="A79" s="25" t="str">
        <f>PAC!A79</f>
        <v>Y56</v>
      </c>
      <c r="B79" s="2" t="str">
        <f>PAC!B79</f>
        <v>conjunct with</v>
      </c>
      <c r="C79" s="5" t="str">
        <f>PAC!C79</f>
        <v>jupiter</v>
      </c>
      <c r="D79" s="254" t="str">
        <f t="shared" ref="D79:I79" si="99">IF((D$26=$J$26),"Y","")</f>
        <v/>
      </c>
      <c r="E79" s="254" t="str">
        <f t="shared" si="99"/>
        <v/>
      </c>
      <c r="F79" s="254" t="str">
        <f t="shared" si="99"/>
        <v/>
      </c>
      <c r="G79" s="254" t="str">
        <f t="shared" si="99"/>
        <v/>
      </c>
      <c r="H79" s="254" t="str">
        <f t="shared" si="99"/>
        <v/>
      </c>
      <c r="I79" s="254" t="str">
        <f t="shared" si="99"/>
        <v/>
      </c>
      <c r="J79" s="254"/>
      <c r="K79" s="254" t="str">
        <f>IF((K$26=$J$26),"Y","")</f>
        <v/>
      </c>
      <c r="L79" s="254" t="str">
        <f>IF((L$26=$J$26),"Y","")</f>
        <v/>
      </c>
      <c r="M79" s="254" t="str">
        <f>IF((M$26=$J$26),"Y","")</f>
        <v/>
      </c>
      <c r="O79" s="252" t="str">
        <f t="shared" ca="1" si="85"/>
        <v/>
      </c>
      <c r="P79" s="252" t="str">
        <f t="shared" ca="1" si="86"/>
        <v xml:space="preserve"> </v>
      </c>
      <c r="Q79" s="252" t="str">
        <f t="shared" ca="1" si="87"/>
        <v/>
      </c>
      <c r="R79" s="252" t="str">
        <f t="shared" ca="1" si="88"/>
        <v/>
      </c>
      <c r="S79" s="252" t="str">
        <f t="shared" ca="1" si="89"/>
        <v xml:space="preserve"> </v>
      </c>
      <c r="T79" s="252" t="str">
        <f t="shared" ca="1" si="90"/>
        <v/>
      </c>
      <c r="U79" s="252" t="str">
        <f t="shared" ca="1" si="91"/>
        <v/>
      </c>
      <c r="V79" s="252" t="str">
        <f t="shared" ca="1" si="92"/>
        <v/>
      </c>
      <c r="W79" s="252" t="str">
        <f t="shared" ca="1" si="93"/>
        <v/>
      </c>
      <c r="X79" s="252" t="str">
        <f t="shared" ca="1" si="94"/>
        <v/>
      </c>
      <c r="Y79" s="252" t="str">
        <f t="shared" ca="1" si="95"/>
        <v/>
      </c>
      <c r="Z79" s="252" t="str">
        <f t="shared" ca="1" si="96"/>
        <v/>
      </c>
      <c r="AB79" s="151"/>
      <c r="AC79" s="151"/>
      <c r="AD79" s="151"/>
      <c r="AE79" s="151"/>
      <c r="AF79" s="151"/>
      <c r="AG79" s="151"/>
      <c r="AH79" s="151"/>
      <c r="AI79" s="151"/>
      <c r="AJ79" s="151"/>
      <c r="AK79" s="151"/>
      <c r="AL79" s="151"/>
      <c r="AM79" s="151"/>
      <c r="AN79" s="1"/>
    </row>
    <row r="80" spans="1:40">
      <c r="A80" s="25" t="str">
        <f>PAC!A80</f>
        <v>Y57</v>
      </c>
      <c r="B80" s="2" t="str">
        <f>PAC!B80</f>
        <v>conjunct with</v>
      </c>
      <c r="C80" s="5" t="str">
        <f>PAC!C80</f>
        <v>saturn</v>
      </c>
      <c r="D80" s="254" t="str">
        <f t="shared" ref="D80:J80" si="100">IF((D$26=$K$26),"Y","")</f>
        <v/>
      </c>
      <c r="E80" s="254" t="str">
        <f t="shared" si="100"/>
        <v/>
      </c>
      <c r="F80" s="254" t="str">
        <f t="shared" si="100"/>
        <v/>
      </c>
      <c r="G80" s="254" t="str">
        <f t="shared" si="100"/>
        <v/>
      </c>
      <c r="H80" s="254" t="str">
        <f t="shared" si="100"/>
        <v/>
      </c>
      <c r="I80" s="254" t="str">
        <f t="shared" si="100"/>
        <v/>
      </c>
      <c r="J80" s="254" t="str">
        <f t="shared" si="100"/>
        <v/>
      </c>
      <c r="K80" s="254"/>
      <c r="L80" s="254" t="str">
        <f>IF((L$26=$K$26),"Y","")</f>
        <v/>
      </c>
      <c r="M80" s="254" t="str">
        <f>IF((M$26=$K$26),"Y","")</f>
        <v/>
      </c>
      <c r="O80" s="252" t="str">
        <f t="shared" ca="1" si="85"/>
        <v/>
      </c>
      <c r="P80" s="252" t="str">
        <f t="shared" ca="1" si="86"/>
        <v/>
      </c>
      <c r="Q80" s="252" t="str">
        <f t="shared" ca="1" si="87"/>
        <v xml:space="preserve"> </v>
      </c>
      <c r="R80" s="252" t="str">
        <f t="shared" ca="1" si="88"/>
        <v xml:space="preserve"> </v>
      </c>
      <c r="S80" s="252" t="str">
        <f t="shared" ca="1" si="89"/>
        <v/>
      </c>
      <c r="T80" s="252" t="str">
        <f t="shared" ca="1" si="90"/>
        <v/>
      </c>
      <c r="U80" s="252" t="str">
        <f t="shared" ca="1" si="91"/>
        <v/>
      </c>
      <c r="V80" s="252" t="str">
        <f t="shared" ca="1" si="92"/>
        <v/>
      </c>
      <c r="W80" s="252" t="str">
        <f t="shared" ca="1" si="93"/>
        <v/>
      </c>
      <c r="X80" s="252" t="str">
        <f t="shared" ca="1" si="94"/>
        <v/>
      </c>
      <c r="Y80" s="252" t="str">
        <f t="shared" ca="1" si="95"/>
        <v/>
      </c>
      <c r="Z80" s="252" t="str">
        <f t="shared" ca="1" si="96"/>
        <v/>
      </c>
      <c r="AB80" s="151"/>
      <c r="AC80" s="151"/>
      <c r="AD80" s="151"/>
      <c r="AE80" s="151"/>
      <c r="AF80" s="151"/>
      <c r="AG80" s="151"/>
      <c r="AH80" s="151"/>
      <c r="AI80" s="151"/>
      <c r="AJ80" s="151"/>
      <c r="AK80" s="151"/>
      <c r="AL80" s="151"/>
      <c r="AM80" s="151"/>
      <c r="AN80" s="1"/>
    </row>
    <row r="81" spans="1:40">
      <c r="A81" s="25" t="str">
        <f>PAC!A81</f>
        <v>Y58</v>
      </c>
      <c r="B81" s="2" t="str">
        <f>PAC!B81</f>
        <v>conjunct with</v>
      </c>
      <c r="C81" s="5" t="str">
        <f>PAC!C81</f>
        <v>rahu</v>
      </c>
      <c r="D81" s="254" t="str">
        <f t="shared" ref="D81:K81" si="101">IF((D$26=$L$26),"Y","")</f>
        <v/>
      </c>
      <c r="E81" s="254" t="str">
        <f t="shared" si="101"/>
        <v/>
      </c>
      <c r="F81" s="254" t="str">
        <f t="shared" si="101"/>
        <v>Y</v>
      </c>
      <c r="G81" s="254" t="str">
        <f t="shared" si="101"/>
        <v/>
      </c>
      <c r="H81" s="254" t="str">
        <f t="shared" si="101"/>
        <v/>
      </c>
      <c r="I81" s="254" t="str">
        <f t="shared" si="101"/>
        <v/>
      </c>
      <c r="J81" s="254" t="str">
        <f t="shared" si="101"/>
        <v/>
      </c>
      <c r="K81" s="254" t="str">
        <f t="shared" si="101"/>
        <v/>
      </c>
      <c r="L81" s="254"/>
      <c r="M81" s="254" t="str">
        <f>IF((M$26=$L$26),"Y","")</f>
        <v/>
      </c>
      <c r="O81" s="252" t="str">
        <f t="shared" ca="1" si="85"/>
        <v/>
      </c>
      <c r="P81" s="252" t="str">
        <f t="shared" ca="1" si="86"/>
        <v/>
      </c>
      <c r="Q81" s="252" t="str">
        <f t="shared" ca="1" si="87"/>
        <v/>
      </c>
      <c r="R81" s="252" t="str">
        <f t="shared" ca="1" si="88"/>
        <v/>
      </c>
      <c r="S81" s="252" t="str">
        <f t="shared" ca="1" si="89"/>
        <v/>
      </c>
      <c r="T81" s="252" t="str">
        <f t="shared" ca="1" si="90"/>
        <v/>
      </c>
      <c r="U81" s="252" t="str">
        <f t="shared" ca="1" si="91"/>
        <v/>
      </c>
      <c r="V81" s="252" t="str">
        <f t="shared" ca="1" si="92"/>
        <v/>
      </c>
      <c r="W81" s="252" t="str">
        <f t="shared" ca="1" si="93"/>
        <v>Y</v>
      </c>
      <c r="X81" s="252" t="str">
        <f t="shared" ca="1" si="94"/>
        <v/>
      </c>
      <c r="Y81" s="252" t="str">
        <f t="shared" ca="1" si="95"/>
        <v/>
      </c>
      <c r="Z81" s="252" t="str">
        <f t="shared" ca="1" si="96"/>
        <v/>
      </c>
      <c r="AB81" s="151"/>
      <c r="AC81" s="151"/>
      <c r="AD81" s="151"/>
      <c r="AE81" s="151"/>
      <c r="AF81" s="151"/>
      <c r="AG81" s="151"/>
      <c r="AH81" s="151"/>
      <c r="AI81" s="151"/>
      <c r="AJ81" s="151"/>
      <c r="AK81" s="151"/>
      <c r="AL81" s="151"/>
      <c r="AM81" s="151"/>
      <c r="AN81" s="1"/>
    </row>
    <row r="82" spans="1:40">
      <c r="A82" s="25" t="str">
        <f>PAC!A82</f>
        <v>Y59</v>
      </c>
      <c r="B82" s="2" t="str">
        <f>PAC!B82</f>
        <v>conjunct with</v>
      </c>
      <c r="C82" s="5" t="str">
        <f>PAC!C82</f>
        <v>ketu</v>
      </c>
      <c r="D82" s="254" t="str">
        <f t="shared" ref="D82:L82" si="102">IF((D$26=$M$26),"Y","")</f>
        <v/>
      </c>
      <c r="E82" s="254" t="str">
        <f t="shared" si="102"/>
        <v/>
      </c>
      <c r="F82" s="254" t="str">
        <f t="shared" si="102"/>
        <v/>
      </c>
      <c r="G82" s="254" t="str">
        <f t="shared" si="102"/>
        <v/>
      </c>
      <c r="H82" s="254" t="str">
        <f t="shared" si="102"/>
        <v/>
      </c>
      <c r="I82" s="254" t="str">
        <f t="shared" si="102"/>
        <v>Y</v>
      </c>
      <c r="J82" s="254" t="str">
        <f t="shared" si="102"/>
        <v/>
      </c>
      <c r="K82" s="254" t="str">
        <f t="shared" si="102"/>
        <v/>
      </c>
      <c r="L82" s="254" t="str">
        <f t="shared" si="102"/>
        <v/>
      </c>
      <c r="M82" s="254"/>
      <c r="O82" s="252" t="str">
        <f t="shared" ca="1" si="85"/>
        <v>Y</v>
      </c>
      <c r="P82" s="252" t="str">
        <f t="shared" ca="1" si="86"/>
        <v/>
      </c>
      <c r="Q82" s="252" t="str">
        <f t="shared" ca="1" si="87"/>
        <v/>
      </c>
      <c r="R82" s="252" t="str">
        <f t="shared" ca="1" si="88"/>
        <v/>
      </c>
      <c r="S82" s="252" t="str">
        <f t="shared" ca="1" si="89"/>
        <v/>
      </c>
      <c r="T82" s="252" t="str">
        <f t="shared" ca="1" si="90"/>
        <v>Y</v>
      </c>
      <c r="U82" s="252" t="str">
        <f t="shared" ca="1" si="91"/>
        <v/>
      </c>
      <c r="V82" s="252" t="str">
        <f t="shared" ca="1" si="92"/>
        <v/>
      </c>
      <c r="W82" s="252" t="str">
        <f t="shared" ca="1" si="93"/>
        <v/>
      </c>
      <c r="X82" s="252" t="str">
        <f t="shared" ca="1" si="94"/>
        <v/>
      </c>
      <c r="Y82" s="252" t="str">
        <f t="shared" ca="1" si="95"/>
        <v/>
      </c>
      <c r="Z82" s="252" t="str">
        <f t="shared" ca="1" si="96"/>
        <v/>
      </c>
      <c r="AB82" s="151"/>
      <c r="AC82" s="151"/>
      <c r="AD82" s="151"/>
      <c r="AE82" s="151"/>
      <c r="AF82" s="151"/>
      <c r="AG82" s="151"/>
      <c r="AH82" s="151"/>
      <c r="AI82" s="151"/>
      <c r="AJ82" s="151"/>
      <c r="AK82" s="151"/>
      <c r="AL82" s="151"/>
      <c r="AM82" s="151"/>
      <c r="AN82" s="1"/>
    </row>
    <row r="83" spans="1:40">
      <c r="A83" s="25"/>
      <c r="B83" s="3"/>
      <c r="C83" s="6"/>
      <c r="O83" s="57"/>
      <c r="P83" s="57"/>
      <c r="Q83" s="57"/>
      <c r="R83" s="57"/>
      <c r="S83" s="57"/>
      <c r="T83" s="57"/>
      <c r="U83" s="57"/>
      <c r="V83" s="57"/>
      <c r="W83" s="57"/>
      <c r="X83" s="57"/>
      <c r="Y83" s="57"/>
      <c r="Z83" s="57"/>
      <c r="AB83" s="151"/>
      <c r="AC83" s="151"/>
      <c r="AD83" s="151"/>
      <c r="AE83" s="151"/>
      <c r="AF83" s="151"/>
      <c r="AG83" s="151"/>
      <c r="AH83" s="151"/>
      <c r="AI83" s="151"/>
      <c r="AJ83" s="151"/>
      <c r="AK83" s="151"/>
      <c r="AL83" s="151"/>
      <c r="AM83" s="151"/>
      <c r="AN83" s="1"/>
    </row>
    <row r="84" spans="1:40">
      <c r="A84" s="25" t="str">
        <f>PAC!A84</f>
        <v>Y61</v>
      </c>
      <c r="B84" s="2" t="str">
        <f>PAC!B84</f>
        <v>conjunct with</v>
      </c>
      <c r="C84" s="5" t="str">
        <f>PAC!C84</f>
        <v>first lord</v>
      </c>
      <c r="D84" s="254" t="str">
        <f ca="1">IF((D$26=$O$26),"Y","")</f>
        <v/>
      </c>
      <c r="E84" s="254" t="str">
        <f ca="1">IF((AND((E$26=$O$26),($O$34&lt;&gt;1))),"Y","")</f>
        <v/>
      </c>
      <c r="F84" s="254" t="str">
        <f ca="1">IF((AND((F$26=$O$26),($O$34&lt;&gt;2))),"Y","")</f>
        <v/>
      </c>
      <c r="G84" s="254" t="str">
        <f ca="1">IF((AND((G$26=$O$26),($O$34&lt;&gt;3))),"Y","")</f>
        <v/>
      </c>
      <c r="H84" s="254" t="str">
        <f ca="1">IF((AND((H$26=$O$26),($O$34&lt;&gt;4))),"Y","")</f>
        <v/>
      </c>
      <c r="I84" s="254" t="str">
        <f ca="1">IF((AND((I$26=$O$26),($O$34&lt;&gt;5))),"Y","")</f>
        <v/>
      </c>
      <c r="J84" s="254" t="str">
        <f ca="1">IF((AND((J$26=$O$26),($O$34&lt;&gt;6))),"Y","")</f>
        <v/>
      </c>
      <c r="K84" s="254" t="str">
        <f ca="1">IF((AND((K$26=$O$26),($O$34&lt;&gt;7))),"Y","")</f>
        <v/>
      </c>
      <c r="L84" s="254" t="str">
        <f ca="1">IF((AND((L$26=$O$26),($O$34&lt;&gt;8))),"Y","")</f>
        <v/>
      </c>
      <c r="M84" s="254" t="str">
        <f ca="1">IF((AND((M$26=$O$26),($O$34&lt;&gt;9))),"Y","")</f>
        <v>Y</v>
      </c>
      <c r="O84" s="252" t="str">
        <f t="shared" ref="O84:O95" ca="1" si="103">IF(ISBLANK(OFFSET(O84,0,-11+O$34))," ",OFFSET(O84,0,-11+O$34))</f>
        <v/>
      </c>
      <c r="P84" s="252" t="str">
        <f t="shared" ref="P84:P95" ca="1" si="104">IF(ISBLANK(OFFSET(P84,0,-12+P$34))," ",OFFSET(P84,0,-12+P$34))</f>
        <v/>
      </c>
      <c r="Q84" s="252" t="str">
        <f t="shared" ref="Q84:Q95" ca="1" si="105">IF(ISBLANK(OFFSET(Q84,0,-13+Q$34))," ",OFFSET(Q84,0,-13+Q$34))</f>
        <v/>
      </c>
      <c r="R84" s="252" t="str">
        <f t="shared" ref="R84:R95" ca="1" si="106">IF(ISBLANK(OFFSET(R84,0,-14+R$34))," ",OFFSET(R84,0,-14+R$34))</f>
        <v/>
      </c>
      <c r="S84" s="252" t="str">
        <f t="shared" ref="S84:S95" ca="1" si="107">IF(ISBLANK(OFFSET(S84,0,-15+S$34))," ",OFFSET(S84,0,-15+S$34))</f>
        <v/>
      </c>
      <c r="T84" s="252" t="str">
        <f t="shared" ref="T84:T95" ca="1" si="108">IF(ISBLANK(OFFSET(T84,0,-16+T$34))," ",OFFSET(T84,0,-16+T$34))</f>
        <v/>
      </c>
      <c r="U84" s="252" t="str">
        <f t="shared" ref="U84:U95" ca="1" si="109">IF(ISBLANK(OFFSET(U84,0,-17+U$34))," ",OFFSET(U84,0,-17+U$34))</f>
        <v/>
      </c>
      <c r="V84" s="252" t="str">
        <f t="shared" ref="V84:V95" ca="1" si="110">IF(ISBLANK(OFFSET(V84,0,-18+V$34))," ",OFFSET(V84,0,-18+V$34))</f>
        <v/>
      </c>
      <c r="W84" s="252" t="str">
        <f t="shared" ref="W84:W95" ca="1" si="111">IF(ISBLANK(OFFSET(W84,0,-19+W$34))," ",OFFSET(W84,0,-19+W$34))</f>
        <v/>
      </c>
      <c r="X84" s="252" t="str">
        <f t="shared" ref="X84:X95" ca="1" si="112">IF(ISBLANK(OFFSET(X84,0,-20+X$34))," ",OFFSET(X84,0,-20+X$34))</f>
        <v/>
      </c>
      <c r="Y84" s="252" t="str">
        <f t="shared" ref="Y84:Y95" ca="1" si="113">IF(ISBLANK(OFFSET(Y84,0,-21+Y$34))," ",OFFSET(Y84,0,-21+Y$34))</f>
        <v/>
      </c>
      <c r="Z84" s="252" t="str">
        <f t="shared" ref="Z84:Z95" ca="1" si="114">IF(ISBLANK(OFFSET(Z84,0,-22+Z$34))," ",OFFSET(Z84,0,-22+Z$34))</f>
        <v/>
      </c>
      <c r="AB84" s="151"/>
      <c r="AC84" s="151"/>
      <c r="AD84" s="151"/>
      <c r="AE84" s="151"/>
      <c r="AF84" s="151"/>
      <c r="AG84" s="151"/>
      <c r="AH84" s="151"/>
      <c r="AI84" s="151"/>
      <c r="AJ84" s="151"/>
      <c r="AK84" s="151"/>
      <c r="AL84" s="151"/>
      <c r="AM84" s="151"/>
      <c r="AN84" s="1"/>
    </row>
    <row r="85" spans="1:40">
      <c r="A85" s="25" t="str">
        <f>PAC!A85</f>
        <v>Y62</v>
      </c>
      <c r="B85" s="2" t="str">
        <f>PAC!B85</f>
        <v>conjunct with</v>
      </c>
      <c r="C85" s="5" t="str">
        <f>PAC!C85</f>
        <v>second lord</v>
      </c>
      <c r="D85" s="254" t="str">
        <f ca="1">IF((D$26=$P$26),"Y","")</f>
        <v/>
      </c>
      <c r="E85" s="254" t="str">
        <f ca="1">IF((AND((E$26=$P$26),($P$34&lt;&gt;1))),"Y","")</f>
        <v/>
      </c>
      <c r="F85" s="254" t="str">
        <f ca="1">IF((AND((F$26=$P$26),($P$34&lt;&gt;2))),"Y","")</f>
        <v/>
      </c>
      <c r="G85" s="254" t="str">
        <f ca="1">IF((AND((G$26=$P$26),($P$34&lt;&gt;3))),"Y","")</f>
        <v/>
      </c>
      <c r="H85" s="254" t="str">
        <f ca="1">IF((AND((H$26=$P$26),($P$34&lt;&gt;4))),"Y","")</f>
        <v/>
      </c>
      <c r="I85" s="254" t="str">
        <f ca="1">IF((AND((I$26=$P$26),($P$34&lt;&gt;5))),"Y","")</f>
        <v/>
      </c>
      <c r="J85" s="254" t="str">
        <f ca="1">IF((AND((J$26=$P$26),($P$34&lt;&gt;6))),"Y","")</f>
        <v/>
      </c>
      <c r="K85" s="254" t="str">
        <f ca="1">IF((AND((K$26=$P$26),($P$34&lt;&gt;7))),"Y","")</f>
        <v/>
      </c>
      <c r="L85" s="254" t="str">
        <f ca="1">IF((AND((L$26=$P$26),($P$34&lt;&gt;8))),"Y","")</f>
        <v/>
      </c>
      <c r="M85" s="254" t="str">
        <f ca="1">IF((AND((M$26=$P$26),($P$34&lt;&gt;9))),"Y","")</f>
        <v/>
      </c>
      <c r="O85" s="252" t="str">
        <f t="shared" ca="1" si="103"/>
        <v/>
      </c>
      <c r="P85" s="252" t="str">
        <f t="shared" ca="1" si="104"/>
        <v/>
      </c>
      <c r="Q85" s="252" t="str">
        <f t="shared" ca="1" si="105"/>
        <v/>
      </c>
      <c r="R85" s="252" t="str">
        <f t="shared" ca="1" si="106"/>
        <v/>
      </c>
      <c r="S85" s="252" t="str">
        <f t="shared" ca="1" si="107"/>
        <v/>
      </c>
      <c r="T85" s="252" t="str">
        <f t="shared" ca="1" si="108"/>
        <v/>
      </c>
      <c r="U85" s="252" t="str">
        <f t="shared" ca="1" si="109"/>
        <v/>
      </c>
      <c r="V85" s="252" t="str">
        <f t="shared" ca="1" si="110"/>
        <v/>
      </c>
      <c r="W85" s="252" t="str">
        <f t="shared" ca="1" si="111"/>
        <v/>
      </c>
      <c r="X85" s="252" t="str">
        <f t="shared" ca="1" si="112"/>
        <v/>
      </c>
      <c r="Y85" s="252" t="str">
        <f t="shared" ca="1" si="113"/>
        <v/>
      </c>
      <c r="Z85" s="252" t="str">
        <f t="shared" ca="1" si="114"/>
        <v/>
      </c>
      <c r="AB85" s="151"/>
      <c r="AC85" s="151"/>
      <c r="AD85" s="151"/>
      <c r="AE85" s="151"/>
      <c r="AF85" s="151"/>
      <c r="AG85" s="151"/>
      <c r="AH85" s="151"/>
      <c r="AI85" s="151"/>
      <c r="AJ85" s="151"/>
      <c r="AK85" s="151"/>
      <c r="AL85" s="151"/>
      <c r="AM85" s="151"/>
      <c r="AN85" s="1"/>
    </row>
    <row r="86" spans="1:40">
      <c r="A86" s="25" t="str">
        <f>PAC!A86</f>
        <v>Y63</v>
      </c>
      <c r="B86" s="2" t="str">
        <f>PAC!B86</f>
        <v>conjunct with</v>
      </c>
      <c r="C86" s="5" t="str">
        <f>PAC!C86</f>
        <v>third lord</v>
      </c>
      <c r="D86" s="254" t="str">
        <f ca="1">IF((D$26=$Q$26),"Y","")</f>
        <v/>
      </c>
      <c r="E86" s="254" t="str">
        <f ca="1">IF((AND((E$26=$Q$26),($Q$34&lt;&gt;1))),"Y","")</f>
        <v/>
      </c>
      <c r="F86" s="254" t="str">
        <f ca="1">IF((AND((F$26=$Q$26),($Q$34&lt;&gt;2))),"Y","")</f>
        <v/>
      </c>
      <c r="G86" s="254" t="str">
        <f ca="1">IF((AND((G$26=$Q$26),($Q$34&lt;&gt;3))),"Y","")</f>
        <v/>
      </c>
      <c r="H86" s="254" t="str">
        <f ca="1">IF((AND((H$26=$Q$26),($Q$34&lt;&gt;4))),"Y","")</f>
        <v/>
      </c>
      <c r="I86" s="254" t="str">
        <f ca="1">IF((AND((I$26=$Q$26),($Q$34&lt;&gt;5))),"Y","")</f>
        <v/>
      </c>
      <c r="J86" s="254" t="str">
        <f ca="1">IF((AND((J$26=$Q$26),($Q$34&lt;&gt;6))),"Y","")</f>
        <v/>
      </c>
      <c r="K86" s="254" t="str">
        <f ca="1">IF((AND((K$26=$Q$26),($Q$34&lt;&gt;7))),"Y","")</f>
        <v/>
      </c>
      <c r="L86" s="254" t="str">
        <f ca="1">IF((AND((L$26=$Q$26),($Q$34&lt;&gt;8))),"Y","")</f>
        <v/>
      </c>
      <c r="M86" s="254" t="str">
        <f ca="1">IF((AND((M$26=$Q$26),($Q$34&lt;&gt;9))),"Y","")</f>
        <v/>
      </c>
      <c r="O86" s="252" t="str">
        <f t="shared" ca="1" si="103"/>
        <v/>
      </c>
      <c r="P86" s="252" t="str">
        <f t="shared" ca="1" si="104"/>
        <v/>
      </c>
      <c r="Q86" s="252" t="str">
        <f t="shared" ca="1" si="105"/>
        <v/>
      </c>
      <c r="R86" s="252" t="str">
        <f t="shared" ca="1" si="106"/>
        <v/>
      </c>
      <c r="S86" s="252" t="str">
        <f t="shared" ca="1" si="107"/>
        <v/>
      </c>
      <c r="T86" s="252" t="str">
        <f t="shared" ca="1" si="108"/>
        <v/>
      </c>
      <c r="U86" s="252" t="str">
        <f t="shared" ca="1" si="109"/>
        <v/>
      </c>
      <c r="V86" s="252" t="str">
        <f t="shared" ca="1" si="110"/>
        <v/>
      </c>
      <c r="W86" s="252" t="str">
        <f t="shared" ca="1" si="111"/>
        <v/>
      </c>
      <c r="X86" s="252" t="str">
        <f t="shared" ca="1" si="112"/>
        <v/>
      </c>
      <c r="Y86" s="252" t="str">
        <f t="shared" ca="1" si="113"/>
        <v/>
      </c>
      <c r="Z86" s="252" t="str">
        <f t="shared" ca="1" si="114"/>
        <v/>
      </c>
      <c r="AB86" s="151"/>
      <c r="AC86" s="151"/>
      <c r="AD86" s="151"/>
      <c r="AE86" s="151"/>
      <c r="AF86" s="151"/>
      <c r="AG86" s="151"/>
      <c r="AH86" s="151"/>
      <c r="AI86" s="151"/>
      <c r="AJ86" s="151"/>
      <c r="AK86" s="151"/>
      <c r="AL86" s="151"/>
      <c r="AM86" s="151"/>
      <c r="AN86" s="1"/>
    </row>
    <row r="87" spans="1:40">
      <c r="A87" s="25" t="str">
        <f>PAC!A87</f>
        <v>Y64</v>
      </c>
      <c r="B87" s="2" t="str">
        <f>PAC!B87</f>
        <v>conjunct with</v>
      </c>
      <c r="C87" s="5" t="str">
        <f>PAC!C87</f>
        <v>fourth lord</v>
      </c>
      <c r="D87" s="254" t="str">
        <f ca="1">IF((D$26=$R$26),"Y","")</f>
        <v/>
      </c>
      <c r="E87" s="254" t="str">
        <f ca="1">IF((AND((E$26=$R$26),($R$34&lt;&gt;1))),"Y","")</f>
        <v/>
      </c>
      <c r="F87" s="254" t="str">
        <f ca="1">IF((AND((F$26=$R$26),($R$34&lt;&gt;2))),"Y","")</f>
        <v/>
      </c>
      <c r="G87" s="254" t="str">
        <f ca="1">IF((AND((G$26=$R$26),($R$34&lt;&gt;3))),"Y","")</f>
        <v/>
      </c>
      <c r="H87" s="254" t="str">
        <f ca="1">IF((AND((H$26=$R$26),($R$34&lt;&gt;4))),"Y","")</f>
        <v/>
      </c>
      <c r="I87" s="254" t="str">
        <f ca="1">IF((AND((I$26=$R$26),($R$34&lt;&gt;5))),"Y","")</f>
        <v/>
      </c>
      <c r="J87" s="254" t="str">
        <f ca="1">IF((AND((J$26=$R$26),($R$34&lt;&gt;6))),"Y","")</f>
        <v/>
      </c>
      <c r="K87" s="254" t="str">
        <f ca="1">IF((AND((K$26=$R$26),($R$34&lt;&gt;7))),"Y","")</f>
        <v/>
      </c>
      <c r="L87" s="254" t="str">
        <f ca="1">IF((AND((L$26=$R$26),($R$34&lt;&gt;8))),"Y","")</f>
        <v/>
      </c>
      <c r="M87" s="254" t="str">
        <f ca="1">IF((AND((M$26=$R$26),($R$34&lt;&gt;9))),"Y","")</f>
        <v/>
      </c>
      <c r="O87" s="252" t="str">
        <f t="shared" ca="1" si="103"/>
        <v/>
      </c>
      <c r="P87" s="252" t="str">
        <f t="shared" ca="1" si="104"/>
        <v/>
      </c>
      <c r="Q87" s="252" t="str">
        <f t="shared" ca="1" si="105"/>
        <v/>
      </c>
      <c r="R87" s="252" t="str">
        <f t="shared" ca="1" si="106"/>
        <v/>
      </c>
      <c r="S87" s="252" t="str">
        <f t="shared" ca="1" si="107"/>
        <v/>
      </c>
      <c r="T87" s="252" t="str">
        <f t="shared" ca="1" si="108"/>
        <v/>
      </c>
      <c r="U87" s="252" t="str">
        <f t="shared" ca="1" si="109"/>
        <v/>
      </c>
      <c r="V87" s="252" t="str">
        <f t="shared" ca="1" si="110"/>
        <v/>
      </c>
      <c r="W87" s="252" t="str">
        <f t="shared" ca="1" si="111"/>
        <v/>
      </c>
      <c r="X87" s="252" t="str">
        <f t="shared" ca="1" si="112"/>
        <v/>
      </c>
      <c r="Y87" s="252" t="str">
        <f t="shared" ca="1" si="113"/>
        <v/>
      </c>
      <c r="Z87" s="252" t="str">
        <f t="shared" ca="1" si="114"/>
        <v/>
      </c>
      <c r="AB87" s="151"/>
      <c r="AC87" s="151"/>
      <c r="AD87" s="151"/>
      <c r="AE87" s="151"/>
      <c r="AF87" s="151"/>
      <c r="AG87" s="151"/>
      <c r="AH87" s="151"/>
      <c r="AI87" s="151"/>
      <c r="AJ87" s="151"/>
      <c r="AK87" s="151"/>
      <c r="AL87" s="151"/>
      <c r="AM87" s="151"/>
      <c r="AN87" s="1"/>
    </row>
    <row r="88" spans="1:40">
      <c r="A88" s="25" t="str">
        <f>PAC!A88</f>
        <v>Y65</v>
      </c>
      <c r="B88" s="2" t="str">
        <f>PAC!B88</f>
        <v>conjunct with</v>
      </c>
      <c r="C88" s="5" t="str">
        <f>PAC!C88</f>
        <v>fifth lord</v>
      </c>
      <c r="D88" s="254" t="str">
        <f ca="1">IF((D$26=$S$26),"Y","")</f>
        <v/>
      </c>
      <c r="E88" s="254" t="str">
        <f ca="1">IF((AND((E$26=$S$26),($S$34&lt;&gt;1))),"Y","")</f>
        <v/>
      </c>
      <c r="F88" s="254" t="str">
        <f ca="1">IF((AND((F$26=$S$26),($S$34&lt;&gt;2))),"Y","")</f>
        <v/>
      </c>
      <c r="G88" s="254" t="str">
        <f ca="1">IF((AND((G$26=$S$26),($S$34&lt;&gt;3))),"Y","")</f>
        <v/>
      </c>
      <c r="H88" s="254" t="str">
        <f ca="1">IF((AND((H$26=$S$26),($S$34&lt;&gt;4))),"Y","")</f>
        <v/>
      </c>
      <c r="I88" s="254" t="str">
        <f ca="1">IF((AND((I$26=$S$26),($S$34&lt;&gt;5))),"Y","")</f>
        <v/>
      </c>
      <c r="J88" s="254" t="str">
        <f ca="1">IF((AND((J$26=$S$26),($S$34&lt;&gt;6))),"Y","")</f>
        <v/>
      </c>
      <c r="K88" s="254" t="str">
        <f ca="1">IF((AND((K$26=$S$26),($S$34&lt;&gt;7))),"Y","")</f>
        <v/>
      </c>
      <c r="L88" s="254" t="str">
        <f ca="1">IF((AND((L$26=$S$26),($S$34&lt;&gt;8))),"Y","")</f>
        <v/>
      </c>
      <c r="M88" s="254" t="str">
        <f ca="1">IF((AND((M$26=$S$26),($S$34&lt;&gt;9))),"Y","")</f>
        <v/>
      </c>
      <c r="O88" s="252" t="str">
        <f t="shared" ca="1" si="103"/>
        <v/>
      </c>
      <c r="P88" s="252" t="str">
        <f t="shared" ca="1" si="104"/>
        <v/>
      </c>
      <c r="Q88" s="252" t="str">
        <f t="shared" ca="1" si="105"/>
        <v/>
      </c>
      <c r="R88" s="252" t="str">
        <f t="shared" ca="1" si="106"/>
        <v/>
      </c>
      <c r="S88" s="252" t="str">
        <f t="shared" ca="1" si="107"/>
        <v/>
      </c>
      <c r="T88" s="252" t="str">
        <f t="shared" ca="1" si="108"/>
        <v/>
      </c>
      <c r="U88" s="252" t="str">
        <f t="shared" ca="1" si="109"/>
        <v/>
      </c>
      <c r="V88" s="252" t="str">
        <f t="shared" ca="1" si="110"/>
        <v/>
      </c>
      <c r="W88" s="252" t="str">
        <f t="shared" ca="1" si="111"/>
        <v/>
      </c>
      <c r="X88" s="252" t="str">
        <f t="shared" ca="1" si="112"/>
        <v/>
      </c>
      <c r="Y88" s="252" t="str">
        <f t="shared" ca="1" si="113"/>
        <v/>
      </c>
      <c r="Z88" s="252" t="str">
        <f t="shared" ca="1" si="114"/>
        <v/>
      </c>
      <c r="AB88" s="151"/>
      <c r="AC88" s="151"/>
      <c r="AD88" s="151"/>
      <c r="AE88" s="151"/>
      <c r="AF88" s="151"/>
      <c r="AG88" s="151"/>
      <c r="AH88" s="151"/>
      <c r="AI88" s="151"/>
      <c r="AJ88" s="151"/>
      <c r="AK88" s="151"/>
      <c r="AL88" s="151"/>
      <c r="AM88" s="151"/>
      <c r="AN88" s="1"/>
    </row>
    <row r="89" spans="1:40">
      <c r="A89" s="25" t="str">
        <f>PAC!A89</f>
        <v>Y66</v>
      </c>
      <c r="B89" s="2" t="str">
        <f>PAC!B89</f>
        <v>conjunct with</v>
      </c>
      <c r="C89" s="5" t="str">
        <f>PAC!C89</f>
        <v>sixth lord</v>
      </c>
      <c r="D89" s="254" t="str">
        <f ca="1">IF((D$26=$T$26),"Y","")</f>
        <v/>
      </c>
      <c r="E89" s="254" t="str">
        <f ca="1">IF((AND((E$26=$T$26),($T$34&lt;&gt;1))),"Y","")</f>
        <v/>
      </c>
      <c r="F89" s="254" t="str">
        <f ca="1">IF((AND((F$26=$T$26),($T$34&lt;&gt;2))),"Y","")</f>
        <v/>
      </c>
      <c r="G89" s="254" t="str">
        <f ca="1">IF((AND((G$26=$T$26),($T$34&lt;&gt;3))),"Y","")</f>
        <v/>
      </c>
      <c r="H89" s="254" t="str">
        <f ca="1">IF((AND((H$26=$T$26),($T$34&lt;&gt;4))),"Y","")</f>
        <v/>
      </c>
      <c r="I89" s="254" t="str">
        <f ca="1">IF((AND((I$26=$T$26),($T$34&lt;&gt;5))),"Y","")</f>
        <v/>
      </c>
      <c r="J89" s="254" t="str">
        <f ca="1">IF((AND((J$26=$T$26),($T$34&lt;&gt;6))),"Y","")</f>
        <v/>
      </c>
      <c r="K89" s="254" t="str">
        <f ca="1">IF((AND((K$26=$T$26),($T$34&lt;&gt;7))),"Y","")</f>
        <v/>
      </c>
      <c r="L89" s="254" t="str">
        <f ca="1">IF((AND((L$26=$T$26),($T$34&lt;&gt;8))),"Y","")</f>
        <v/>
      </c>
      <c r="M89" s="254" t="str">
        <f ca="1">IF((AND((M$26=$T$26),($T$34&lt;&gt;9))),"Y","")</f>
        <v>Y</v>
      </c>
      <c r="O89" s="252" t="str">
        <f t="shared" ca="1" si="103"/>
        <v/>
      </c>
      <c r="P89" s="252" t="str">
        <f t="shared" ca="1" si="104"/>
        <v/>
      </c>
      <c r="Q89" s="252" t="str">
        <f t="shared" ca="1" si="105"/>
        <v/>
      </c>
      <c r="R89" s="252" t="str">
        <f t="shared" ca="1" si="106"/>
        <v/>
      </c>
      <c r="S89" s="252" t="str">
        <f t="shared" ca="1" si="107"/>
        <v/>
      </c>
      <c r="T89" s="252" t="str">
        <f t="shared" ca="1" si="108"/>
        <v/>
      </c>
      <c r="U89" s="252" t="str">
        <f t="shared" ca="1" si="109"/>
        <v/>
      </c>
      <c r="V89" s="252" t="str">
        <f t="shared" ca="1" si="110"/>
        <v/>
      </c>
      <c r="W89" s="252" t="str">
        <f t="shared" ca="1" si="111"/>
        <v/>
      </c>
      <c r="X89" s="252" t="str">
        <f t="shared" ca="1" si="112"/>
        <v/>
      </c>
      <c r="Y89" s="252" t="str">
        <f t="shared" ca="1" si="113"/>
        <v/>
      </c>
      <c r="Z89" s="252" t="str">
        <f t="shared" ca="1" si="114"/>
        <v/>
      </c>
      <c r="AB89" s="151"/>
      <c r="AC89" s="151"/>
      <c r="AD89" s="151"/>
      <c r="AE89" s="151"/>
      <c r="AF89" s="151"/>
      <c r="AG89" s="151"/>
      <c r="AH89" s="151"/>
      <c r="AI89" s="151"/>
      <c r="AJ89" s="151"/>
      <c r="AK89" s="151"/>
      <c r="AL89" s="151"/>
      <c r="AM89" s="151"/>
      <c r="AN89" s="1"/>
    </row>
    <row r="90" spans="1:40">
      <c r="A90" s="25" t="str">
        <f>PAC!A90</f>
        <v>Y67</v>
      </c>
      <c r="B90" s="2" t="str">
        <f>PAC!B90</f>
        <v>conjunct with</v>
      </c>
      <c r="C90" s="5" t="str">
        <f>PAC!C90</f>
        <v>seventh lord</v>
      </c>
      <c r="D90" s="254" t="str">
        <f ca="1">IF((D$26=$U$26),"Y","")</f>
        <v/>
      </c>
      <c r="E90" s="254" t="str">
        <f ca="1">IF((AND((E$26=$U$26),($U$34&lt;&gt;1))),"Y","")</f>
        <v/>
      </c>
      <c r="F90" s="254" t="str">
        <f ca="1">IF((AND((F$26=$U$26),($U$34&lt;&gt;2))),"Y","")</f>
        <v/>
      </c>
      <c r="G90" s="254" t="str">
        <f ca="1">IF((AND((G$26=$U$26),($U$34&lt;&gt;3))),"Y","")</f>
        <v/>
      </c>
      <c r="H90" s="254" t="str">
        <f ca="1">IF((AND((H$26=$U$26),($U$34&lt;&gt;4))),"Y","")</f>
        <v/>
      </c>
      <c r="I90" s="254" t="str">
        <f ca="1">IF((AND((I$26=$U$26),($U$34&lt;&gt;5))),"Y","")</f>
        <v/>
      </c>
      <c r="J90" s="254" t="str">
        <f ca="1">IF((AND((J$26=$U$26),($U$34&lt;&gt;6))),"Y","")</f>
        <v/>
      </c>
      <c r="K90" s="254" t="str">
        <f ca="1">IF((AND((K$26=$U$26),($U$34&lt;&gt;7))),"Y","")</f>
        <v/>
      </c>
      <c r="L90" s="254" t="str">
        <f ca="1">IF((AND((L$26=$U$26),($U$34&lt;&gt;8))),"Y","")</f>
        <v/>
      </c>
      <c r="M90" s="254" t="str">
        <f ca="1">IF((AND((M$26=$U$26),($U$34&lt;&gt;9))),"Y","")</f>
        <v/>
      </c>
      <c r="O90" s="252" t="str">
        <f t="shared" ca="1" si="103"/>
        <v/>
      </c>
      <c r="P90" s="252" t="str">
        <f t="shared" ca="1" si="104"/>
        <v/>
      </c>
      <c r="Q90" s="252" t="str">
        <f t="shared" ca="1" si="105"/>
        <v/>
      </c>
      <c r="R90" s="252" t="str">
        <f t="shared" ca="1" si="106"/>
        <v/>
      </c>
      <c r="S90" s="252" t="str">
        <f t="shared" ca="1" si="107"/>
        <v/>
      </c>
      <c r="T90" s="252" t="str">
        <f t="shared" ca="1" si="108"/>
        <v/>
      </c>
      <c r="U90" s="252" t="str">
        <f t="shared" ca="1" si="109"/>
        <v/>
      </c>
      <c r="V90" s="252" t="str">
        <f t="shared" ca="1" si="110"/>
        <v/>
      </c>
      <c r="W90" s="252" t="str">
        <f t="shared" ca="1" si="111"/>
        <v/>
      </c>
      <c r="X90" s="252" t="str">
        <f t="shared" ca="1" si="112"/>
        <v/>
      </c>
      <c r="Y90" s="252" t="str">
        <f t="shared" ca="1" si="113"/>
        <v/>
      </c>
      <c r="Z90" s="252" t="str">
        <f t="shared" ca="1" si="114"/>
        <v/>
      </c>
      <c r="AB90" s="151"/>
      <c r="AC90" s="151"/>
      <c r="AD90" s="151"/>
      <c r="AE90" s="151"/>
      <c r="AF90" s="151"/>
      <c r="AG90" s="151"/>
      <c r="AH90" s="151"/>
      <c r="AI90" s="151"/>
      <c r="AJ90" s="151"/>
      <c r="AK90" s="151"/>
      <c r="AL90" s="151"/>
      <c r="AM90" s="151"/>
      <c r="AN90" s="1"/>
    </row>
    <row r="91" spans="1:40">
      <c r="A91" s="25" t="str">
        <f>PAC!A91</f>
        <v>Y68</v>
      </c>
      <c r="B91" s="2" t="str">
        <f>PAC!B91</f>
        <v>conjunct with</v>
      </c>
      <c r="C91" s="5" t="str">
        <f>PAC!C91</f>
        <v>eighth lord</v>
      </c>
      <c r="D91" s="254" t="str">
        <f ca="1">IF((D$26=$V$26),"Y","")</f>
        <v/>
      </c>
      <c r="E91" s="254" t="str">
        <f ca="1">IF((AND((E$26=$V$26),($V$34&lt;&gt;1))),"Y","")</f>
        <v/>
      </c>
      <c r="F91" s="254" t="str">
        <f ca="1">IF((AND((F$26=$V$26),($V$34&lt;&gt;2))),"Y","")</f>
        <v/>
      </c>
      <c r="G91" s="254" t="str">
        <f ca="1">IF((AND((G$26=$V$26),($V$34&lt;&gt;3))),"Y","")</f>
        <v/>
      </c>
      <c r="H91" s="254" t="str">
        <f ca="1">IF((AND((H$26=$V$26),($V$34&lt;&gt;4))),"Y","")</f>
        <v/>
      </c>
      <c r="I91" s="254" t="str">
        <f ca="1">IF((AND((I$26=$V$26),($V$34&lt;&gt;5))),"Y","")</f>
        <v/>
      </c>
      <c r="J91" s="254" t="str">
        <f ca="1">IF((AND((J$26=$V$26),($V$34&lt;&gt;6))),"Y","")</f>
        <v/>
      </c>
      <c r="K91" s="254" t="str">
        <f ca="1">IF((AND((K$26=$V$26),($V$34&lt;&gt;7))),"Y","")</f>
        <v/>
      </c>
      <c r="L91" s="254" t="str">
        <f ca="1">IF((AND((L$26=$V$26),($V$34&lt;&gt;8))),"Y","")</f>
        <v/>
      </c>
      <c r="M91" s="254" t="str">
        <f ca="1">IF((AND((M$26=$V$26),($V$34&lt;&gt;9))),"Y","")</f>
        <v/>
      </c>
      <c r="O91" s="252" t="str">
        <f t="shared" ca="1" si="103"/>
        <v/>
      </c>
      <c r="P91" s="252" t="str">
        <f t="shared" ca="1" si="104"/>
        <v/>
      </c>
      <c r="Q91" s="252" t="str">
        <f t="shared" ca="1" si="105"/>
        <v/>
      </c>
      <c r="R91" s="252" t="str">
        <f t="shared" ca="1" si="106"/>
        <v/>
      </c>
      <c r="S91" s="252" t="str">
        <f t="shared" ca="1" si="107"/>
        <v/>
      </c>
      <c r="T91" s="252" t="str">
        <f t="shared" ca="1" si="108"/>
        <v/>
      </c>
      <c r="U91" s="252" t="str">
        <f t="shared" ca="1" si="109"/>
        <v/>
      </c>
      <c r="V91" s="252" t="str">
        <f t="shared" ca="1" si="110"/>
        <v/>
      </c>
      <c r="W91" s="252" t="str">
        <f t="shared" ca="1" si="111"/>
        <v/>
      </c>
      <c r="X91" s="252" t="str">
        <f t="shared" ca="1" si="112"/>
        <v/>
      </c>
      <c r="Y91" s="252" t="str">
        <f t="shared" ca="1" si="113"/>
        <v/>
      </c>
      <c r="Z91" s="252" t="str">
        <f t="shared" ca="1" si="114"/>
        <v/>
      </c>
      <c r="AB91" s="151"/>
      <c r="AC91" s="151"/>
      <c r="AD91" s="151"/>
      <c r="AE91" s="151"/>
      <c r="AF91" s="151"/>
      <c r="AG91" s="151"/>
      <c r="AH91" s="151"/>
      <c r="AI91" s="151"/>
      <c r="AJ91" s="151"/>
      <c r="AK91" s="151"/>
      <c r="AL91" s="151"/>
      <c r="AM91" s="151"/>
      <c r="AN91" s="1"/>
    </row>
    <row r="92" spans="1:40">
      <c r="A92" s="25" t="str">
        <f>PAC!A92</f>
        <v>Y69</v>
      </c>
      <c r="B92" s="2" t="str">
        <f>PAC!B92</f>
        <v>conjunct with</v>
      </c>
      <c r="C92" s="5" t="str">
        <f>PAC!C92</f>
        <v>ninth lord</v>
      </c>
      <c r="D92" s="254" t="str">
        <f ca="1">IF((D$26=$W$26),"Y","")</f>
        <v/>
      </c>
      <c r="E92" s="254" t="str">
        <f ca="1">IF((AND((E$26=$W$26),($W$34&lt;&gt;1))),"Y","")</f>
        <v/>
      </c>
      <c r="F92" s="254" t="str">
        <f ca="1">IF((AND((F$26=$W$26),($W$34&lt;&gt;2))),"Y","")</f>
        <v/>
      </c>
      <c r="G92" s="254" t="str">
        <f ca="1">IF((AND((G$26=$W$26),($W$34&lt;&gt;3))),"Y","")</f>
        <v/>
      </c>
      <c r="H92" s="254" t="str">
        <f ca="1">IF((AND((H$26=$W$26),($W$34&lt;&gt;4))),"Y","")</f>
        <v/>
      </c>
      <c r="I92" s="254" t="str">
        <f ca="1">IF((AND((I$26=$W$26),($W$34&lt;&gt;5))),"Y","")</f>
        <v/>
      </c>
      <c r="J92" s="254" t="str">
        <f ca="1">IF((AND((J$26=$W$26),($W$34&lt;&gt;6))),"Y","")</f>
        <v/>
      </c>
      <c r="K92" s="254" t="str">
        <f ca="1">IF((AND((K$26=$W$26),($W$34&lt;&gt;7))),"Y","")</f>
        <v/>
      </c>
      <c r="L92" s="254" t="str">
        <f ca="1">IF((AND((L$26=$W$26),($W$34&lt;&gt;8))),"Y","")</f>
        <v>Y</v>
      </c>
      <c r="M92" s="254" t="str">
        <f ca="1">IF((AND((M$26=$W$26),($W$34&lt;&gt;9))),"Y","")</f>
        <v/>
      </c>
      <c r="O92" s="252" t="str">
        <f t="shared" ca="1" si="103"/>
        <v/>
      </c>
      <c r="P92" s="252" t="str">
        <f t="shared" ca="1" si="104"/>
        <v/>
      </c>
      <c r="Q92" s="252" t="str">
        <f t="shared" ca="1" si="105"/>
        <v/>
      </c>
      <c r="R92" s="252" t="str">
        <f t="shared" ca="1" si="106"/>
        <v/>
      </c>
      <c r="S92" s="252" t="str">
        <f t="shared" ca="1" si="107"/>
        <v/>
      </c>
      <c r="T92" s="252" t="str">
        <f t="shared" ca="1" si="108"/>
        <v/>
      </c>
      <c r="U92" s="252" t="str">
        <f t="shared" ca="1" si="109"/>
        <v/>
      </c>
      <c r="V92" s="252" t="str">
        <f t="shared" ca="1" si="110"/>
        <v/>
      </c>
      <c r="W92" s="252" t="str">
        <f t="shared" ca="1" si="111"/>
        <v/>
      </c>
      <c r="X92" s="252" t="str">
        <f t="shared" ca="1" si="112"/>
        <v/>
      </c>
      <c r="Y92" s="252" t="str">
        <f t="shared" ca="1" si="113"/>
        <v/>
      </c>
      <c r="Z92" s="252" t="str">
        <f t="shared" ca="1" si="114"/>
        <v/>
      </c>
      <c r="AB92" s="151"/>
      <c r="AC92" s="151"/>
      <c r="AD92" s="151"/>
      <c r="AE92" s="151"/>
      <c r="AF92" s="151"/>
      <c r="AG92" s="151"/>
      <c r="AH92" s="151"/>
      <c r="AI92" s="151"/>
      <c r="AJ92" s="151"/>
      <c r="AK92" s="151"/>
      <c r="AL92" s="151"/>
      <c r="AM92" s="151"/>
      <c r="AN92" s="1"/>
    </row>
    <row r="93" spans="1:40">
      <c r="A93" s="25" t="str">
        <f>PAC!A93</f>
        <v>Y70</v>
      </c>
      <c r="B93" s="2" t="str">
        <f>PAC!B93</f>
        <v>conjunct with</v>
      </c>
      <c r="C93" s="5" t="str">
        <f>PAC!C93</f>
        <v>tenth lord</v>
      </c>
      <c r="D93" s="254" t="str">
        <f ca="1">IF((D$26=$X$26),"Y","")</f>
        <v/>
      </c>
      <c r="E93" s="254" t="str">
        <f ca="1">IF((AND((E$26=$X$26),($X$34&lt;&gt;1))),"Y","")</f>
        <v/>
      </c>
      <c r="F93" s="254" t="str">
        <f ca="1">IF((AND((F$26=$X$26),($X$34&lt;&gt;2))),"Y","")</f>
        <v/>
      </c>
      <c r="G93" s="254" t="str">
        <f ca="1">IF((AND((G$26=$X$26),($X$34&lt;&gt;3))),"Y","")</f>
        <v/>
      </c>
      <c r="H93" s="254" t="str">
        <f ca="1">IF((AND((H$26=$X$26),($X$34&lt;&gt;4))),"Y","")</f>
        <v/>
      </c>
      <c r="I93" s="254" t="str">
        <f ca="1">IF((AND((I$26=$X$26),($X$34&lt;&gt;5))),"Y","")</f>
        <v/>
      </c>
      <c r="J93" s="254" t="str">
        <f ca="1">IF((AND((J$26=$X$26),($X$34&lt;&gt;6))),"Y","")</f>
        <v/>
      </c>
      <c r="K93" s="254" t="str">
        <f ca="1">IF((AND((K$26=$X$26),($X$34&lt;&gt;7))),"Y","")</f>
        <v/>
      </c>
      <c r="L93" s="254" t="str">
        <f ca="1">IF((AND((L$26=$X$26),($X$34&lt;&gt;8))),"Y","")</f>
        <v/>
      </c>
      <c r="M93" s="254" t="str">
        <f ca="1">IF((AND((M$26=$X$26),($X$34&lt;&gt;9))),"Y","")</f>
        <v/>
      </c>
      <c r="O93" s="252" t="str">
        <f t="shared" ca="1" si="103"/>
        <v/>
      </c>
      <c r="P93" s="252" t="str">
        <f t="shared" ca="1" si="104"/>
        <v/>
      </c>
      <c r="Q93" s="252" t="str">
        <f t="shared" ca="1" si="105"/>
        <v/>
      </c>
      <c r="R93" s="252" t="str">
        <f t="shared" ca="1" si="106"/>
        <v/>
      </c>
      <c r="S93" s="252" t="str">
        <f t="shared" ca="1" si="107"/>
        <v/>
      </c>
      <c r="T93" s="252" t="str">
        <f t="shared" ca="1" si="108"/>
        <v/>
      </c>
      <c r="U93" s="252" t="str">
        <f t="shared" ca="1" si="109"/>
        <v/>
      </c>
      <c r="V93" s="252" t="str">
        <f t="shared" ca="1" si="110"/>
        <v/>
      </c>
      <c r="W93" s="252" t="str">
        <f t="shared" ca="1" si="111"/>
        <v/>
      </c>
      <c r="X93" s="252" t="str">
        <f t="shared" ca="1" si="112"/>
        <v/>
      </c>
      <c r="Y93" s="252" t="str">
        <f t="shared" ca="1" si="113"/>
        <v/>
      </c>
      <c r="Z93" s="252" t="str">
        <f t="shared" ca="1" si="114"/>
        <v/>
      </c>
      <c r="AB93" s="151"/>
      <c r="AC93" s="151"/>
      <c r="AD93" s="151"/>
      <c r="AE93" s="151"/>
      <c r="AF93" s="151"/>
      <c r="AG93" s="151"/>
      <c r="AH93" s="151"/>
      <c r="AI93" s="151"/>
      <c r="AJ93" s="151"/>
      <c r="AK93" s="151"/>
      <c r="AL93" s="151"/>
      <c r="AM93" s="151"/>
      <c r="AN93" s="1"/>
    </row>
    <row r="94" spans="1:40">
      <c r="A94" s="25" t="str">
        <f>PAC!A94</f>
        <v>Y71</v>
      </c>
      <c r="B94" s="2" t="str">
        <f>PAC!B94</f>
        <v>conjunct with</v>
      </c>
      <c r="C94" s="5" t="str">
        <f>PAC!C94</f>
        <v>eleventh lord</v>
      </c>
      <c r="D94" s="254" t="str">
        <f ca="1">IF((D$26=$Y$26),"Y","")</f>
        <v/>
      </c>
      <c r="E94" s="254" t="str">
        <f ca="1">IF((AND((E$26=$Y$26),($Y$34&lt;&gt;1))),"Y","")</f>
        <v/>
      </c>
      <c r="F94" s="254" t="str">
        <f ca="1">IF((AND((F$26=$Y$26),($Y$34&lt;&gt;2))),"Y","")</f>
        <v/>
      </c>
      <c r="G94" s="254" t="str">
        <f ca="1">IF((AND((G$26=$Y$26),($Y$34&lt;&gt;3))),"Y","")</f>
        <v/>
      </c>
      <c r="H94" s="254" t="str">
        <f ca="1">IF((AND((H$26=$Y$26),($Y$34&lt;&gt;4))),"Y","")</f>
        <v/>
      </c>
      <c r="I94" s="254" t="str">
        <f ca="1">IF((AND((I$26=$Y$26),($Y$34&lt;&gt;5))),"Y","")</f>
        <v/>
      </c>
      <c r="J94" s="254" t="str">
        <f ca="1">IF((AND((J$26=$Y$26),($Y$34&lt;&gt;6))),"Y","")</f>
        <v/>
      </c>
      <c r="K94" s="254" t="str">
        <f ca="1">IF((AND((K$26=$Y$26),($Y$34&lt;&gt;7))),"Y","")</f>
        <v/>
      </c>
      <c r="L94" s="254" t="str">
        <f ca="1">IF((AND((L$26=$Y$26),($Y$34&lt;&gt;8))),"Y","")</f>
        <v/>
      </c>
      <c r="M94" s="254" t="str">
        <f ca="1">IF((AND((M$26=$Y$26),($Y$34&lt;&gt;9))),"Y","")</f>
        <v/>
      </c>
      <c r="O94" s="252" t="str">
        <f t="shared" ca="1" si="103"/>
        <v/>
      </c>
      <c r="P94" s="252" t="str">
        <f t="shared" ca="1" si="104"/>
        <v/>
      </c>
      <c r="Q94" s="252" t="str">
        <f t="shared" ca="1" si="105"/>
        <v/>
      </c>
      <c r="R94" s="252" t="str">
        <f t="shared" ca="1" si="106"/>
        <v/>
      </c>
      <c r="S94" s="252" t="str">
        <f t="shared" ca="1" si="107"/>
        <v/>
      </c>
      <c r="T94" s="252" t="str">
        <f t="shared" ca="1" si="108"/>
        <v/>
      </c>
      <c r="U94" s="252" t="str">
        <f t="shared" ca="1" si="109"/>
        <v/>
      </c>
      <c r="V94" s="252" t="str">
        <f t="shared" ca="1" si="110"/>
        <v/>
      </c>
      <c r="W94" s="252" t="str">
        <f t="shared" ca="1" si="111"/>
        <v/>
      </c>
      <c r="X94" s="252" t="str">
        <f t="shared" ca="1" si="112"/>
        <v/>
      </c>
      <c r="Y94" s="252" t="str">
        <f t="shared" ca="1" si="113"/>
        <v/>
      </c>
      <c r="Z94" s="252" t="str">
        <f t="shared" ca="1" si="114"/>
        <v/>
      </c>
      <c r="AB94" s="151"/>
      <c r="AC94" s="151"/>
      <c r="AD94" s="151"/>
      <c r="AE94" s="151"/>
      <c r="AF94" s="151"/>
      <c r="AG94" s="151"/>
      <c r="AH94" s="151"/>
      <c r="AI94" s="151"/>
      <c r="AJ94" s="151"/>
      <c r="AK94" s="151"/>
      <c r="AL94" s="151"/>
      <c r="AM94" s="151"/>
      <c r="AN94" s="1"/>
    </row>
    <row r="95" spans="1:40">
      <c r="A95" s="25" t="str">
        <f>PAC!A95</f>
        <v>Y72</v>
      </c>
      <c r="B95" s="2" t="str">
        <f>PAC!B95</f>
        <v>conjunct with</v>
      </c>
      <c r="C95" s="5" t="str">
        <f>PAC!C95</f>
        <v>twelveth lord</v>
      </c>
      <c r="D95" s="254" t="str">
        <f ca="1">IF((D$26=$Z$26),"Y","")</f>
        <v/>
      </c>
      <c r="E95" s="254" t="str">
        <f ca="1">IF((AND((E$26=$Z$26),($Z$34&lt;&gt;1))),"Y","")</f>
        <v/>
      </c>
      <c r="F95" s="254" t="str">
        <f ca="1">IF((AND((F$26=$Z$26),($Z$34&lt;&gt;2))),"Y","")</f>
        <v/>
      </c>
      <c r="G95" s="254" t="str">
        <f ca="1">IF((AND((G$26=$Z$26),($Z$34&lt;&gt;3))),"Y","")</f>
        <v/>
      </c>
      <c r="H95" s="254" t="str">
        <f ca="1">IF((AND((H$26=$Z$26),($Z$34&lt;&gt;4))),"Y","")</f>
        <v/>
      </c>
      <c r="I95" s="254" t="str">
        <f ca="1">IF((AND((I$26=$Z$26),($Z$34&lt;&gt;5))),"Y","")</f>
        <v/>
      </c>
      <c r="J95" s="254" t="str">
        <f ca="1">IF((AND((J$26=$Z$26),($Z$34&lt;&gt;6))),"Y","")</f>
        <v/>
      </c>
      <c r="K95" s="254" t="str">
        <f ca="1">IF((AND((K$26=$Z$26),($Z$34&lt;&gt;7))),"Y","")</f>
        <v/>
      </c>
      <c r="L95" s="254" t="str">
        <f ca="1">IF((AND((L$26=$Z$26),($Z$34&lt;&gt;8))),"Y","")</f>
        <v/>
      </c>
      <c r="M95" s="254" t="str">
        <f ca="1">IF((AND((M$26=$Z$26),($Z$34&lt;&gt;9))),"Y","")</f>
        <v/>
      </c>
      <c r="O95" s="252" t="str">
        <f t="shared" ca="1" si="103"/>
        <v/>
      </c>
      <c r="P95" s="252" t="str">
        <f t="shared" ca="1" si="104"/>
        <v/>
      </c>
      <c r="Q95" s="252" t="str">
        <f t="shared" ca="1" si="105"/>
        <v/>
      </c>
      <c r="R95" s="252" t="str">
        <f t="shared" ca="1" si="106"/>
        <v/>
      </c>
      <c r="S95" s="252" t="str">
        <f t="shared" ca="1" si="107"/>
        <v/>
      </c>
      <c r="T95" s="252" t="str">
        <f t="shared" ca="1" si="108"/>
        <v/>
      </c>
      <c r="U95" s="252" t="str">
        <f t="shared" ca="1" si="109"/>
        <v/>
      </c>
      <c r="V95" s="252" t="str">
        <f t="shared" ca="1" si="110"/>
        <v/>
      </c>
      <c r="W95" s="252" t="str">
        <f t="shared" ca="1" si="111"/>
        <v/>
      </c>
      <c r="X95" s="252" t="str">
        <f t="shared" ca="1" si="112"/>
        <v/>
      </c>
      <c r="Y95" s="252" t="str">
        <f t="shared" ca="1" si="113"/>
        <v/>
      </c>
      <c r="Z95" s="252" t="str">
        <f t="shared" ca="1" si="114"/>
        <v/>
      </c>
      <c r="AB95" s="151"/>
      <c r="AC95" s="151"/>
      <c r="AD95" s="151"/>
      <c r="AE95" s="151"/>
      <c r="AF95" s="151"/>
      <c r="AG95" s="151"/>
      <c r="AH95" s="151"/>
      <c r="AI95" s="151"/>
      <c r="AJ95" s="151"/>
      <c r="AK95" s="151"/>
      <c r="AL95" s="151"/>
      <c r="AM95" s="151"/>
      <c r="AN95" s="1"/>
    </row>
    <row r="96" spans="1:40">
      <c r="A96" s="58"/>
      <c r="B96" s="2"/>
      <c r="C96" s="5"/>
      <c r="D96" s="59"/>
      <c r="E96" s="59"/>
      <c r="F96" s="59"/>
      <c r="G96" s="59"/>
      <c r="H96" s="59"/>
      <c r="I96" s="59"/>
      <c r="J96" s="59"/>
      <c r="K96" s="59"/>
      <c r="L96" s="59"/>
      <c r="M96" s="59"/>
      <c r="O96" s="55"/>
      <c r="P96" s="55"/>
      <c r="Q96" s="55"/>
      <c r="R96" s="55"/>
      <c r="S96" s="55"/>
      <c r="T96" s="55"/>
      <c r="U96" s="55"/>
      <c r="V96" s="55"/>
      <c r="W96" s="55"/>
      <c r="X96" s="55"/>
      <c r="Y96" s="55"/>
      <c r="Z96" s="55"/>
      <c r="AB96" s="151"/>
      <c r="AC96" s="151"/>
      <c r="AD96" s="151"/>
      <c r="AE96" s="151"/>
      <c r="AF96" s="151"/>
      <c r="AG96" s="151"/>
      <c r="AH96" s="151"/>
      <c r="AI96" s="151"/>
      <c r="AJ96" s="151"/>
      <c r="AK96" s="151"/>
      <c r="AL96" s="151"/>
      <c r="AM96" s="151"/>
      <c r="AN96" s="1"/>
    </row>
    <row r="97" spans="1:40">
      <c r="A97" s="58"/>
      <c r="B97" s="2"/>
      <c r="C97" s="5"/>
      <c r="D97" s="59"/>
      <c r="E97" s="59"/>
      <c r="F97" s="59"/>
      <c r="G97" s="59"/>
      <c r="H97" s="59"/>
      <c r="I97" s="59"/>
      <c r="J97" s="59"/>
      <c r="K97" s="59"/>
      <c r="L97" s="59"/>
      <c r="M97" s="59"/>
      <c r="O97" s="55"/>
      <c r="P97" s="55"/>
      <c r="Q97" s="55"/>
      <c r="R97" s="55"/>
      <c r="S97" s="55"/>
      <c r="T97" s="55"/>
      <c r="U97" s="55"/>
      <c r="V97" s="55"/>
      <c r="W97" s="55"/>
      <c r="X97" s="55"/>
      <c r="Y97" s="55"/>
      <c r="Z97" s="55"/>
      <c r="AB97" s="151"/>
      <c r="AC97" s="151"/>
      <c r="AD97" s="151"/>
      <c r="AE97" s="151"/>
      <c r="AF97" s="151"/>
      <c r="AG97" s="151"/>
      <c r="AH97" s="151"/>
      <c r="AI97" s="151"/>
      <c r="AJ97" s="151"/>
      <c r="AK97" s="151"/>
      <c r="AL97" s="151"/>
      <c r="AM97" s="151"/>
      <c r="AN97" s="1"/>
    </row>
    <row r="98" spans="1:40" ht="16.2" thickBot="1">
      <c r="A98" s="58"/>
      <c r="B98" s="56" t="s">
        <v>164</v>
      </c>
      <c r="C98" s="51"/>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1"/>
    </row>
    <row r="99" spans="1:40">
      <c r="A99" s="61"/>
      <c r="B99" s="54"/>
      <c r="C99" s="49"/>
      <c r="D99" s="62"/>
      <c r="E99" s="62"/>
      <c r="F99" s="62"/>
      <c r="G99" s="62"/>
      <c r="H99" s="62"/>
      <c r="I99" s="62"/>
      <c r="J99" s="62"/>
      <c r="K99" s="62"/>
      <c r="L99" s="62"/>
      <c r="M99" s="62"/>
    </row>
    <row r="100" spans="1:40">
      <c r="A100" s="25" t="str">
        <f>PAC!A100</f>
        <v>YAA</v>
      </c>
      <c r="B100" s="2" t="str">
        <f>PAC!B100</f>
        <v>resident in</v>
      </c>
      <c r="C100" s="5" t="str">
        <f>PAC!C100</f>
        <v>aries</v>
      </c>
      <c r="D100" s="255" t="str">
        <f t="shared" ref="D100:M100" si="115">IF(D$26=1,"Y","")</f>
        <v/>
      </c>
      <c r="E100" s="255" t="str">
        <f t="shared" si="115"/>
        <v/>
      </c>
      <c r="F100" s="255" t="str">
        <f t="shared" si="115"/>
        <v/>
      </c>
      <c r="G100" s="255" t="str">
        <f t="shared" si="115"/>
        <v>Y</v>
      </c>
      <c r="H100" s="255" t="str">
        <f t="shared" si="115"/>
        <v/>
      </c>
      <c r="I100" s="255" t="str">
        <f t="shared" si="115"/>
        <v/>
      </c>
      <c r="J100" s="255" t="str">
        <f t="shared" si="115"/>
        <v/>
      </c>
      <c r="K100" s="255" t="str">
        <f t="shared" si="115"/>
        <v/>
      </c>
      <c r="L100" s="255" t="str">
        <f t="shared" si="115"/>
        <v/>
      </c>
      <c r="M100" s="255" t="str">
        <f t="shared" si="115"/>
        <v/>
      </c>
      <c r="O100" s="252" t="str">
        <f t="shared" ref="O100:O111" ca="1" si="116">IF(ISBLANK(OFFSET(O100,0,-11+O$34))," ",OFFSET(O100,0,-11+O$34))</f>
        <v/>
      </c>
      <c r="P100" s="252" t="str">
        <f t="shared" ref="P100:P111" ca="1" si="117">IF(ISBLANK(OFFSET(P100,0,-12+P$34))," ",OFFSET(P100,0,-12+P$34))</f>
        <v/>
      </c>
      <c r="Q100" s="252" t="str">
        <f t="shared" ref="Q100:Q111" ca="1" si="118">IF(ISBLANK(OFFSET(Q100,0,-13+Q$34))," ",OFFSET(Q100,0,-13+Q$34))</f>
        <v/>
      </c>
      <c r="R100" s="252" t="str">
        <f t="shared" ref="R100:R111" ca="1" si="119">IF(ISBLANK(OFFSET(R100,0,-14+R$34))," ",OFFSET(R100,0,-14+R$34))</f>
        <v/>
      </c>
      <c r="S100" s="252" t="str">
        <f t="shared" ref="S100:S111" ca="1" si="120">IF(ISBLANK(OFFSET(S100,0,-15+S$34))," ",OFFSET(S100,0,-15+S$34))</f>
        <v/>
      </c>
      <c r="T100" s="252" t="str">
        <f t="shared" ref="T100:T111" ca="1" si="121">IF(ISBLANK(OFFSET(T100,0,-16+T$34))," ",OFFSET(T100,0,-16+T$34))</f>
        <v/>
      </c>
      <c r="U100" s="252" t="str">
        <f t="shared" ref="U100:U111" ca="1" si="122">IF(ISBLANK(OFFSET(U100,0,-17+U$34))," ",OFFSET(U100,0,-17+U$34))</f>
        <v/>
      </c>
      <c r="V100" s="252" t="str">
        <f t="shared" ref="V100:V111" ca="1" si="123">IF(ISBLANK(OFFSET(V100,0,-18+V$34))," ",OFFSET(V100,0,-18+V$34))</f>
        <v>Y</v>
      </c>
      <c r="W100" s="252" t="str">
        <f t="shared" ref="W100:W111" ca="1" si="124">IF(ISBLANK(OFFSET(W100,0,-19+W$34))," ",OFFSET(W100,0,-19+W$34))</f>
        <v/>
      </c>
      <c r="X100" s="252" t="str">
        <f t="shared" ref="X100:X111" ca="1" si="125">IF(ISBLANK(OFFSET(X100,0,-20+X$34))," ",OFFSET(X100,0,-20+X$34))</f>
        <v/>
      </c>
      <c r="Y100" s="252" t="str">
        <f t="shared" ref="Y100:Y111" ca="1" si="126">IF(ISBLANK(OFFSET(Y100,0,-21+Y$34))," ",OFFSET(Y100,0,-21+Y$34))</f>
        <v>Y</v>
      </c>
      <c r="Z100" s="252" t="str">
        <f t="shared" ref="Z100:Z111" ca="1" si="127">IF(ISBLANK(OFFSET(Z100,0,-22+Z$34))," ",OFFSET(Z100,0,-22+Z$34))</f>
        <v/>
      </c>
      <c r="AB100" s="151"/>
      <c r="AC100" s="151"/>
      <c r="AD100" s="151"/>
      <c r="AE100" s="151"/>
      <c r="AF100" s="151"/>
      <c r="AG100" s="151"/>
      <c r="AH100" s="151"/>
      <c r="AI100" s="151"/>
      <c r="AJ100" s="151"/>
      <c r="AK100" s="151"/>
      <c r="AL100" s="151"/>
      <c r="AM100" s="151"/>
    </row>
    <row r="101" spans="1:40">
      <c r="A101" s="25" t="str">
        <f>PAC!A101</f>
        <v>YAB</v>
      </c>
      <c r="B101" s="2" t="str">
        <f>PAC!B101</f>
        <v>resident in</v>
      </c>
      <c r="C101" s="5" t="str">
        <f>PAC!C101</f>
        <v>taurus</v>
      </c>
      <c r="D101" s="255" t="str">
        <f t="shared" ref="D101:M101" si="128">IF(D$26=2,"Y","")</f>
        <v/>
      </c>
      <c r="E101" s="255" t="str">
        <f t="shared" si="128"/>
        <v>Y</v>
      </c>
      <c r="F101" s="255" t="str">
        <f t="shared" si="128"/>
        <v/>
      </c>
      <c r="G101" s="255" t="str">
        <f t="shared" si="128"/>
        <v/>
      </c>
      <c r="H101" s="255" t="str">
        <f t="shared" si="128"/>
        <v/>
      </c>
      <c r="I101" s="255" t="str">
        <f t="shared" si="128"/>
        <v/>
      </c>
      <c r="J101" s="255" t="str">
        <f t="shared" si="128"/>
        <v/>
      </c>
      <c r="K101" s="255" t="str">
        <f t="shared" si="128"/>
        <v/>
      </c>
      <c r="L101" s="255" t="str">
        <f t="shared" si="128"/>
        <v/>
      </c>
      <c r="M101" s="255" t="str">
        <f t="shared" si="128"/>
        <v/>
      </c>
      <c r="O101" s="252" t="str">
        <f t="shared" ca="1" si="116"/>
        <v/>
      </c>
      <c r="P101" s="252" t="str">
        <f t="shared" ca="1" si="117"/>
        <v/>
      </c>
      <c r="Q101" s="252" t="str">
        <f t="shared" ca="1" si="118"/>
        <v/>
      </c>
      <c r="R101" s="252" t="str">
        <f t="shared" ca="1" si="119"/>
        <v/>
      </c>
      <c r="S101" s="252" t="str">
        <f t="shared" ca="1" si="120"/>
        <v/>
      </c>
      <c r="T101" s="252" t="str">
        <f t="shared" ca="1" si="121"/>
        <v/>
      </c>
      <c r="U101" s="252" t="str">
        <f t="shared" ca="1" si="122"/>
        <v/>
      </c>
      <c r="V101" s="252" t="str">
        <f t="shared" ca="1" si="123"/>
        <v/>
      </c>
      <c r="W101" s="252" t="str">
        <f t="shared" ca="1" si="124"/>
        <v/>
      </c>
      <c r="X101" s="252" t="str">
        <f t="shared" ca="1" si="125"/>
        <v>Y</v>
      </c>
      <c r="Y101" s="252" t="str">
        <f t="shared" ca="1" si="126"/>
        <v/>
      </c>
      <c r="Z101" s="252" t="str">
        <f t="shared" ca="1" si="127"/>
        <v/>
      </c>
      <c r="AB101" s="151"/>
      <c r="AC101" s="151"/>
      <c r="AD101" s="151"/>
      <c r="AE101" s="151"/>
      <c r="AF101" s="151"/>
      <c r="AG101" s="151"/>
      <c r="AH101" s="151"/>
      <c r="AI101" s="151"/>
      <c r="AJ101" s="151"/>
      <c r="AK101" s="151"/>
      <c r="AL101" s="151"/>
      <c r="AM101" s="151"/>
    </row>
    <row r="102" spans="1:40">
      <c r="A102" s="25" t="str">
        <f>PAC!A102</f>
        <v>YAC</v>
      </c>
      <c r="B102" s="2" t="str">
        <f>PAC!B102</f>
        <v>resident in</v>
      </c>
      <c r="C102" s="5" t="str">
        <f>PAC!C102</f>
        <v>gemini</v>
      </c>
      <c r="D102" s="255" t="str">
        <f t="shared" ref="D102:M102" si="129">IF(D$26=3,"Y","")</f>
        <v/>
      </c>
      <c r="E102" s="255" t="str">
        <f t="shared" si="129"/>
        <v/>
      </c>
      <c r="F102" s="255" t="str">
        <f t="shared" si="129"/>
        <v/>
      </c>
      <c r="G102" s="255" t="str">
        <f t="shared" si="129"/>
        <v/>
      </c>
      <c r="H102" s="255" t="str">
        <f t="shared" si="129"/>
        <v>Y</v>
      </c>
      <c r="I102" s="255" t="str">
        <f t="shared" si="129"/>
        <v/>
      </c>
      <c r="J102" s="255" t="str">
        <f t="shared" si="129"/>
        <v/>
      </c>
      <c r="K102" s="255" t="str">
        <f t="shared" si="129"/>
        <v/>
      </c>
      <c r="L102" s="255" t="str">
        <f t="shared" si="129"/>
        <v/>
      </c>
      <c r="M102" s="255" t="str">
        <f t="shared" si="129"/>
        <v/>
      </c>
      <c r="O102" s="252" t="str">
        <f t="shared" ca="1" si="116"/>
        <v/>
      </c>
      <c r="P102" s="252" t="str">
        <f t="shared" ca="1" si="117"/>
        <v/>
      </c>
      <c r="Q102" s="252" t="str">
        <f t="shared" ca="1" si="118"/>
        <v/>
      </c>
      <c r="R102" s="252" t="str">
        <f t="shared" ca="1" si="119"/>
        <v/>
      </c>
      <c r="S102" s="252" t="str">
        <f t="shared" ca="1" si="120"/>
        <v/>
      </c>
      <c r="T102" s="252" t="str">
        <f t="shared" ca="1" si="121"/>
        <v/>
      </c>
      <c r="U102" s="252" t="str">
        <f t="shared" ca="1" si="122"/>
        <v>Y</v>
      </c>
      <c r="V102" s="252" t="str">
        <f t="shared" ca="1" si="123"/>
        <v/>
      </c>
      <c r="W102" s="252" t="str">
        <f t="shared" ca="1" si="124"/>
        <v/>
      </c>
      <c r="X102" s="252" t="str">
        <f t="shared" ca="1" si="125"/>
        <v/>
      </c>
      <c r="Y102" s="252" t="str">
        <f t="shared" ca="1" si="126"/>
        <v/>
      </c>
      <c r="Z102" s="252" t="str">
        <f t="shared" ca="1" si="127"/>
        <v>Y</v>
      </c>
      <c r="AB102" s="151"/>
      <c r="AC102" s="151"/>
      <c r="AD102" s="151"/>
      <c r="AE102" s="151"/>
      <c r="AF102" s="151"/>
      <c r="AG102" s="151"/>
      <c r="AH102" s="151"/>
      <c r="AI102" s="151"/>
      <c r="AJ102" s="151"/>
      <c r="AK102" s="151"/>
      <c r="AL102" s="151"/>
      <c r="AM102" s="151"/>
    </row>
    <row r="103" spans="1:40">
      <c r="A103" s="25" t="str">
        <f>PAC!A103</f>
        <v>YAD</v>
      </c>
      <c r="B103" s="2" t="str">
        <f>PAC!B103</f>
        <v>resident in</v>
      </c>
      <c r="C103" s="5" t="str">
        <f>PAC!C103</f>
        <v>cancer</v>
      </c>
      <c r="D103" s="255" t="str">
        <f t="shared" ref="D103:M103" si="130">IF(D$26=4,"Y","")</f>
        <v/>
      </c>
      <c r="E103" s="255" t="str">
        <f t="shared" si="130"/>
        <v/>
      </c>
      <c r="F103" s="255" t="str">
        <f t="shared" si="130"/>
        <v>Y</v>
      </c>
      <c r="G103" s="255" t="str">
        <f t="shared" si="130"/>
        <v/>
      </c>
      <c r="H103" s="255" t="str">
        <f t="shared" si="130"/>
        <v/>
      </c>
      <c r="I103" s="255" t="str">
        <f t="shared" si="130"/>
        <v/>
      </c>
      <c r="J103" s="255" t="str">
        <f t="shared" si="130"/>
        <v/>
      </c>
      <c r="K103" s="255" t="str">
        <f t="shared" si="130"/>
        <v/>
      </c>
      <c r="L103" s="255" t="str">
        <f t="shared" si="130"/>
        <v>Y</v>
      </c>
      <c r="M103" s="255" t="str">
        <f t="shared" si="130"/>
        <v/>
      </c>
      <c r="O103" s="252" t="str">
        <f t="shared" ca="1" si="116"/>
        <v/>
      </c>
      <c r="P103" s="252" t="str">
        <f t="shared" ca="1" si="117"/>
        <v/>
      </c>
      <c r="Q103" s="252" t="str">
        <f t="shared" ca="1" si="118"/>
        <v/>
      </c>
      <c r="R103" s="252" t="str">
        <f t="shared" ca="1" si="119"/>
        <v/>
      </c>
      <c r="S103" s="252" t="str">
        <f t="shared" ca="1" si="120"/>
        <v/>
      </c>
      <c r="T103" s="252" t="str">
        <f t="shared" ca="1" si="121"/>
        <v/>
      </c>
      <c r="U103" s="252" t="str">
        <f t="shared" ca="1" si="122"/>
        <v/>
      </c>
      <c r="V103" s="252" t="str">
        <f t="shared" ca="1" si="123"/>
        <v/>
      </c>
      <c r="W103" s="252" t="str">
        <f t="shared" ca="1" si="124"/>
        <v>Y</v>
      </c>
      <c r="X103" s="252" t="str">
        <f t="shared" ca="1" si="125"/>
        <v/>
      </c>
      <c r="Y103" s="252" t="str">
        <f t="shared" ca="1" si="126"/>
        <v/>
      </c>
      <c r="Z103" s="252" t="str">
        <f t="shared" ca="1" si="127"/>
        <v/>
      </c>
      <c r="AB103" s="151"/>
      <c r="AC103" s="151"/>
      <c r="AD103" s="151"/>
      <c r="AE103" s="151"/>
      <c r="AF103" s="151"/>
      <c r="AG103" s="151"/>
      <c r="AH103" s="151"/>
      <c r="AI103" s="151"/>
      <c r="AJ103" s="151"/>
      <c r="AK103" s="151"/>
      <c r="AL103" s="151"/>
      <c r="AM103" s="151"/>
    </row>
    <row r="104" spans="1:40">
      <c r="A104" s="25" t="str">
        <f>PAC!A104</f>
        <v>YAE</v>
      </c>
      <c r="B104" s="2" t="str">
        <f>PAC!B104</f>
        <v>resident in</v>
      </c>
      <c r="C104" s="5" t="str">
        <f>PAC!C104</f>
        <v>leo</v>
      </c>
      <c r="D104" s="255" t="str">
        <f t="shared" ref="D104:M104" si="131">IF(D$26=5,"Y","")</f>
        <v/>
      </c>
      <c r="E104" s="255" t="str">
        <f t="shared" si="131"/>
        <v/>
      </c>
      <c r="F104" s="255" t="str">
        <f t="shared" si="131"/>
        <v/>
      </c>
      <c r="G104" s="255" t="str">
        <f t="shared" si="131"/>
        <v/>
      </c>
      <c r="H104" s="255" t="str">
        <f t="shared" si="131"/>
        <v/>
      </c>
      <c r="I104" s="255" t="str">
        <f t="shared" si="131"/>
        <v/>
      </c>
      <c r="J104" s="255" t="str">
        <f t="shared" si="131"/>
        <v/>
      </c>
      <c r="K104" s="255" t="str">
        <f t="shared" si="131"/>
        <v/>
      </c>
      <c r="L104" s="255" t="str">
        <f t="shared" si="131"/>
        <v/>
      </c>
      <c r="M104" s="255" t="str">
        <f t="shared" si="131"/>
        <v/>
      </c>
      <c r="O104" s="252" t="str">
        <f t="shared" ca="1" si="116"/>
        <v/>
      </c>
      <c r="P104" s="252" t="str">
        <f t="shared" ca="1" si="117"/>
        <v/>
      </c>
      <c r="Q104" s="252" t="str">
        <f t="shared" ca="1" si="118"/>
        <v/>
      </c>
      <c r="R104" s="252" t="str">
        <f t="shared" ca="1" si="119"/>
        <v/>
      </c>
      <c r="S104" s="252" t="str">
        <f t="shared" ca="1" si="120"/>
        <v/>
      </c>
      <c r="T104" s="252" t="str">
        <f t="shared" ca="1" si="121"/>
        <v/>
      </c>
      <c r="U104" s="252" t="str">
        <f t="shared" ca="1" si="122"/>
        <v/>
      </c>
      <c r="V104" s="252" t="str">
        <f t="shared" ca="1" si="123"/>
        <v/>
      </c>
      <c r="W104" s="252" t="str">
        <f t="shared" ca="1" si="124"/>
        <v/>
      </c>
      <c r="X104" s="252" t="str">
        <f t="shared" ca="1" si="125"/>
        <v/>
      </c>
      <c r="Y104" s="252" t="str">
        <f t="shared" ca="1" si="126"/>
        <v/>
      </c>
      <c r="Z104" s="252" t="str">
        <f t="shared" ca="1" si="127"/>
        <v/>
      </c>
      <c r="AB104" s="151"/>
      <c r="AC104" s="151"/>
      <c r="AD104" s="151"/>
      <c r="AE104" s="151"/>
      <c r="AF104" s="151"/>
      <c r="AG104" s="151"/>
      <c r="AH104" s="151"/>
      <c r="AI104" s="151"/>
      <c r="AJ104" s="151"/>
      <c r="AK104" s="151"/>
      <c r="AL104" s="151"/>
      <c r="AM104" s="151"/>
    </row>
    <row r="105" spans="1:40">
      <c r="A105" s="25" t="str">
        <f>PAC!A105</f>
        <v>YAF</v>
      </c>
      <c r="B105" s="2" t="str">
        <f>PAC!B105</f>
        <v>resident in</v>
      </c>
      <c r="C105" s="5" t="str">
        <f>PAC!C105</f>
        <v>virgo</v>
      </c>
      <c r="D105" s="255" t="str">
        <f t="shared" ref="D105:M105" si="132">IF(D$26=6,"Y","")</f>
        <v/>
      </c>
      <c r="E105" s="255" t="str">
        <f t="shared" si="132"/>
        <v/>
      </c>
      <c r="F105" s="255" t="str">
        <f t="shared" si="132"/>
        <v/>
      </c>
      <c r="G105" s="255" t="str">
        <f t="shared" si="132"/>
        <v/>
      </c>
      <c r="H105" s="255" t="str">
        <f t="shared" si="132"/>
        <v/>
      </c>
      <c r="I105" s="255" t="str">
        <f t="shared" si="132"/>
        <v/>
      </c>
      <c r="J105" s="255" t="str">
        <f t="shared" si="132"/>
        <v/>
      </c>
      <c r="K105" s="255" t="str">
        <f t="shared" si="132"/>
        <v/>
      </c>
      <c r="L105" s="255" t="str">
        <f t="shared" si="132"/>
        <v/>
      </c>
      <c r="M105" s="255" t="str">
        <f t="shared" si="132"/>
        <v/>
      </c>
      <c r="O105" s="252" t="str">
        <f t="shared" ca="1" si="116"/>
        <v/>
      </c>
      <c r="P105" s="252" t="str">
        <f t="shared" ca="1" si="117"/>
        <v/>
      </c>
      <c r="Q105" s="252" t="str">
        <f t="shared" ca="1" si="118"/>
        <v/>
      </c>
      <c r="R105" s="252" t="str">
        <f t="shared" ca="1" si="119"/>
        <v/>
      </c>
      <c r="S105" s="252" t="str">
        <f t="shared" ca="1" si="120"/>
        <v/>
      </c>
      <c r="T105" s="252" t="str">
        <f t="shared" ca="1" si="121"/>
        <v/>
      </c>
      <c r="U105" s="252" t="str">
        <f t="shared" ca="1" si="122"/>
        <v/>
      </c>
      <c r="V105" s="252" t="str">
        <f t="shared" ca="1" si="123"/>
        <v/>
      </c>
      <c r="W105" s="252" t="str">
        <f t="shared" ca="1" si="124"/>
        <v/>
      </c>
      <c r="X105" s="252" t="str">
        <f t="shared" ca="1" si="125"/>
        <v/>
      </c>
      <c r="Y105" s="252" t="str">
        <f t="shared" ca="1" si="126"/>
        <v/>
      </c>
      <c r="Z105" s="252" t="str">
        <f t="shared" ca="1" si="127"/>
        <v/>
      </c>
      <c r="AB105" s="151"/>
      <c r="AC105" s="151"/>
      <c r="AD105" s="151"/>
      <c r="AE105" s="151"/>
      <c r="AF105" s="151"/>
      <c r="AG105" s="151"/>
      <c r="AH105" s="151"/>
      <c r="AI105" s="151"/>
      <c r="AJ105" s="151"/>
      <c r="AK105" s="151"/>
      <c r="AL105" s="151"/>
      <c r="AM105" s="151"/>
    </row>
    <row r="106" spans="1:40">
      <c r="A106" s="25" t="str">
        <f>PAC!A106</f>
        <v>YAG</v>
      </c>
      <c r="B106" s="2" t="str">
        <f>PAC!B106</f>
        <v>resident in</v>
      </c>
      <c r="C106" s="5" t="str">
        <f>PAC!C106</f>
        <v>libra</v>
      </c>
      <c r="D106" s="255" t="str">
        <f t="shared" ref="D106:M106" si="133">IF(D$26=7,"Y","")</f>
        <v/>
      </c>
      <c r="E106" s="255" t="str">
        <f t="shared" si="133"/>
        <v/>
      </c>
      <c r="F106" s="255" t="str">
        <f t="shared" si="133"/>
        <v/>
      </c>
      <c r="G106" s="255" t="str">
        <f t="shared" si="133"/>
        <v/>
      </c>
      <c r="H106" s="255" t="str">
        <f t="shared" si="133"/>
        <v/>
      </c>
      <c r="I106" s="255" t="str">
        <f t="shared" si="133"/>
        <v/>
      </c>
      <c r="J106" s="255" t="str">
        <f t="shared" si="133"/>
        <v>Y</v>
      </c>
      <c r="K106" s="255" t="str">
        <f t="shared" si="133"/>
        <v/>
      </c>
      <c r="L106" s="255" t="str">
        <f t="shared" si="133"/>
        <v/>
      </c>
      <c r="M106" s="255" t="str">
        <f t="shared" si="133"/>
        <v/>
      </c>
      <c r="O106" s="252" t="str">
        <f t="shared" ca="1" si="116"/>
        <v/>
      </c>
      <c r="P106" s="252" t="str">
        <f t="shared" ca="1" si="117"/>
        <v>Y</v>
      </c>
      <c r="Q106" s="252" t="str">
        <f t="shared" ca="1" si="118"/>
        <v/>
      </c>
      <c r="R106" s="252" t="str">
        <f t="shared" ca="1" si="119"/>
        <v/>
      </c>
      <c r="S106" s="252" t="str">
        <f t="shared" ca="1" si="120"/>
        <v>Y</v>
      </c>
      <c r="T106" s="252" t="str">
        <f t="shared" ca="1" si="121"/>
        <v/>
      </c>
      <c r="U106" s="252" t="str">
        <f t="shared" ca="1" si="122"/>
        <v/>
      </c>
      <c r="V106" s="252" t="str">
        <f t="shared" ca="1" si="123"/>
        <v/>
      </c>
      <c r="W106" s="252" t="str">
        <f t="shared" ca="1" si="124"/>
        <v/>
      </c>
      <c r="X106" s="252" t="str">
        <f t="shared" ca="1" si="125"/>
        <v/>
      </c>
      <c r="Y106" s="252" t="str">
        <f t="shared" ca="1" si="126"/>
        <v/>
      </c>
      <c r="Z106" s="252" t="str">
        <f t="shared" ca="1" si="127"/>
        <v/>
      </c>
      <c r="AB106" s="151"/>
      <c r="AC106" s="151"/>
      <c r="AD106" s="151"/>
      <c r="AE106" s="151"/>
      <c r="AF106" s="151"/>
      <c r="AG106" s="151"/>
      <c r="AH106" s="151"/>
      <c r="AI106" s="151"/>
      <c r="AJ106" s="151"/>
      <c r="AK106" s="151"/>
      <c r="AL106" s="151"/>
      <c r="AM106" s="151"/>
    </row>
    <row r="107" spans="1:40">
      <c r="A107" s="25" t="str">
        <f>PAC!A107</f>
        <v>YAH</v>
      </c>
      <c r="B107" s="2" t="str">
        <f>PAC!B107</f>
        <v>resident in</v>
      </c>
      <c r="C107" s="5" t="str">
        <f>PAC!C107</f>
        <v>scorpio</v>
      </c>
      <c r="D107" s="255" t="str">
        <f t="shared" ref="D107:M107" si="134">IF(D$26=8,"Y","")</f>
        <v>Y</v>
      </c>
      <c r="E107" s="255" t="str">
        <f t="shared" si="134"/>
        <v/>
      </c>
      <c r="F107" s="255" t="str">
        <f t="shared" si="134"/>
        <v/>
      </c>
      <c r="G107" s="255" t="str">
        <f t="shared" si="134"/>
        <v/>
      </c>
      <c r="H107" s="255" t="str">
        <f t="shared" si="134"/>
        <v/>
      </c>
      <c r="I107" s="255" t="str">
        <f t="shared" si="134"/>
        <v/>
      </c>
      <c r="J107" s="255" t="str">
        <f t="shared" si="134"/>
        <v/>
      </c>
      <c r="K107" s="255" t="str">
        <f t="shared" si="134"/>
        <v/>
      </c>
      <c r="L107" s="255" t="str">
        <f t="shared" si="134"/>
        <v/>
      </c>
      <c r="M107" s="255" t="str">
        <f t="shared" si="134"/>
        <v/>
      </c>
      <c r="O107" s="252" t="str">
        <f t="shared" ca="1" si="116"/>
        <v/>
      </c>
      <c r="P107" s="252" t="str">
        <f t="shared" ca="1" si="117"/>
        <v/>
      </c>
      <c r="Q107" s="252" t="str">
        <f t="shared" ca="1" si="118"/>
        <v/>
      </c>
      <c r="R107" s="252" t="str">
        <f t="shared" ca="1" si="119"/>
        <v/>
      </c>
      <c r="S107" s="252" t="str">
        <f t="shared" ca="1" si="120"/>
        <v/>
      </c>
      <c r="T107" s="252" t="str">
        <f t="shared" ca="1" si="121"/>
        <v/>
      </c>
      <c r="U107" s="252" t="str">
        <f t="shared" ca="1" si="122"/>
        <v/>
      </c>
      <c r="V107" s="252" t="str">
        <f t="shared" ca="1" si="123"/>
        <v/>
      </c>
      <c r="W107" s="252" t="str">
        <f t="shared" ca="1" si="124"/>
        <v/>
      </c>
      <c r="X107" s="252" t="str">
        <f t="shared" ca="1" si="125"/>
        <v/>
      </c>
      <c r="Y107" s="252" t="str">
        <f t="shared" ca="1" si="126"/>
        <v/>
      </c>
      <c r="Z107" s="252" t="str">
        <f t="shared" ca="1" si="127"/>
        <v/>
      </c>
      <c r="AB107" s="151"/>
      <c r="AC107" s="151"/>
      <c r="AD107" s="151"/>
      <c r="AE107" s="151"/>
      <c r="AF107" s="151"/>
      <c r="AG107" s="151"/>
      <c r="AH107" s="151"/>
      <c r="AI107" s="151"/>
      <c r="AJ107" s="151"/>
      <c r="AK107" s="151"/>
      <c r="AL107" s="151"/>
      <c r="AM107" s="151"/>
    </row>
    <row r="108" spans="1:40">
      <c r="A108" s="25" t="str">
        <f>PAC!A108</f>
        <v>YAI</v>
      </c>
      <c r="B108" s="2" t="str">
        <f>PAC!B108</f>
        <v>resident in</v>
      </c>
      <c r="C108" s="5" t="str">
        <f>PAC!C108</f>
        <v>sagitarrius</v>
      </c>
      <c r="D108" s="255" t="str">
        <f t="shared" ref="D108:M108" si="135">IF(D$26=9,"Y","")</f>
        <v/>
      </c>
      <c r="E108" s="255" t="str">
        <f t="shared" si="135"/>
        <v/>
      </c>
      <c r="F108" s="255" t="str">
        <f t="shared" si="135"/>
        <v/>
      </c>
      <c r="G108" s="255" t="str">
        <f t="shared" si="135"/>
        <v/>
      </c>
      <c r="H108" s="255" t="str">
        <f t="shared" si="135"/>
        <v/>
      </c>
      <c r="I108" s="255" t="str">
        <f t="shared" si="135"/>
        <v/>
      </c>
      <c r="J108" s="255" t="str">
        <f t="shared" si="135"/>
        <v/>
      </c>
      <c r="K108" s="255" t="str">
        <f t="shared" si="135"/>
        <v>Y</v>
      </c>
      <c r="L108" s="255" t="str">
        <f t="shared" si="135"/>
        <v/>
      </c>
      <c r="M108" s="255" t="str">
        <f t="shared" si="135"/>
        <v/>
      </c>
      <c r="O108" s="252" t="str">
        <f t="shared" ca="1" si="116"/>
        <v/>
      </c>
      <c r="P108" s="252" t="str">
        <f t="shared" ca="1" si="117"/>
        <v/>
      </c>
      <c r="Q108" s="252" t="str">
        <f t="shared" ca="1" si="118"/>
        <v>Y</v>
      </c>
      <c r="R108" s="252" t="str">
        <f t="shared" ca="1" si="119"/>
        <v>Y</v>
      </c>
      <c r="S108" s="252" t="str">
        <f t="shared" ca="1" si="120"/>
        <v/>
      </c>
      <c r="T108" s="252" t="str">
        <f t="shared" ca="1" si="121"/>
        <v/>
      </c>
      <c r="U108" s="252" t="str">
        <f t="shared" ca="1" si="122"/>
        <v/>
      </c>
      <c r="V108" s="252" t="str">
        <f t="shared" ca="1" si="123"/>
        <v/>
      </c>
      <c r="W108" s="252" t="str">
        <f t="shared" ca="1" si="124"/>
        <v/>
      </c>
      <c r="X108" s="252" t="str">
        <f t="shared" ca="1" si="125"/>
        <v/>
      </c>
      <c r="Y108" s="252" t="str">
        <f t="shared" ca="1" si="126"/>
        <v/>
      </c>
      <c r="Z108" s="252" t="str">
        <f t="shared" ca="1" si="127"/>
        <v/>
      </c>
      <c r="AB108" s="151"/>
      <c r="AC108" s="151"/>
      <c r="AD108" s="151"/>
      <c r="AE108" s="151"/>
      <c r="AF108" s="151"/>
      <c r="AG108" s="151"/>
      <c r="AH108" s="151"/>
      <c r="AI108" s="151"/>
      <c r="AJ108" s="151"/>
      <c r="AK108" s="151"/>
      <c r="AL108" s="151"/>
      <c r="AM108" s="151"/>
    </row>
    <row r="109" spans="1:40">
      <c r="A109" s="25" t="str">
        <f>PAC!A109</f>
        <v>YAJ</v>
      </c>
      <c r="B109" s="2" t="str">
        <f>PAC!B109</f>
        <v>resident in</v>
      </c>
      <c r="C109" s="5" t="str">
        <f>PAC!C109</f>
        <v>capricorn</v>
      </c>
      <c r="D109" s="255" t="str">
        <f t="shared" ref="D109:M109" si="136">IF(D$26=10,"Y","")</f>
        <v/>
      </c>
      <c r="E109" s="255" t="str">
        <f t="shared" si="136"/>
        <v/>
      </c>
      <c r="F109" s="255" t="str">
        <f t="shared" si="136"/>
        <v/>
      </c>
      <c r="G109" s="255" t="str">
        <f t="shared" si="136"/>
        <v/>
      </c>
      <c r="H109" s="255" t="str">
        <f t="shared" si="136"/>
        <v/>
      </c>
      <c r="I109" s="255" t="str">
        <f t="shared" si="136"/>
        <v>Y</v>
      </c>
      <c r="J109" s="255" t="str">
        <f t="shared" si="136"/>
        <v/>
      </c>
      <c r="K109" s="255" t="str">
        <f t="shared" si="136"/>
        <v/>
      </c>
      <c r="L109" s="255" t="str">
        <f t="shared" si="136"/>
        <v/>
      </c>
      <c r="M109" s="255" t="str">
        <f t="shared" si="136"/>
        <v>Y</v>
      </c>
      <c r="O109" s="252" t="str">
        <f t="shared" ca="1" si="116"/>
        <v>Y</v>
      </c>
      <c r="P109" s="252" t="str">
        <f t="shared" ca="1" si="117"/>
        <v/>
      </c>
      <c r="Q109" s="252" t="str">
        <f t="shared" ca="1" si="118"/>
        <v/>
      </c>
      <c r="R109" s="252" t="str">
        <f t="shared" ca="1" si="119"/>
        <v/>
      </c>
      <c r="S109" s="252" t="str">
        <f t="shared" ca="1" si="120"/>
        <v/>
      </c>
      <c r="T109" s="252" t="str">
        <f t="shared" ca="1" si="121"/>
        <v>Y</v>
      </c>
      <c r="U109" s="252" t="str">
        <f t="shared" ca="1" si="122"/>
        <v/>
      </c>
      <c r="V109" s="252" t="str">
        <f t="shared" ca="1" si="123"/>
        <v/>
      </c>
      <c r="W109" s="252" t="str">
        <f t="shared" ca="1" si="124"/>
        <v/>
      </c>
      <c r="X109" s="252" t="str">
        <f t="shared" ca="1" si="125"/>
        <v/>
      </c>
      <c r="Y109" s="252" t="str">
        <f t="shared" ca="1" si="126"/>
        <v/>
      </c>
      <c r="Z109" s="252" t="str">
        <f t="shared" ca="1" si="127"/>
        <v/>
      </c>
      <c r="AB109" s="151"/>
      <c r="AC109" s="151"/>
      <c r="AD109" s="151"/>
      <c r="AE109" s="151"/>
      <c r="AF109" s="151"/>
      <c r="AG109" s="151"/>
      <c r="AH109" s="151"/>
      <c r="AI109" s="151"/>
      <c r="AJ109" s="151"/>
      <c r="AK109" s="151"/>
      <c r="AL109" s="151"/>
      <c r="AM109" s="151"/>
    </row>
    <row r="110" spans="1:40">
      <c r="A110" s="25" t="str">
        <f>PAC!A110</f>
        <v>YAK</v>
      </c>
      <c r="B110" s="2" t="str">
        <f>PAC!B110</f>
        <v>resident in</v>
      </c>
      <c r="C110" s="5" t="str">
        <f>PAC!C110</f>
        <v>aquarius</v>
      </c>
      <c r="D110" s="255" t="str">
        <f t="shared" ref="D110:M110" si="137">IF(D$26=11,"Y","")</f>
        <v/>
      </c>
      <c r="E110" s="255" t="str">
        <f t="shared" si="137"/>
        <v/>
      </c>
      <c r="F110" s="255" t="str">
        <f t="shared" si="137"/>
        <v/>
      </c>
      <c r="G110" s="255" t="str">
        <f t="shared" si="137"/>
        <v/>
      </c>
      <c r="H110" s="255" t="str">
        <f t="shared" si="137"/>
        <v/>
      </c>
      <c r="I110" s="255" t="str">
        <f t="shared" si="137"/>
        <v/>
      </c>
      <c r="J110" s="255" t="str">
        <f t="shared" si="137"/>
        <v/>
      </c>
      <c r="K110" s="255" t="str">
        <f t="shared" si="137"/>
        <v/>
      </c>
      <c r="L110" s="255" t="str">
        <f t="shared" si="137"/>
        <v/>
      </c>
      <c r="M110" s="255" t="str">
        <f t="shared" si="137"/>
        <v/>
      </c>
      <c r="O110" s="252" t="str">
        <f t="shared" ca="1" si="116"/>
        <v/>
      </c>
      <c r="P110" s="252" t="str">
        <f t="shared" ca="1" si="117"/>
        <v/>
      </c>
      <c r="Q110" s="252" t="str">
        <f t="shared" ca="1" si="118"/>
        <v/>
      </c>
      <c r="R110" s="252" t="str">
        <f t="shared" ca="1" si="119"/>
        <v/>
      </c>
      <c r="S110" s="252" t="str">
        <f t="shared" ca="1" si="120"/>
        <v/>
      </c>
      <c r="T110" s="252" t="str">
        <f t="shared" ca="1" si="121"/>
        <v/>
      </c>
      <c r="U110" s="252" t="str">
        <f t="shared" ca="1" si="122"/>
        <v/>
      </c>
      <c r="V110" s="252" t="str">
        <f t="shared" ca="1" si="123"/>
        <v/>
      </c>
      <c r="W110" s="252" t="str">
        <f t="shared" ca="1" si="124"/>
        <v/>
      </c>
      <c r="X110" s="252" t="str">
        <f t="shared" ca="1" si="125"/>
        <v/>
      </c>
      <c r="Y110" s="252" t="str">
        <f t="shared" ca="1" si="126"/>
        <v/>
      </c>
      <c r="Z110" s="252" t="str">
        <f t="shared" ca="1" si="127"/>
        <v/>
      </c>
      <c r="AB110" s="151"/>
      <c r="AC110" s="151"/>
      <c r="AD110" s="151"/>
      <c r="AE110" s="151"/>
      <c r="AF110" s="151"/>
      <c r="AG110" s="151"/>
      <c r="AH110" s="151"/>
      <c r="AI110" s="151"/>
      <c r="AJ110" s="151"/>
      <c r="AK110" s="151"/>
      <c r="AL110" s="151"/>
      <c r="AM110" s="151"/>
    </row>
    <row r="111" spans="1:40">
      <c r="A111" s="25" t="str">
        <f>PAC!A111</f>
        <v>YAL</v>
      </c>
      <c r="B111" s="2" t="str">
        <f>PAC!B111</f>
        <v>resident in</v>
      </c>
      <c r="C111" s="5" t="str">
        <f>PAC!C111</f>
        <v>pisces</v>
      </c>
      <c r="D111" s="255" t="str">
        <f t="shared" ref="D111:M111" si="138">IF(D$26=12,"Y","")</f>
        <v/>
      </c>
      <c r="E111" s="255" t="str">
        <f t="shared" si="138"/>
        <v/>
      </c>
      <c r="F111" s="255" t="str">
        <f t="shared" si="138"/>
        <v/>
      </c>
      <c r="G111" s="255" t="str">
        <f t="shared" si="138"/>
        <v/>
      </c>
      <c r="H111" s="255" t="str">
        <f t="shared" si="138"/>
        <v/>
      </c>
      <c r="I111" s="255" t="str">
        <f t="shared" si="138"/>
        <v/>
      </c>
      <c r="J111" s="255" t="str">
        <f t="shared" si="138"/>
        <v/>
      </c>
      <c r="K111" s="255" t="str">
        <f t="shared" si="138"/>
        <v/>
      </c>
      <c r="L111" s="255" t="str">
        <f t="shared" si="138"/>
        <v/>
      </c>
      <c r="M111" s="255" t="str">
        <f t="shared" si="138"/>
        <v/>
      </c>
      <c r="O111" s="252" t="str">
        <f t="shared" ca="1" si="116"/>
        <v/>
      </c>
      <c r="P111" s="252" t="str">
        <f t="shared" ca="1" si="117"/>
        <v/>
      </c>
      <c r="Q111" s="252" t="str">
        <f t="shared" ca="1" si="118"/>
        <v/>
      </c>
      <c r="R111" s="252" t="str">
        <f t="shared" ca="1" si="119"/>
        <v/>
      </c>
      <c r="S111" s="252" t="str">
        <f t="shared" ca="1" si="120"/>
        <v/>
      </c>
      <c r="T111" s="252" t="str">
        <f t="shared" ca="1" si="121"/>
        <v/>
      </c>
      <c r="U111" s="252" t="str">
        <f t="shared" ca="1" si="122"/>
        <v/>
      </c>
      <c r="V111" s="252" t="str">
        <f t="shared" ca="1" si="123"/>
        <v/>
      </c>
      <c r="W111" s="252" t="str">
        <f t="shared" ca="1" si="124"/>
        <v/>
      </c>
      <c r="X111" s="252" t="str">
        <f t="shared" ca="1" si="125"/>
        <v/>
      </c>
      <c r="Y111" s="252" t="str">
        <f t="shared" ca="1" si="126"/>
        <v/>
      </c>
      <c r="Z111" s="252" t="str">
        <f t="shared" ca="1" si="127"/>
        <v/>
      </c>
      <c r="AB111" s="151"/>
      <c r="AC111" s="151"/>
      <c r="AD111" s="151"/>
      <c r="AE111" s="151"/>
      <c r="AF111" s="151"/>
      <c r="AG111" s="151"/>
      <c r="AH111" s="151"/>
      <c r="AI111" s="151"/>
      <c r="AJ111" s="151"/>
      <c r="AK111" s="151"/>
      <c r="AL111" s="151"/>
      <c r="AM111" s="151"/>
    </row>
    <row r="112" spans="1:40">
      <c r="A112" s="63"/>
      <c r="B112" s="54"/>
      <c r="C112" s="49"/>
      <c r="D112" s="255"/>
      <c r="E112" s="255"/>
      <c r="F112" s="255"/>
      <c r="G112" s="255"/>
      <c r="H112" s="255"/>
      <c r="I112" s="255"/>
      <c r="J112" s="255"/>
      <c r="K112" s="255"/>
      <c r="L112" s="255"/>
      <c r="M112" s="255"/>
      <c r="O112" s="57"/>
      <c r="P112" s="57"/>
      <c r="Q112" s="57"/>
      <c r="R112" s="57"/>
      <c r="S112" s="57"/>
      <c r="T112" s="57"/>
      <c r="U112" s="57"/>
      <c r="V112" s="57"/>
      <c r="W112" s="57"/>
      <c r="X112" s="57"/>
      <c r="Y112" s="57"/>
      <c r="Z112" s="57"/>
      <c r="AB112" s="151"/>
      <c r="AC112" s="151"/>
      <c r="AD112" s="151"/>
      <c r="AE112" s="151"/>
      <c r="AF112" s="151"/>
      <c r="AG112" s="151"/>
      <c r="AH112" s="151"/>
      <c r="AI112" s="151"/>
      <c r="AJ112" s="151"/>
      <c r="AK112" s="151"/>
      <c r="AL112" s="151"/>
      <c r="AM112" s="151"/>
    </row>
    <row r="113" spans="1:39">
      <c r="A113" s="25" t="str">
        <f>PAC!A113</f>
        <v>YAM</v>
      </c>
      <c r="B113" s="2" t="str">
        <f>PAC!B113</f>
        <v>resident in</v>
      </c>
      <c r="C113" s="5" t="str">
        <f>PAC!C113</f>
        <v>first bhava</v>
      </c>
      <c r="D113" s="255"/>
      <c r="E113" s="255" t="str">
        <f t="shared" ref="E113:M113" si="139">IF(E$30=1,"Y","")</f>
        <v/>
      </c>
      <c r="F113" s="255" t="str">
        <f t="shared" si="139"/>
        <v/>
      </c>
      <c r="G113" s="255" t="str">
        <f t="shared" si="139"/>
        <v/>
      </c>
      <c r="H113" s="255" t="str">
        <f t="shared" si="139"/>
        <v/>
      </c>
      <c r="I113" s="255" t="str">
        <f t="shared" si="139"/>
        <v/>
      </c>
      <c r="J113" s="255" t="str">
        <f t="shared" si="139"/>
        <v/>
      </c>
      <c r="K113" s="255" t="str">
        <f t="shared" si="139"/>
        <v/>
      </c>
      <c r="L113" s="255" t="str">
        <f t="shared" si="139"/>
        <v/>
      </c>
      <c r="M113" s="255" t="str">
        <f t="shared" si="139"/>
        <v/>
      </c>
      <c r="O113" s="252" t="str">
        <f t="shared" ref="O113:O124" ca="1" si="140">IF(ISBLANK(OFFSET(O113,0,-11+O$34))," ",OFFSET(O113,0,-11+O$34))</f>
        <v/>
      </c>
      <c r="P113" s="252" t="str">
        <f t="shared" ref="P113:P124" ca="1" si="141">IF(ISBLANK(OFFSET(P113,0,-12+P$34))," ",OFFSET(P113,0,-12+P$34))</f>
        <v/>
      </c>
      <c r="Q113" s="252" t="str">
        <f t="shared" ref="Q113:Q124" ca="1" si="142">IF(ISBLANK(OFFSET(Q113,0,-13+Q$34))," ",OFFSET(Q113,0,-13+Q$34))</f>
        <v/>
      </c>
      <c r="R113" s="252" t="str">
        <f t="shared" ref="R113:R124" ca="1" si="143">IF(ISBLANK(OFFSET(R113,0,-14+R$34))," ",OFFSET(R113,0,-14+R$34))</f>
        <v/>
      </c>
      <c r="S113" s="252" t="str">
        <f t="shared" ref="S113:S124" ca="1" si="144">IF(ISBLANK(OFFSET(S113,0,-15+S$34))," ",OFFSET(S113,0,-15+S$34))</f>
        <v/>
      </c>
      <c r="T113" s="252" t="str">
        <f t="shared" ref="T113:T124" ca="1" si="145">IF(ISBLANK(OFFSET(T113,0,-16+T$34))," ",OFFSET(T113,0,-16+T$34))</f>
        <v/>
      </c>
      <c r="U113" s="252" t="str">
        <f t="shared" ref="U113:U124" ca="1" si="146">IF(ISBLANK(OFFSET(U113,0,-17+U$34))," ",OFFSET(U113,0,-17+U$34))</f>
        <v/>
      </c>
      <c r="V113" s="252" t="str">
        <f t="shared" ref="V113:V124" ca="1" si="147">IF(ISBLANK(OFFSET(V113,0,-18+V$34))," ",OFFSET(V113,0,-18+V$34))</f>
        <v/>
      </c>
      <c r="W113" s="252" t="str">
        <f t="shared" ref="W113:W124" ca="1" si="148">IF(ISBLANK(OFFSET(W113,0,-19+W$34))," ",OFFSET(W113,0,-19+W$34))</f>
        <v/>
      </c>
      <c r="X113" s="252" t="str">
        <f t="shared" ref="X113:X124" ca="1" si="149">IF(ISBLANK(OFFSET(X113,0,-20+X$34))," ",OFFSET(X113,0,-20+X$34))</f>
        <v/>
      </c>
      <c r="Y113" s="252" t="str">
        <f t="shared" ref="Y113:Y124" ca="1" si="150">IF(ISBLANK(OFFSET(Y113,0,-21+Y$34))," ",OFFSET(Y113,0,-21+Y$34))</f>
        <v/>
      </c>
      <c r="Z113" s="252" t="str">
        <f t="shared" ref="Z113:Z124" ca="1" si="151">IF(ISBLANK(OFFSET(Z113,0,-22+Z$34))," ",OFFSET(Z113,0,-22+Z$34))</f>
        <v/>
      </c>
      <c r="AB113" s="151"/>
      <c r="AC113" s="151"/>
      <c r="AD113" s="151"/>
      <c r="AE113" s="151"/>
      <c r="AF113" s="151"/>
      <c r="AG113" s="151"/>
      <c r="AH113" s="151"/>
      <c r="AI113" s="151"/>
      <c r="AJ113" s="151"/>
      <c r="AK113" s="151"/>
      <c r="AL113" s="151"/>
      <c r="AM113" s="151"/>
    </row>
    <row r="114" spans="1:39">
      <c r="A114" s="25" t="str">
        <f>PAC!A114</f>
        <v>YAN</v>
      </c>
      <c r="B114" s="2" t="str">
        <f>PAC!B114</f>
        <v>resident in</v>
      </c>
      <c r="C114" s="5" t="str">
        <f>PAC!C114</f>
        <v>second bhava</v>
      </c>
      <c r="D114" s="255"/>
      <c r="E114" s="255" t="str">
        <f t="shared" ref="E114:M114" si="152">IF(E$30=2,"Y","")</f>
        <v/>
      </c>
      <c r="F114" s="255" t="str">
        <f t="shared" si="152"/>
        <v/>
      </c>
      <c r="G114" s="255" t="str">
        <f t="shared" si="152"/>
        <v/>
      </c>
      <c r="H114" s="255" t="str">
        <f t="shared" si="152"/>
        <v/>
      </c>
      <c r="I114" s="255" t="str">
        <f t="shared" si="152"/>
        <v/>
      </c>
      <c r="J114" s="255" t="str">
        <f t="shared" si="152"/>
        <v/>
      </c>
      <c r="K114" s="255" t="str">
        <f t="shared" si="152"/>
        <v>Y</v>
      </c>
      <c r="L114" s="255" t="str">
        <f t="shared" si="152"/>
        <v/>
      </c>
      <c r="M114" s="255" t="str">
        <f t="shared" si="152"/>
        <v/>
      </c>
      <c r="O114" s="252" t="str">
        <f t="shared" ca="1" si="140"/>
        <v/>
      </c>
      <c r="P114" s="252" t="str">
        <f t="shared" ca="1" si="141"/>
        <v/>
      </c>
      <c r="Q114" s="252" t="str">
        <f t="shared" ca="1" si="142"/>
        <v>Y</v>
      </c>
      <c r="R114" s="252" t="str">
        <f t="shared" ca="1" si="143"/>
        <v>Y</v>
      </c>
      <c r="S114" s="252" t="str">
        <f t="shared" ca="1" si="144"/>
        <v/>
      </c>
      <c r="T114" s="252" t="str">
        <f t="shared" ca="1" si="145"/>
        <v/>
      </c>
      <c r="U114" s="252" t="str">
        <f t="shared" ca="1" si="146"/>
        <v/>
      </c>
      <c r="V114" s="252" t="str">
        <f t="shared" ca="1" si="147"/>
        <v/>
      </c>
      <c r="W114" s="252" t="str">
        <f t="shared" ca="1" si="148"/>
        <v/>
      </c>
      <c r="X114" s="252" t="str">
        <f t="shared" ca="1" si="149"/>
        <v/>
      </c>
      <c r="Y114" s="252" t="str">
        <f t="shared" ca="1" si="150"/>
        <v/>
      </c>
      <c r="Z114" s="252" t="str">
        <f t="shared" ca="1" si="151"/>
        <v/>
      </c>
      <c r="AB114" s="151"/>
      <c r="AC114" s="151"/>
      <c r="AD114" s="151"/>
      <c r="AE114" s="151"/>
      <c r="AF114" s="151"/>
      <c r="AG114" s="151"/>
      <c r="AH114" s="151"/>
      <c r="AI114" s="151"/>
      <c r="AJ114" s="151"/>
      <c r="AK114" s="151"/>
      <c r="AL114" s="151"/>
      <c r="AM114" s="151"/>
    </row>
    <row r="115" spans="1:39">
      <c r="A115" s="25" t="str">
        <f>PAC!A115</f>
        <v>YAO</v>
      </c>
      <c r="B115" s="2" t="str">
        <f>PAC!B115</f>
        <v>resident in</v>
      </c>
      <c r="C115" s="5" t="str">
        <f>PAC!C115</f>
        <v>third bhava</v>
      </c>
      <c r="D115" s="255"/>
      <c r="E115" s="255" t="str">
        <f t="shared" ref="E115:M115" si="153">IF(E$30=3,"Y","")</f>
        <v/>
      </c>
      <c r="F115" s="255" t="str">
        <f t="shared" si="153"/>
        <v/>
      </c>
      <c r="G115" s="255" t="str">
        <f t="shared" si="153"/>
        <v/>
      </c>
      <c r="H115" s="255" t="str">
        <f t="shared" si="153"/>
        <v/>
      </c>
      <c r="I115" s="255" t="str">
        <f t="shared" si="153"/>
        <v>Y</v>
      </c>
      <c r="J115" s="255" t="str">
        <f t="shared" si="153"/>
        <v/>
      </c>
      <c r="K115" s="255" t="str">
        <f t="shared" si="153"/>
        <v/>
      </c>
      <c r="L115" s="255" t="str">
        <f t="shared" si="153"/>
        <v/>
      </c>
      <c r="M115" s="255" t="str">
        <f t="shared" si="153"/>
        <v>Y</v>
      </c>
      <c r="O115" s="252" t="str">
        <f t="shared" ca="1" si="140"/>
        <v>Y</v>
      </c>
      <c r="P115" s="252" t="str">
        <f t="shared" ca="1" si="141"/>
        <v/>
      </c>
      <c r="Q115" s="252" t="str">
        <f t="shared" ca="1" si="142"/>
        <v/>
      </c>
      <c r="R115" s="252" t="str">
        <f t="shared" ca="1" si="143"/>
        <v/>
      </c>
      <c r="S115" s="252" t="str">
        <f t="shared" ca="1" si="144"/>
        <v/>
      </c>
      <c r="T115" s="252" t="str">
        <f t="shared" ca="1" si="145"/>
        <v>Y</v>
      </c>
      <c r="U115" s="252" t="str">
        <f t="shared" ca="1" si="146"/>
        <v/>
      </c>
      <c r="V115" s="252" t="str">
        <f t="shared" ca="1" si="147"/>
        <v/>
      </c>
      <c r="W115" s="252" t="str">
        <f t="shared" ca="1" si="148"/>
        <v/>
      </c>
      <c r="X115" s="252" t="str">
        <f t="shared" ca="1" si="149"/>
        <v/>
      </c>
      <c r="Y115" s="252" t="str">
        <f t="shared" ca="1" si="150"/>
        <v/>
      </c>
      <c r="Z115" s="252" t="str">
        <f t="shared" ca="1" si="151"/>
        <v/>
      </c>
      <c r="AB115" s="151"/>
      <c r="AC115" s="151"/>
      <c r="AD115" s="151"/>
      <c r="AE115" s="151"/>
      <c r="AF115" s="151"/>
      <c r="AG115" s="151"/>
      <c r="AH115" s="151"/>
      <c r="AI115" s="151"/>
      <c r="AJ115" s="151"/>
      <c r="AK115" s="151"/>
      <c r="AL115" s="151"/>
      <c r="AM115" s="151"/>
    </row>
    <row r="116" spans="1:39">
      <c r="A116" s="25" t="str">
        <f>PAC!A116</f>
        <v>YAP</v>
      </c>
      <c r="B116" s="2" t="str">
        <f>PAC!B116</f>
        <v>resident in</v>
      </c>
      <c r="C116" s="5" t="str">
        <f>PAC!C116</f>
        <v>fourth bhava</v>
      </c>
      <c r="D116" s="255"/>
      <c r="E116" s="255" t="str">
        <f t="shared" ref="E116:M116" si="154">IF(E$30=4,"Y","")</f>
        <v/>
      </c>
      <c r="F116" s="255" t="str">
        <f t="shared" si="154"/>
        <v/>
      </c>
      <c r="G116" s="255" t="str">
        <f t="shared" si="154"/>
        <v/>
      </c>
      <c r="H116" s="255" t="str">
        <f t="shared" si="154"/>
        <v/>
      </c>
      <c r="I116" s="255" t="str">
        <f t="shared" si="154"/>
        <v/>
      </c>
      <c r="J116" s="255" t="str">
        <f t="shared" si="154"/>
        <v/>
      </c>
      <c r="K116" s="255" t="str">
        <f t="shared" si="154"/>
        <v/>
      </c>
      <c r="L116" s="255" t="str">
        <f t="shared" si="154"/>
        <v/>
      </c>
      <c r="M116" s="255" t="str">
        <f t="shared" si="154"/>
        <v/>
      </c>
      <c r="O116" s="252" t="str">
        <f t="shared" ca="1" si="140"/>
        <v/>
      </c>
      <c r="P116" s="252" t="str">
        <f t="shared" ca="1" si="141"/>
        <v/>
      </c>
      <c r="Q116" s="252" t="str">
        <f t="shared" ca="1" si="142"/>
        <v/>
      </c>
      <c r="R116" s="252" t="str">
        <f t="shared" ca="1" si="143"/>
        <v/>
      </c>
      <c r="S116" s="252" t="str">
        <f t="shared" ca="1" si="144"/>
        <v/>
      </c>
      <c r="T116" s="252" t="str">
        <f t="shared" ca="1" si="145"/>
        <v/>
      </c>
      <c r="U116" s="252" t="str">
        <f t="shared" ca="1" si="146"/>
        <v/>
      </c>
      <c r="V116" s="252" t="str">
        <f t="shared" ca="1" si="147"/>
        <v/>
      </c>
      <c r="W116" s="252" t="str">
        <f t="shared" ca="1" si="148"/>
        <v/>
      </c>
      <c r="X116" s="252" t="str">
        <f t="shared" ca="1" si="149"/>
        <v/>
      </c>
      <c r="Y116" s="252" t="str">
        <f t="shared" ca="1" si="150"/>
        <v/>
      </c>
      <c r="Z116" s="252" t="str">
        <f t="shared" ca="1" si="151"/>
        <v/>
      </c>
      <c r="AB116" s="151"/>
      <c r="AC116" s="151"/>
      <c r="AD116" s="151"/>
      <c r="AE116" s="151"/>
      <c r="AF116" s="151"/>
      <c r="AG116" s="151"/>
      <c r="AH116" s="151"/>
      <c r="AI116" s="151"/>
      <c r="AJ116" s="151"/>
      <c r="AK116" s="151"/>
      <c r="AL116" s="151"/>
      <c r="AM116" s="151"/>
    </row>
    <row r="117" spans="1:39">
      <c r="A117" s="25" t="str">
        <f>PAC!A117</f>
        <v>YAQ</v>
      </c>
      <c r="B117" s="2" t="str">
        <f>PAC!B117</f>
        <v>resident in</v>
      </c>
      <c r="C117" s="5" t="str">
        <f>PAC!C117</f>
        <v>fifth bhava</v>
      </c>
      <c r="D117" s="255"/>
      <c r="E117" s="255" t="str">
        <f t="shared" ref="E117:M117" si="155">IF(E$30=5,"Y","")</f>
        <v/>
      </c>
      <c r="F117" s="255" t="str">
        <f t="shared" si="155"/>
        <v/>
      </c>
      <c r="G117" s="255" t="str">
        <f t="shared" si="155"/>
        <v/>
      </c>
      <c r="H117" s="255" t="str">
        <f t="shared" si="155"/>
        <v/>
      </c>
      <c r="I117" s="255" t="str">
        <f t="shared" si="155"/>
        <v/>
      </c>
      <c r="J117" s="255" t="str">
        <f t="shared" si="155"/>
        <v/>
      </c>
      <c r="K117" s="255" t="str">
        <f t="shared" si="155"/>
        <v/>
      </c>
      <c r="L117" s="255" t="str">
        <f t="shared" si="155"/>
        <v/>
      </c>
      <c r="M117" s="255" t="str">
        <f t="shared" si="155"/>
        <v/>
      </c>
      <c r="O117" s="252" t="str">
        <f t="shared" ca="1" si="140"/>
        <v/>
      </c>
      <c r="P117" s="252" t="str">
        <f t="shared" ca="1" si="141"/>
        <v/>
      </c>
      <c r="Q117" s="252" t="str">
        <f t="shared" ca="1" si="142"/>
        <v/>
      </c>
      <c r="R117" s="252" t="str">
        <f t="shared" ca="1" si="143"/>
        <v/>
      </c>
      <c r="S117" s="252" t="str">
        <f t="shared" ca="1" si="144"/>
        <v/>
      </c>
      <c r="T117" s="252" t="str">
        <f t="shared" ca="1" si="145"/>
        <v/>
      </c>
      <c r="U117" s="252" t="str">
        <f t="shared" ca="1" si="146"/>
        <v/>
      </c>
      <c r="V117" s="252" t="str">
        <f t="shared" ca="1" si="147"/>
        <v/>
      </c>
      <c r="W117" s="252" t="str">
        <f t="shared" ca="1" si="148"/>
        <v/>
      </c>
      <c r="X117" s="252" t="str">
        <f t="shared" ca="1" si="149"/>
        <v/>
      </c>
      <c r="Y117" s="252" t="str">
        <f t="shared" ca="1" si="150"/>
        <v/>
      </c>
      <c r="Z117" s="252" t="str">
        <f t="shared" ca="1" si="151"/>
        <v/>
      </c>
      <c r="AB117" s="151"/>
      <c r="AC117" s="151"/>
      <c r="AD117" s="151"/>
      <c r="AE117" s="151"/>
      <c r="AF117" s="151"/>
      <c r="AG117" s="151"/>
      <c r="AH117" s="151"/>
      <c r="AI117" s="151"/>
      <c r="AJ117" s="151"/>
      <c r="AK117" s="151"/>
      <c r="AL117" s="151"/>
      <c r="AM117" s="151"/>
    </row>
    <row r="118" spans="1:39">
      <c r="A118" s="25" t="str">
        <f>PAC!A118</f>
        <v>YAR</v>
      </c>
      <c r="B118" s="2" t="str">
        <f>PAC!B118</f>
        <v>resident in</v>
      </c>
      <c r="C118" s="5" t="str">
        <f>PAC!C118</f>
        <v>sixth bhava</v>
      </c>
      <c r="D118" s="255"/>
      <c r="E118" s="255" t="str">
        <f t="shared" ref="E118:M118" si="156">IF(E$30=6,"Y","")</f>
        <v/>
      </c>
      <c r="F118" s="255" t="str">
        <f t="shared" si="156"/>
        <v/>
      </c>
      <c r="G118" s="255" t="str">
        <f t="shared" si="156"/>
        <v>Y</v>
      </c>
      <c r="H118" s="255" t="str">
        <f t="shared" si="156"/>
        <v/>
      </c>
      <c r="I118" s="255" t="str">
        <f t="shared" si="156"/>
        <v/>
      </c>
      <c r="J118" s="255" t="str">
        <f t="shared" si="156"/>
        <v/>
      </c>
      <c r="K118" s="255" t="str">
        <f t="shared" si="156"/>
        <v/>
      </c>
      <c r="L118" s="255" t="str">
        <f t="shared" si="156"/>
        <v/>
      </c>
      <c r="M118" s="255" t="str">
        <f t="shared" si="156"/>
        <v/>
      </c>
      <c r="O118" s="252" t="str">
        <f t="shared" ca="1" si="140"/>
        <v/>
      </c>
      <c r="P118" s="252" t="str">
        <f t="shared" ca="1" si="141"/>
        <v/>
      </c>
      <c r="Q118" s="252" t="str">
        <f t="shared" ca="1" si="142"/>
        <v/>
      </c>
      <c r="R118" s="252" t="str">
        <f t="shared" ca="1" si="143"/>
        <v/>
      </c>
      <c r="S118" s="252" t="str">
        <f t="shared" ca="1" si="144"/>
        <v/>
      </c>
      <c r="T118" s="252" t="str">
        <f t="shared" ca="1" si="145"/>
        <v/>
      </c>
      <c r="U118" s="252" t="str">
        <f t="shared" ca="1" si="146"/>
        <v/>
      </c>
      <c r="V118" s="252" t="str">
        <f t="shared" ca="1" si="147"/>
        <v>Y</v>
      </c>
      <c r="W118" s="252" t="str">
        <f t="shared" ca="1" si="148"/>
        <v/>
      </c>
      <c r="X118" s="252" t="str">
        <f t="shared" ca="1" si="149"/>
        <v/>
      </c>
      <c r="Y118" s="252" t="str">
        <f t="shared" ca="1" si="150"/>
        <v>Y</v>
      </c>
      <c r="Z118" s="252" t="str">
        <f t="shared" ca="1" si="151"/>
        <v/>
      </c>
      <c r="AB118" s="151"/>
      <c r="AC118" s="151"/>
      <c r="AD118" s="151"/>
      <c r="AE118" s="151"/>
      <c r="AF118" s="151"/>
      <c r="AG118" s="151"/>
      <c r="AH118" s="151"/>
      <c r="AI118" s="151"/>
      <c r="AJ118" s="151"/>
      <c r="AK118" s="151"/>
      <c r="AL118" s="151"/>
      <c r="AM118" s="151"/>
    </row>
    <row r="119" spans="1:39">
      <c r="A119" s="25" t="str">
        <f>PAC!A119</f>
        <v>YAS</v>
      </c>
      <c r="B119" s="2" t="str">
        <f>PAC!B119</f>
        <v>resident in</v>
      </c>
      <c r="C119" s="5" t="str">
        <f>PAC!C119</f>
        <v>seventh bhava</v>
      </c>
      <c r="D119" s="255"/>
      <c r="E119" s="255" t="str">
        <f t="shared" ref="E119:M119" si="157">IF(E$30=7,"Y","")</f>
        <v>Y</v>
      </c>
      <c r="F119" s="255" t="str">
        <f t="shared" si="157"/>
        <v/>
      </c>
      <c r="G119" s="255" t="str">
        <f t="shared" si="157"/>
        <v/>
      </c>
      <c r="H119" s="255" t="str">
        <f t="shared" si="157"/>
        <v/>
      </c>
      <c r="I119" s="255" t="str">
        <f t="shared" si="157"/>
        <v/>
      </c>
      <c r="J119" s="255" t="str">
        <f t="shared" si="157"/>
        <v/>
      </c>
      <c r="K119" s="255" t="str">
        <f t="shared" si="157"/>
        <v/>
      </c>
      <c r="L119" s="255" t="str">
        <f t="shared" si="157"/>
        <v/>
      </c>
      <c r="M119" s="255" t="str">
        <f t="shared" si="157"/>
        <v/>
      </c>
      <c r="O119" s="252" t="str">
        <f t="shared" ca="1" si="140"/>
        <v/>
      </c>
      <c r="P119" s="252" t="str">
        <f t="shared" ca="1" si="141"/>
        <v/>
      </c>
      <c r="Q119" s="252" t="str">
        <f t="shared" ca="1" si="142"/>
        <v/>
      </c>
      <c r="R119" s="252" t="str">
        <f t="shared" ca="1" si="143"/>
        <v/>
      </c>
      <c r="S119" s="252" t="str">
        <f t="shared" ca="1" si="144"/>
        <v/>
      </c>
      <c r="T119" s="252" t="str">
        <f t="shared" ca="1" si="145"/>
        <v/>
      </c>
      <c r="U119" s="252" t="str">
        <f t="shared" ca="1" si="146"/>
        <v/>
      </c>
      <c r="V119" s="252" t="str">
        <f t="shared" ca="1" si="147"/>
        <v/>
      </c>
      <c r="W119" s="252" t="str">
        <f t="shared" ca="1" si="148"/>
        <v/>
      </c>
      <c r="X119" s="252" t="str">
        <f t="shared" ca="1" si="149"/>
        <v>Y</v>
      </c>
      <c r="Y119" s="252" t="str">
        <f t="shared" ca="1" si="150"/>
        <v/>
      </c>
      <c r="Z119" s="252" t="str">
        <f t="shared" ca="1" si="151"/>
        <v/>
      </c>
      <c r="AB119" s="151"/>
      <c r="AC119" s="151"/>
      <c r="AD119" s="151"/>
      <c r="AE119" s="151"/>
      <c r="AF119" s="151"/>
      <c r="AG119" s="151"/>
      <c r="AH119" s="151"/>
      <c r="AI119" s="151"/>
      <c r="AJ119" s="151"/>
      <c r="AK119" s="151"/>
      <c r="AL119" s="151"/>
      <c r="AM119" s="151"/>
    </row>
    <row r="120" spans="1:39">
      <c r="A120" s="25" t="str">
        <f>PAC!A120</f>
        <v>YAT</v>
      </c>
      <c r="B120" s="2" t="str">
        <f>PAC!B120</f>
        <v>resident in</v>
      </c>
      <c r="C120" s="5" t="str">
        <f>PAC!C120</f>
        <v>eighth bhava</v>
      </c>
      <c r="D120" s="255"/>
      <c r="E120" s="255" t="str">
        <f t="shared" ref="E120:M120" si="158">IF(E$30=8,"Y","")</f>
        <v/>
      </c>
      <c r="F120" s="255" t="str">
        <f t="shared" si="158"/>
        <v/>
      </c>
      <c r="G120" s="255" t="str">
        <f t="shared" si="158"/>
        <v/>
      </c>
      <c r="H120" s="255" t="str">
        <f t="shared" si="158"/>
        <v>Y</v>
      </c>
      <c r="I120" s="255" t="str">
        <f t="shared" si="158"/>
        <v/>
      </c>
      <c r="J120" s="255" t="str">
        <f t="shared" si="158"/>
        <v/>
      </c>
      <c r="K120" s="255" t="str">
        <f t="shared" si="158"/>
        <v/>
      </c>
      <c r="L120" s="255" t="str">
        <f t="shared" si="158"/>
        <v/>
      </c>
      <c r="M120" s="255" t="str">
        <f t="shared" si="158"/>
        <v/>
      </c>
      <c r="O120" s="252" t="str">
        <f t="shared" ca="1" si="140"/>
        <v/>
      </c>
      <c r="P120" s="252" t="str">
        <f t="shared" ca="1" si="141"/>
        <v/>
      </c>
      <c r="Q120" s="252" t="str">
        <f t="shared" ca="1" si="142"/>
        <v/>
      </c>
      <c r="R120" s="252" t="str">
        <f t="shared" ca="1" si="143"/>
        <v/>
      </c>
      <c r="S120" s="252" t="str">
        <f t="shared" ca="1" si="144"/>
        <v/>
      </c>
      <c r="T120" s="252" t="str">
        <f t="shared" ca="1" si="145"/>
        <v/>
      </c>
      <c r="U120" s="252" t="str">
        <f t="shared" ca="1" si="146"/>
        <v>Y</v>
      </c>
      <c r="V120" s="252" t="str">
        <f t="shared" ca="1" si="147"/>
        <v/>
      </c>
      <c r="W120" s="252" t="str">
        <f t="shared" ca="1" si="148"/>
        <v/>
      </c>
      <c r="X120" s="252" t="str">
        <f t="shared" ca="1" si="149"/>
        <v/>
      </c>
      <c r="Y120" s="252" t="str">
        <f t="shared" ca="1" si="150"/>
        <v/>
      </c>
      <c r="Z120" s="252" t="str">
        <f t="shared" ca="1" si="151"/>
        <v>Y</v>
      </c>
      <c r="AB120" s="151"/>
      <c r="AC120" s="151"/>
      <c r="AD120" s="151"/>
      <c r="AE120" s="151"/>
      <c r="AF120" s="151"/>
      <c r="AG120" s="151"/>
      <c r="AH120" s="151"/>
      <c r="AI120" s="151"/>
      <c r="AJ120" s="151"/>
      <c r="AK120" s="151"/>
      <c r="AL120" s="151"/>
      <c r="AM120" s="151"/>
    </row>
    <row r="121" spans="1:39">
      <c r="A121" s="25" t="str">
        <f>PAC!A121</f>
        <v>YAU</v>
      </c>
      <c r="B121" s="2" t="str">
        <f>PAC!B121</f>
        <v>resident in</v>
      </c>
      <c r="C121" s="5" t="str">
        <f>PAC!C121</f>
        <v>ninth bhava</v>
      </c>
      <c r="D121" s="255"/>
      <c r="E121" s="255" t="str">
        <f t="shared" ref="E121:M121" si="159">IF(E$30=9,"Y","")</f>
        <v/>
      </c>
      <c r="F121" s="255" t="str">
        <f t="shared" si="159"/>
        <v>Y</v>
      </c>
      <c r="G121" s="255" t="str">
        <f t="shared" si="159"/>
        <v/>
      </c>
      <c r="H121" s="255" t="str">
        <f t="shared" si="159"/>
        <v/>
      </c>
      <c r="I121" s="255" t="str">
        <f t="shared" si="159"/>
        <v/>
      </c>
      <c r="J121" s="255" t="str">
        <f t="shared" si="159"/>
        <v/>
      </c>
      <c r="K121" s="255" t="str">
        <f t="shared" si="159"/>
        <v/>
      </c>
      <c r="L121" s="255" t="str">
        <f t="shared" si="159"/>
        <v>Y</v>
      </c>
      <c r="M121" s="255" t="str">
        <f t="shared" si="159"/>
        <v/>
      </c>
      <c r="O121" s="252" t="str">
        <f t="shared" ca="1" si="140"/>
        <v/>
      </c>
      <c r="P121" s="252" t="str">
        <f t="shared" ca="1" si="141"/>
        <v/>
      </c>
      <c r="Q121" s="252" t="str">
        <f t="shared" ca="1" si="142"/>
        <v/>
      </c>
      <c r="R121" s="252" t="str">
        <f t="shared" ca="1" si="143"/>
        <v/>
      </c>
      <c r="S121" s="252" t="str">
        <f t="shared" ca="1" si="144"/>
        <v/>
      </c>
      <c r="T121" s="252" t="str">
        <f t="shared" ca="1" si="145"/>
        <v/>
      </c>
      <c r="U121" s="252" t="str">
        <f t="shared" ca="1" si="146"/>
        <v/>
      </c>
      <c r="V121" s="252" t="str">
        <f t="shared" ca="1" si="147"/>
        <v/>
      </c>
      <c r="W121" s="252" t="str">
        <f t="shared" ca="1" si="148"/>
        <v>Y</v>
      </c>
      <c r="X121" s="252" t="str">
        <f t="shared" ca="1" si="149"/>
        <v/>
      </c>
      <c r="Y121" s="252" t="str">
        <f t="shared" ca="1" si="150"/>
        <v/>
      </c>
      <c r="Z121" s="252" t="str">
        <f t="shared" ca="1" si="151"/>
        <v/>
      </c>
      <c r="AB121" s="151"/>
      <c r="AC121" s="151"/>
      <c r="AD121" s="151"/>
      <c r="AE121" s="151"/>
      <c r="AF121" s="151"/>
      <c r="AG121" s="151"/>
      <c r="AH121" s="151"/>
      <c r="AI121" s="151"/>
      <c r="AJ121" s="151"/>
      <c r="AK121" s="151"/>
      <c r="AL121" s="151"/>
      <c r="AM121" s="151"/>
    </row>
    <row r="122" spans="1:39">
      <c r="A122" s="25" t="str">
        <f>PAC!A122</f>
        <v>YAV</v>
      </c>
      <c r="B122" s="2" t="str">
        <f>PAC!B122</f>
        <v>resident in</v>
      </c>
      <c r="C122" s="5" t="str">
        <f>PAC!C122</f>
        <v>tenth bhava</v>
      </c>
      <c r="D122" s="255"/>
      <c r="E122" s="255" t="str">
        <f t="shared" ref="E122:M122" si="160">IF(E$30=10,"Y","")</f>
        <v/>
      </c>
      <c r="F122" s="255" t="str">
        <f t="shared" si="160"/>
        <v/>
      </c>
      <c r="G122" s="255" t="str">
        <f t="shared" si="160"/>
        <v/>
      </c>
      <c r="H122" s="255" t="str">
        <f t="shared" si="160"/>
        <v/>
      </c>
      <c r="I122" s="255" t="str">
        <f t="shared" si="160"/>
        <v/>
      </c>
      <c r="J122" s="255" t="str">
        <f t="shared" si="160"/>
        <v/>
      </c>
      <c r="K122" s="255" t="str">
        <f t="shared" si="160"/>
        <v/>
      </c>
      <c r="L122" s="255" t="str">
        <f t="shared" si="160"/>
        <v/>
      </c>
      <c r="M122" s="255" t="str">
        <f t="shared" si="160"/>
        <v/>
      </c>
      <c r="O122" s="252" t="str">
        <f t="shared" ca="1" si="140"/>
        <v/>
      </c>
      <c r="P122" s="252" t="str">
        <f t="shared" ca="1" si="141"/>
        <v/>
      </c>
      <c r="Q122" s="252" t="str">
        <f t="shared" ca="1" si="142"/>
        <v/>
      </c>
      <c r="R122" s="252" t="str">
        <f t="shared" ca="1" si="143"/>
        <v/>
      </c>
      <c r="S122" s="252" t="str">
        <f t="shared" ca="1" si="144"/>
        <v/>
      </c>
      <c r="T122" s="252" t="str">
        <f t="shared" ca="1" si="145"/>
        <v/>
      </c>
      <c r="U122" s="252" t="str">
        <f t="shared" ca="1" si="146"/>
        <v/>
      </c>
      <c r="V122" s="252" t="str">
        <f t="shared" ca="1" si="147"/>
        <v/>
      </c>
      <c r="W122" s="252" t="str">
        <f t="shared" ca="1" si="148"/>
        <v/>
      </c>
      <c r="X122" s="252" t="str">
        <f t="shared" ca="1" si="149"/>
        <v/>
      </c>
      <c r="Y122" s="252" t="str">
        <f t="shared" ca="1" si="150"/>
        <v/>
      </c>
      <c r="Z122" s="252" t="str">
        <f t="shared" ca="1" si="151"/>
        <v/>
      </c>
      <c r="AB122" s="151"/>
      <c r="AC122" s="151"/>
      <c r="AD122" s="151"/>
      <c r="AE122" s="151"/>
      <c r="AF122" s="151"/>
      <c r="AG122" s="151"/>
      <c r="AH122" s="151"/>
      <c r="AI122" s="151"/>
      <c r="AJ122" s="151"/>
      <c r="AK122" s="151"/>
      <c r="AL122" s="151"/>
      <c r="AM122" s="151"/>
    </row>
    <row r="123" spans="1:39">
      <c r="A123" s="25" t="str">
        <f>PAC!A123</f>
        <v>YAW</v>
      </c>
      <c r="B123" s="2" t="str">
        <f>PAC!B123</f>
        <v>resident in</v>
      </c>
      <c r="C123" s="5" t="str">
        <f>PAC!C123</f>
        <v>eleventh bhava</v>
      </c>
      <c r="D123" s="255"/>
      <c r="E123" s="255" t="str">
        <f t="shared" ref="E123:M123" si="161">IF(E$30=11,"Y","")</f>
        <v/>
      </c>
      <c r="F123" s="255" t="str">
        <f t="shared" si="161"/>
        <v/>
      </c>
      <c r="G123" s="255" t="str">
        <f t="shared" si="161"/>
        <v/>
      </c>
      <c r="H123" s="255" t="str">
        <f t="shared" si="161"/>
        <v/>
      </c>
      <c r="I123" s="255" t="str">
        <f t="shared" si="161"/>
        <v/>
      </c>
      <c r="J123" s="255" t="str">
        <f t="shared" si="161"/>
        <v/>
      </c>
      <c r="K123" s="255" t="str">
        <f t="shared" si="161"/>
        <v/>
      </c>
      <c r="L123" s="255" t="str">
        <f t="shared" si="161"/>
        <v/>
      </c>
      <c r="M123" s="255" t="str">
        <f t="shared" si="161"/>
        <v/>
      </c>
      <c r="O123" s="252" t="str">
        <f t="shared" ca="1" si="140"/>
        <v/>
      </c>
      <c r="P123" s="252" t="str">
        <f t="shared" ca="1" si="141"/>
        <v/>
      </c>
      <c r="Q123" s="252" t="str">
        <f t="shared" ca="1" si="142"/>
        <v/>
      </c>
      <c r="R123" s="252" t="str">
        <f t="shared" ca="1" si="143"/>
        <v/>
      </c>
      <c r="S123" s="252" t="str">
        <f t="shared" ca="1" si="144"/>
        <v/>
      </c>
      <c r="T123" s="252" t="str">
        <f t="shared" ca="1" si="145"/>
        <v/>
      </c>
      <c r="U123" s="252" t="str">
        <f t="shared" ca="1" si="146"/>
        <v/>
      </c>
      <c r="V123" s="252" t="str">
        <f t="shared" ca="1" si="147"/>
        <v/>
      </c>
      <c r="W123" s="252" t="str">
        <f t="shared" ca="1" si="148"/>
        <v/>
      </c>
      <c r="X123" s="252" t="str">
        <f t="shared" ca="1" si="149"/>
        <v/>
      </c>
      <c r="Y123" s="252" t="str">
        <f t="shared" ca="1" si="150"/>
        <v/>
      </c>
      <c r="Z123" s="252" t="str">
        <f t="shared" ca="1" si="151"/>
        <v/>
      </c>
      <c r="AB123" s="151"/>
      <c r="AC123" s="151"/>
      <c r="AD123" s="151"/>
      <c r="AE123" s="151"/>
      <c r="AF123" s="151"/>
      <c r="AG123" s="151"/>
      <c r="AH123" s="151"/>
      <c r="AI123" s="151"/>
      <c r="AJ123" s="151"/>
      <c r="AK123" s="151"/>
      <c r="AL123" s="151"/>
      <c r="AM123" s="151"/>
    </row>
    <row r="124" spans="1:39">
      <c r="A124" s="25" t="str">
        <f>PAC!A124</f>
        <v>YAX</v>
      </c>
      <c r="B124" s="2" t="str">
        <f>PAC!B124</f>
        <v>resident in</v>
      </c>
      <c r="C124" s="5" t="str">
        <f>PAC!C124</f>
        <v>twelveth bhava</v>
      </c>
      <c r="D124" s="255"/>
      <c r="E124" s="255" t="str">
        <f t="shared" ref="E124:M124" si="162">IF(E$30=12,"Y","")</f>
        <v/>
      </c>
      <c r="F124" s="255" t="str">
        <f t="shared" si="162"/>
        <v/>
      </c>
      <c r="G124" s="255" t="str">
        <f t="shared" si="162"/>
        <v/>
      </c>
      <c r="H124" s="255" t="str">
        <f t="shared" si="162"/>
        <v/>
      </c>
      <c r="I124" s="255" t="str">
        <f t="shared" si="162"/>
        <v/>
      </c>
      <c r="J124" s="255" t="str">
        <f t="shared" si="162"/>
        <v>Y</v>
      </c>
      <c r="K124" s="255" t="str">
        <f t="shared" si="162"/>
        <v/>
      </c>
      <c r="L124" s="255" t="str">
        <f t="shared" si="162"/>
        <v/>
      </c>
      <c r="M124" s="255" t="str">
        <f t="shared" si="162"/>
        <v/>
      </c>
      <c r="O124" s="252" t="str">
        <f t="shared" ca="1" si="140"/>
        <v/>
      </c>
      <c r="P124" s="252" t="str">
        <f t="shared" ca="1" si="141"/>
        <v>Y</v>
      </c>
      <c r="Q124" s="252" t="str">
        <f t="shared" ca="1" si="142"/>
        <v/>
      </c>
      <c r="R124" s="252" t="str">
        <f t="shared" ca="1" si="143"/>
        <v/>
      </c>
      <c r="S124" s="252" t="str">
        <f t="shared" ca="1" si="144"/>
        <v>Y</v>
      </c>
      <c r="T124" s="252" t="str">
        <f t="shared" ca="1" si="145"/>
        <v/>
      </c>
      <c r="U124" s="252" t="str">
        <f t="shared" ca="1" si="146"/>
        <v/>
      </c>
      <c r="V124" s="252" t="str">
        <f t="shared" ca="1" si="147"/>
        <v/>
      </c>
      <c r="W124" s="252" t="str">
        <f t="shared" ca="1" si="148"/>
        <v/>
      </c>
      <c r="X124" s="252" t="str">
        <f t="shared" ca="1" si="149"/>
        <v/>
      </c>
      <c r="Y124" s="252" t="str">
        <f t="shared" ca="1" si="150"/>
        <v/>
      </c>
      <c r="Z124" s="252" t="str">
        <f t="shared" ca="1" si="151"/>
        <v/>
      </c>
      <c r="AB124" s="151"/>
      <c r="AC124" s="151"/>
      <c r="AD124" s="151"/>
      <c r="AE124" s="151"/>
      <c r="AF124" s="151"/>
      <c r="AG124" s="151"/>
      <c r="AH124" s="151"/>
      <c r="AI124" s="151"/>
      <c r="AJ124" s="151"/>
      <c r="AK124" s="151"/>
      <c r="AL124" s="151"/>
      <c r="AM124" s="151"/>
    </row>
    <row r="125" spans="1:39" ht="13.8" thickBot="1">
      <c r="A125" s="64"/>
      <c r="B125" s="65"/>
      <c r="C125" s="66"/>
      <c r="D125" s="67"/>
      <c r="E125" s="67"/>
      <c r="F125" s="67"/>
      <c r="G125" s="67"/>
      <c r="H125" s="67"/>
      <c r="I125" s="67"/>
      <c r="J125" s="67"/>
      <c r="K125" s="67"/>
      <c r="L125" s="67"/>
      <c r="M125" s="67"/>
      <c r="N125" s="60"/>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row>
  </sheetData>
  <sheetProtection password="9C47" sheet="1"/>
  <mergeCells count="50">
    <mergeCell ref="F8:H8"/>
    <mergeCell ref="P10:Q11"/>
    <mergeCell ref="AG4:AH5"/>
    <mergeCell ref="AI4:AJ5"/>
    <mergeCell ref="F15:I15"/>
    <mergeCell ref="S15:V15"/>
    <mergeCell ref="AE15:AJ15"/>
    <mergeCell ref="S8:U8"/>
    <mergeCell ref="X8:Y9"/>
    <mergeCell ref="J6:K7"/>
    <mergeCell ref="P6:Q7"/>
    <mergeCell ref="AG12:AH13"/>
    <mergeCell ref="AI12:AJ13"/>
    <mergeCell ref="AF8:AH8"/>
    <mergeCell ref="V12:W13"/>
    <mergeCell ref="AE12:AF13"/>
    <mergeCell ref="AF2:AH2"/>
    <mergeCell ref="X10:Y11"/>
    <mergeCell ref="AC10:AD11"/>
    <mergeCell ref="AC8:AD9"/>
    <mergeCell ref="AF9:AH9"/>
    <mergeCell ref="AA2:AD2"/>
    <mergeCell ref="AE4:AF5"/>
    <mergeCell ref="V4:W5"/>
    <mergeCell ref="AK8:AL9"/>
    <mergeCell ref="S9:U9"/>
    <mergeCell ref="D8:E9"/>
    <mergeCell ref="J8:K9"/>
    <mergeCell ref="AK6:AL7"/>
    <mergeCell ref="F7:H7"/>
    <mergeCell ref="AC6:AD7"/>
    <mergeCell ref="X6:Y7"/>
    <mergeCell ref="P8:Q9"/>
    <mergeCell ref="D6:E7"/>
    <mergeCell ref="E22:M22"/>
    <mergeCell ref="O22:Z22"/>
    <mergeCell ref="AB22:AM22"/>
    <mergeCell ref="D10:E11"/>
    <mergeCell ref="F10:G11"/>
    <mergeCell ref="H10:I11"/>
    <mergeCell ref="J10:K11"/>
    <mergeCell ref="AK10:AL11"/>
    <mergeCell ref="R12:S13"/>
    <mergeCell ref="T12:U13"/>
    <mergeCell ref="D4:E5"/>
    <mergeCell ref="F4:G5"/>
    <mergeCell ref="H4:I5"/>
    <mergeCell ref="J4:K5"/>
    <mergeCell ref="R4:S5"/>
    <mergeCell ref="T4:U5"/>
  </mergeCells>
  <phoneticPr fontId="55" type="noConversion"/>
  <conditionalFormatting sqref="D38:AM124">
    <cfRule type="cellIs" dxfId="31" priority="1" stopIfTrue="1" operator="equal">
      <formula>"Y"</formula>
    </cfRule>
  </conditionalFormatting>
  <pageMargins left="0.75" right="0.75" top="1" bottom="1" header="0.5" footer="0.5"/>
  <headerFooter alignWithMargins="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867"/>
  <sheetViews>
    <sheetView topLeftCell="A454" workbookViewId="0">
      <selection activeCell="I3" sqref="I3"/>
    </sheetView>
  </sheetViews>
  <sheetFormatPr defaultRowHeight="13.2"/>
  <cols>
    <col min="3" max="3" width="6.88671875" customWidth="1"/>
    <col min="4" max="4" width="7.88671875" customWidth="1"/>
    <col min="5" max="5" width="9.6640625" customWidth="1"/>
    <col min="6" max="6" width="7.109375" customWidth="1"/>
    <col min="7" max="7" width="7.109375" style="355" customWidth="1"/>
    <col min="8" max="8" width="11.88671875" style="356" customWidth="1"/>
    <col min="9" max="9" width="11.44140625" style="357" customWidth="1"/>
    <col min="10" max="10" width="9.5546875" style="358" customWidth="1"/>
    <col min="11" max="11" width="10.6640625" style="359" customWidth="1"/>
    <col min="12" max="12" width="4.44140625" style="358" customWidth="1"/>
    <col min="13" max="13" width="10" style="358" customWidth="1"/>
    <col min="14" max="14" width="7" style="358" customWidth="1"/>
    <col min="15" max="15" width="8.109375" style="358" customWidth="1"/>
    <col min="16" max="16" width="10.88671875" style="358" customWidth="1"/>
    <col min="17" max="17" width="6.6640625" style="358" customWidth="1"/>
    <col min="18" max="18" width="10.109375" style="360" customWidth="1"/>
    <col min="19" max="19" width="10.109375" customWidth="1"/>
    <col min="21" max="21" width="3.6640625" style="381" customWidth="1"/>
    <col min="22" max="22" width="10.109375" style="381" bestFit="1" customWidth="1"/>
    <col min="23" max="23" width="3.5546875" style="381" customWidth="1"/>
    <col min="24" max="24" width="8.33203125" customWidth="1"/>
    <col min="25" max="25" width="2.5546875" style="381" customWidth="1"/>
    <col min="26" max="26" width="6.88671875" customWidth="1"/>
    <col min="27" max="27" width="3.44140625" style="381" customWidth="1"/>
    <col min="29" max="29" width="10.109375" bestFit="1" customWidth="1"/>
    <col min="30" max="30" width="6.44140625" style="381" customWidth="1"/>
    <col min="31" max="31" width="11.109375" customWidth="1"/>
    <col min="32" max="32" width="3.6640625" style="381" customWidth="1"/>
  </cols>
  <sheetData>
    <row r="1" spans="1:41">
      <c r="H1" s="434"/>
    </row>
    <row r="2" spans="1:41" ht="13.8" thickBot="1">
      <c r="B2" s="236" t="str">
        <f>DataEntry!A3</f>
        <v>Male</v>
      </c>
      <c r="C2" s="240"/>
      <c r="D2" s="237" t="str">
        <f>DataEntry!N2</f>
        <v>natal</v>
      </c>
      <c r="E2" s="238"/>
      <c r="F2" s="414" t="str">
        <f>Dasha!B844</f>
        <v>saturn</v>
      </c>
      <c r="G2" s="414" t="str">
        <f>Dasha!C844</f>
        <v>ketu</v>
      </c>
      <c r="H2" s="435" t="str">
        <f>D844</f>
        <v>saturn</v>
      </c>
      <c r="J2" s="351"/>
      <c r="K2" s="352"/>
      <c r="L2" s="353">
        <f>DataEntry!B9</f>
        <v>72</v>
      </c>
      <c r="M2" s="353">
        <f>DataEntry!B10</f>
        <v>36</v>
      </c>
      <c r="N2" s="353" t="str">
        <f>DataEntry!B11</f>
        <v>East</v>
      </c>
      <c r="Q2" s="353"/>
      <c r="R2" s="354"/>
      <c r="S2" s="239"/>
      <c r="T2" s="239"/>
      <c r="U2" s="380"/>
      <c r="V2" s="380">
        <f>DataEntry!B14</f>
        <v>23</v>
      </c>
      <c r="W2" s="380">
        <f>DataEntry!B15</f>
        <v>48</v>
      </c>
      <c r="X2" s="240" t="str">
        <f>DataEntry!B16</f>
        <v>North</v>
      </c>
      <c r="Y2" s="380"/>
      <c r="Z2" s="544">
        <f>DATE(DataEntry!G5,DataEntry!G4,DataEntry!G3)</f>
        <v>18523</v>
      </c>
      <c r="AA2" s="543"/>
      <c r="AB2" s="234">
        <f>TIME(DataEntry!G9,DataEntry!G10,0)</f>
        <v>0.39861111111111108</v>
      </c>
      <c r="AC2" s="235"/>
      <c r="AD2" s="382" t="str">
        <f>DataEntry!M6</f>
        <v>NDM179934000</v>
      </c>
      <c r="AE2" s="240"/>
      <c r="AG2" s="232"/>
      <c r="AH2" s="233"/>
      <c r="AL2" s="231"/>
      <c r="AM2" s="231"/>
      <c r="AN2" s="231"/>
      <c r="AO2" s="231"/>
    </row>
    <row r="3" spans="1:41" ht="14.4" thickTop="1" thickBot="1">
      <c r="D3" s="269" t="str">
        <f>DataEntry!N3</f>
        <v>specific</v>
      </c>
      <c r="F3" s="415" t="str">
        <f>B841</f>
        <v>moon</v>
      </c>
      <c r="G3" s="415" t="str">
        <f>C841</f>
        <v>saturn</v>
      </c>
      <c r="H3" s="436" t="str">
        <f>D841</f>
        <v>mars</v>
      </c>
    </row>
    <row r="4" spans="1:41">
      <c r="E4" s="90"/>
      <c r="F4" s="90"/>
    </row>
    <row r="5" spans="1:41">
      <c r="A5" s="355"/>
      <c r="B5" s="356"/>
      <c r="C5" s="357"/>
      <c r="D5" s="361" t="s">
        <v>333</v>
      </c>
      <c r="E5" s="362"/>
      <c r="F5" s="363"/>
      <c r="G5" s="363"/>
      <c r="H5" s="363"/>
      <c r="I5" s="363"/>
      <c r="J5" s="363"/>
      <c r="K5" s="363"/>
      <c r="L5" s="360"/>
      <c r="O5" s="381"/>
    </row>
    <row r="6" spans="1:41">
      <c r="A6" s="355"/>
      <c r="B6" s="356"/>
      <c r="C6" s="357"/>
      <c r="D6" s="358"/>
      <c r="E6" s="359"/>
      <c r="F6" s="358"/>
      <c r="G6" s="358"/>
      <c r="H6" s="358"/>
      <c r="I6" s="358"/>
      <c r="K6" s="358"/>
      <c r="L6" s="360"/>
      <c r="O6" s="381"/>
      <c r="P6" s="358" t="s">
        <v>574</v>
      </c>
    </row>
    <row r="7" spans="1:41">
      <c r="A7" s="355"/>
      <c r="B7" s="356"/>
      <c r="C7" s="357"/>
      <c r="D7" s="358" t="s">
        <v>331</v>
      </c>
      <c r="E7" s="359"/>
      <c r="F7" s="358" t="s">
        <v>332</v>
      </c>
      <c r="G7" s="358"/>
      <c r="H7" s="358" t="s">
        <v>553</v>
      </c>
      <c r="I7" s="358"/>
      <c r="K7" s="358"/>
      <c r="L7" s="360"/>
      <c r="O7" s="381"/>
      <c r="P7" s="358">
        <f>P100+P191+P282+P373+P464+P555+P646+P737+P828</f>
        <v>13</v>
      </c>
    </row>
    <row r="8" spans="1:41" ht="13.8" thickBot="1">
      <c r="A8" s="364"/>
      <c r="B8" s="365"/>
      <c r="C8" s="366"/>
      <c r="D8" s="367"/>
      <c r="E8" s="359"/>
      <c r="F8" s="358"/>
      <c r="G8" s="358"/>
      <c r="H8" s="358"/>
      <c r="I8" s="358"/>
      <c r="K8" s="358"/>
      <c r="L8" s="360"/>
      <c r="O8" s="381"/>
    </row>
    <row r="9" spans="1:41">
      <c r="A9" s="385"/>
      <c r="B9" s="384"/>
      <c r="C9" s="385">
        <f>MOD(B832,9)</f>
        <v>8</v>
      </c>
      <c r="D9" s="385" t="str">
        <f>VLOOKUP(C9,$A$848:$B$856,2,FALSE)</f>
        <v>saturn</v>
      </c>
      <c r="E9" s="385"/>
      <c r="F9" s="384"/>
      <c r="G9" s="384"/>
      <c r="H9" s="384"/>
      <c r="I9" s="401">
        <f>B837-B836</f>
        <v>16110</v>
      </c>
      <c r="J9" s="370">
        <f>VLOOKUP(C9,$A$848:$D$856,4,FALSE)</f>
        <v>6939.75</v>
      </c>
      <c r="K9" s="371">
        <f>I9+J9</f>
        <v>23049.75</v>
      </c>
      <c r="L9" s="384"/>
      <c r="M9" s="384"/>
      <c r="N9" s="384"/>
      <c r="O9" s="381"/>
    </row>
    <row r="10" spans="1:41">
      <c r="A10" s="391"/>
      <c r="B10" s="386"/>
      <c r="C10" s="387">
        <f t="shared" ref="C10:C19" si="0">C9</f>
        <v>8</v>
      </c>
      <c r="D10" s="373" t="str">
        <f t="shared" ref="D10:D19" si="1">D9</f>
        <v>saturn</v>
      </c>
      <c r="E10" s="388">
        <f t="shared" ref="E10:E19" si="2">C9</f>
        <v>8</v>
      </c>
      <c r="F10" s="389" t="str">
        <f t="shared" ref="F10:H99" si="3">VLOOKUP(E10,$A$848:$B$856,2,FALSE)</f>
        <v>saturn</v>
      </c>
      <c r="G10" s="389"/>
      <c r="H10" s="389"/>
      <c r="I10" s="402">
        <f>I9</f>
        <v>16110</v>
      </c>
      <c r="J10" s="373">
        <f>ROUND(J$9*VLOOKUP(E10,$A$848:$E$856,5,FALSE),0)</f>
        <v>1110</v>
      </c>
      <c r="K10" s="390">
        <f>I10+J10</f>
        <v>17220</v>
      </c>
      <c r="L10" s="392"/>
      <c r="M10" s="373"/>
      <c r="N10" s="373"/>
      <c r="O10" s="381"/>
    </row>
    <row r="11" spans="1:41" ht="13.8" thickBot="1">
      <c r="A11" s="364">
        <v>1</v>
      </c>
      <c r="B11" s="372">
        <f t="shared" ref="B11:B19" si="4">K11</f>
        <v>16288</v>
      </c>
      <c r="C11" s="357">
        <f t="shared" si="0"/>
        <v>8</v>
      </c>
      <c r="D11" s="358" t="str">
        <f t="shared" si="1"/>
        <v>saturn</v>
      </c>
      <c r="E11" s="359">
        <f t="shared" si="2"/>
        <v>8</v>
      </c>
      <c r="F11" s="367" t="str">
        <f t="shared" si="3"/>
        <v>saturn</v>
      </c>
      <c r="G11" s="367">
        <f>E11</f>
        <v>8</v>
      </c>
      <c r="H11" s="367" t="str">
        <f t="shared" si="3"/>
        <v>saturn</v>
      </c>
      <c r="I11" s="403">
        <f>I10</f>
        <v>16110</v>
      </c>
      <c r="J11" s="377">
        <f t="shared" ref="J11:J19" si="5">ROUND(J$10*VLOOKUP(G11,$A$848:$E$856,5,FALSE),0)</f>
        <v>178</v>
      </c>
      <c r="K11" s="369">
        <f>I11+J11</f>
        <v>16288</v>
      </c>
      <c r="L11" s="374">
        <v>1</v>
      </c>
      <c r="O11" s="381"/>
    </row>
    <row r="12" spans="1:41">
      <c r="A12" s="364">
        <f t="shared" ref="A12:A19" si="6">A11+1</f>
        <v>2</v>
      </c>
      <c r="B12" s="372">
        <f t="shared" si="4"/>
        <v>16443</v>
      </c>
      <c r="C12" s="357">
        <f t="shared" si="0"/>
        <v>8</v>
      </c>
      <c r="D12" s="358" t="str">
        <f t="shared" si="1"/>
        <v>saturn</v>
      </c>
      <c r="E12" s="359">
        <f t="shared" si="2"/>
        <v>8</v>
      </c>
      <c r="F12" s="367" t="str">
        <f t="shared" si="3"/>
        <v>saturn</v>
      </c>
      <c r="G12" s="367">
        <f t="shared" ref="G12:G19" si="7">IF(G11+1&gt;9,G11+1-9,G11+1)</f>
        <v>9</v>
      </c>
      <c r="H12" s="367" t="str">
        <f t="shared" si="3"/>
        <v>mercury</v>
      </c>
      <c r="I12" s="369">
        <f>K11</f>
        <v>16288</v>
      </c>
      <c r="J12" s="377">
        <f t="shared" si="5"/>
        <v>155</v>
      </c>
      <c r="K12" s="369">
        <f>I12+J12</f>
        <v>16443</v>
      </c>
      <c r="L12" s="374">
        <f t="shared" ref="L12:L19" si="8">L11+1</f>
        <v>2</v>
      </c>
      <c r="O12" s="381"/>
    </row>
    <row r="13" spans="1:41">
      <c r="A13" s="364">
        <f t="shared" si="6"/>
        <v>3</v>
      </c>
      <c r="B13" s="372">
        <f t="shared" si="4"/>
        <v>16510</v>
      </c>
      <c r="C13" s="357">
        <f t="shared" si="0"/>
        <v>8</v>
      </c>
      <c r="D13" s="358" t="str">
        <f t="shared" si="1"/>
        <v>saturn</v>
      </c>
      <c r="E13" s="359">
        <f t="shared" si="2"/>
        <v>8</v>
      </c>
      <c r="F13" s="367" t="str">
        <f t="shared" si="3"/>
        <v>saturn</v>
      </c>
      <c r="G13" s="367">
        <f t="shared" si="7"/>
        <v>1</v>
      </c>
      <c r="H13" s="367" t="str">
        <f t="shared" si="3"/>
        <v>ketu</v>
      </c>
      <c r="I13" s="369">
        <f t="shared" ref="I13:I19" si="9">K12</f>
        <v>16443</v>
      </c>
      <c r="J13" s="377">
        <f t="shared" si="5"/>
        <v>67</v>
      </c>
      <c r="K13" s="369">
        <f t="shared" ref="K13:K19" si="10">I13+J13</f>
        <v>16510</v>
      </c>
      <c r="L13" s="374">
        <f t="shared" si="8"/>
        <v>3</v>
      </c>
      <c r="O13" s="381"/>
    </row>
    <row r="14" spans="1:41">
      <c r="A14" s="364">
        <f t="shared" si="6"/>
        <v>4</v>
      </c>
      <c r="B14" s="372">
        <f t="shared" si="4"/>
        <v>16699</v>
      </c>
      <c r="C14" s="357">
        <f t="shared" si="0"/>
        <v>8</v>
      </c>
      <c r="D14" s="358" t="str">
        <f t="shared" si="1"/>
        <v>saturn</v>
      </c>
      <c r="E14" s="359">
        <f t="shared" si="2"/>
        <v>8</v>
      </c>
      <c r="F14" s="367" t="str">
        <f t="shared" si="3"/>
        <v>saturn</v>
      </c>
      <c r="G14" s="367">
        <f t="shared" si="7"/>
        <v>2</v>
      </c>
      <c r="H14" s="367" t="str">
        <f t="shared" si="3"/>
        <v>venus</v>
      </c>
      <c r="I14" s="369">
        <f t="shared" si="9"/>
        <v>16510</v>
      </c>
      <c r="J14" s="377">
        <f t="shared" si="5"/>
        <v>189</v>
      </c>
      <c r="K14" s="369">
        <f t="shared" si="10"/>
        <v>16699</v>
      </c>
      <c r="L14" s="374">
        <f t="shared" si="8"/>
        <v>4</v>
      </c>
      <c r="O14" s="381"/>
    </row>
    <row r="15" spans="1:41">
      <c r="A15" s="364">
        <f t="shared" si="6"/>
        <v>5</v>
      </c>
      <c r="B15" s="372">
        <f t="shared" si="4"/>
        <v>16755</v>
      </c>
      <c r="C15" s="357">
        <f t="shared" si="0"/>
        <v>8</v>
      </c>
      <c r="D15" s="358" t="str">
        <f t="shared" si="1"/>
        <v>saturn</v>
      </c>
      <c r="E15" s="359">
        <f t="shared" si="2"/>
        <v>8</v>
      </c>
      <c r="F15" s="367" t="str">
        <f t="shared" si="3"/>
        <v>saturn</v>
      </c>
      <c r="G15" s="367">
        <f t="shared" si="7"/>
        <v>3</v>
      </c>
      <c r="H15" s="367" t="str">
        <f t="shared" si="3"/>
        <v>sun</v>
      </c>
      <c r="I15" s="369">
        <f t="shared" si="9"/>
        <v>16699</v>
      </c>
      <c r="J15" s="377">
        <f t="shared" si="5"/>
        <v>56</v>
      </c>
      <c r="K15" s="369">
        <f t="shared" si="10"/>
        <v>16755</v>
      </c>
      <c r="L15" s="374">
        <f t="shared" si="8"/>
        <v>5</v>
      </c>
      <c r="O15" s="381"/>
    </row>
    <row r="16" spans="1:41">
      <c r="A16" s="364">
        <f t="shared" si="6"/>
        <v>6</v>
      </c>
      <c r="B16" s="372">
        <f t="shared" si="4"/>
        <v>16844</v>
      </c>
      <c r="C16" s="357">
        <f t="shared" si="0"/>
        <v>8</v>
      </c>
      <c r="D16" s="358" t="str">
        <f t="shared" si="1"/>
        <v>saturn</v>
      </c>
      <c r="E16" s="359">
        <f t="shared" si="2"/>
        <v>8</v>
      </c>
      <c r="F16" s="367" t="str">
        <f t="shared" si="3"/>
        <v>saturn</v>
      </c>
      <c r="G16" s="367">
        <f t="shared" si="7"/>
        <v>4</v>
      </c>
      <c r="H16" s="367" t="str">
        <f t="shared" si="3"/>
        <v>moon</v>
      </c>
      <c r="I16" s="369">
        <f t="shared" si="9"/>
        <v>16755</v>
      </c>
      <c r="J16" s="377">
        <f t="shared" si="5"/>
        <v>89</v>
      </c>
      <c r="K16" s="369">
        <f t="shared" si="10"/>
        <v>16844</v>
      </c>
      <c r="L16" s="374">
        <f t="shared" si="8"/>
        <v>6</v>
      </c>
      <c r="O16" s="381"/>
    </row>
    <row r="17" spans="1:15">
      <c r="A17" s="364">
        <f t="shared" si="6"/>
        <v>7</v>
      </c>
      <c r="B17" s="372">
        <f t="shared" si="4"/>
        <v>16911</v>
      </c>
      <c r="C17" s="357">
        <f t="shared" si="0"/>
        <v>8</v>
      </c>
      <c r="D17" s="358" t="str">
        <f t="shared" si="1"/>
        <v>saturn</v>
      </c>
      <c r="E17" s="359">
        <f t="shared" si="2"/>
        <v>8</v>
      </c>
      <c r="F17" s="367" t="str">
        <f t="shared" si="3"/>
        <v>saturn</v>
      </c>
      <c r="G17" s="367">
        <f t="shared" si="7"/>
        <v>5</v>
      </c>
      <c r="H17" s="367" t="str">
        <f t="shared" si="3"/>
        <v>mars</v>
      </c>
      <c r="I17" s="369">
        <f t="shared" si="9"/>
        <v>16844</v>
      </c>
      <c r="J17" s="377">
        <f t="shared" si="5"/>
        <v>67</v>
      </c>
      <c r="K17" s="369">
        <f t="shared" si="10"/>
        <v>16911</v>
      </c>
      <c r="L17" s="374">
        <f t="shared" si="8"/>
        <v>7</v>
      </c>
      <c r="O17" s="381"/>
    </row>
    <row r="18" spans="1:15">
      <c r="A18" s="364">
        <f t="shared" si="6"/>
        <v>8</v>
      </c>
      <c r="B18" s="372">
        <f t="shared" si="4"/>
        <v>17078</v>
      </c>
      <c r="C18" s="357">
        <f t="shared" si="0"/>
        <v>8</v>
      </c>
      <c r="D18" s="358" t="str">
        <f t="shared" si="1"/>
        <v>saturn</v>
      </c>
      <c r="E18" s="359">
        <f t="shared" si="2"/>
        <v>8</v>
      </c>
      <c r="F18" s="367" t="str">
        <f t="shared" si="3"/>
        <v>saturn</v>
      </c>
      <c r="G18" s="367">
        <f t="shared" si="7"/>
        <v>6</v>
      </c>
      <c r="H18" s="367" t="str">
        <f t="shared" si="3"/>
        <v>rahu</v>
      </c>
      <c r="I18" s="369">
        <f t="shared" si="9"/>
        <v>16911</v>
      </c>
      <c r="J18" s="377">
        <f t="shared" si="5"/>
        <v>167</v>
      </c>
      <c r="K18" s="369">
        <f t="shared" si="10"/>
        <v>17078</v>
      </c>
      <c r="L18" s="374">
        <f t="shared" si="8"/>
        <v>8</v>
      </c>
      <c r="O18" s="381"/>
    </row>
    <row r="19" spans="1:15">
      <c r="A19" s="364">
        <f t="shared" si="6"/>
        <v>9</v>
      </c>
      <c r="B19" s="372">
        <f t="shared" si="4"/>
        <v>17222</v>
      </c>
      <c r="C19" s="357">
        <f t="shared" si="0"/>
        <v>8</v>
      </c>
      <c r="D19" s="358" t="str">
        <f t="shared" si="1"/>
        <v>saturn</v>
      </c>
      <c r="E19" s="359">
        <f t="shared" si="2"/>
        <v>8</v>
      </c>
      <c r="F19" s="367" t="str">
        <f t="shared" si="3"/>
        <v>saturn</v>
      </c>
      <c r="G19" s="367">
        <f t="shared" si="7"/>
        <v>7</v>
      </c>
      <c r="H19" s="367" t="str">
        <f t="shared" si="3"/>
        <v>jupiter</v>
      </c>
      <c r="I19" s="369">
        <f t="shared" si="9"/>
        <v>17078</v>
      </c>
      <c r="J19" s="377">
        <f t="shared" si="5"/>
        <v>144</v>
      </c>
      <c r="K19" s="369">
        <f t="shared" si="10"/>
        <v>17222</v>
      </c>
      <c r="L19" s="374">
        <f t="shared" si="8"/>
        <v>9</v>
      </c>
      <c r="N19" s="358">
        <f>SUM(J11:J19)</f>
        <v>1112</v>
      </c>
      <c r="O19" s="381"/>
    </row>
    <row r="20" spans="1:15">
      <c r="A20" s="391"/>
      <c r="B20" s="386"/>
      <c r="C20" s="387">
        <f>C10</f>
        <v>8</v>
      </c>
      <c r="D20" s="373" t="str">
        <f>D10</f>
        <v>saturn</v>
      </c>
      <c r="E20" s="393">
        <f>IF(E10+1&gt;9,E10+1-9,E10+1)</f>
        <v>9</v>
      </c>
      <c r="F20" s="389" t="str">
        <f t="shared" si="3"/>
        <v>mercury</v>
      </c>
      <c r="G20" s="389"/>
      <c r="H20" s="389"/>
      <c r="I20" s="390">
        <f>K10</f>
        <v>17220</v>
      </c>
      <c r="J20" s="373">
        <f>ROUND(J$9*VLOOKUP(E20,$A$848:$E$856,5,FALSE),0)</f>
        <v>972</v>
      </c>
      <c r="K20" s="390">
        <f>I20+J20</f>
        <v>18192</v>
      </c>
      <c r="L20" s="392"/>
      <c r="M20" s="373"/>
      <c r="N20" s="373"/>
      <c r="O20" s="381"/>
    </row>
    <row r="21" spans="1:15">
      <c r="A21" s="364">
        <f>A19+1</f>
        <v>10</v>
      </c>
      <c r="B21" s="372">
        <f>K21</f>
        <v>17358</v>
      </c>
      <c r="C21" s="357">
        <f t="shared" ref="C21:C99" si="11">C20</f>
        <v>8</v>
      </c>
      <c r="D21" s="358" t="str">
        <f t="shared" ref="D21:D99" si="12">D20</f>
        <v>saturn</v>
      </c>
      <c r="E21" s="368">
        <f t="shared" ref="E21:E29" si="13">E20</f>
        <v>9</v>
      </c>
      <c r="F21" s="367" t="str">
        <f t="shared" si="3"/>
        <v>mercury</v>
      </c>
      <c r="G21" s="367">
        <f>E21</f>
        <v>9</v>
      </c>
      <c r="H21" s="367" t="str">
        <f t="shared" si="3"/>
        <v>mercury</v>
      </c>
      <c r="I21" s="369">
        <f>K19</f>
        <v>17222</v>
      </c>
      <c r="J21" s="377">
        <f t="shared" ref="J21:J29" si="14">ROUND(J$20*VLOOKUP(G21,$A$848:$E$856,5,FALSE),0)</f>
        <v>136</v>
      </c>
      <c r="K21" s="369">
        <f>I21+J21</f>
        <v>17358</v>
      </c>
      <c r="L21" s="374">
        <f>L19+1</f>
        <v>10</v>
      </c>
      <c r="O21" s="381"/>
    </row>
    <row r="22" spans="1:15">
      <c r="A22" s="364">
        <f t="shared" ref="A22:A29" si="15">A21+1</f>
        <v>11</v>
      </c>
      <c r="B22" s="372">
        <f>K22</f>
        <v>17416</v>
      </c>
      <c r="C22" s="357">
        <f t="shared" si="11"/>
        <v>8</v>
      </c>
      <c r="D22" s="358" t="str">
        <f t="shared" si="12"/>
        <v>saturn</v>
      </c>
      <c r="E22" s="368">
        <f t="shared" si="13"/>
        <v>9</v>
      </c>
      <c r="F22" s="367" t="str">
        <f t="shared" si="3"/>
        <v>mercury</v>
      </c>
      <c r="G22" s="367">
        <f t="shared" ref="G22:G29" si="16">IF(G21+1&gt;9,G21+1-9,G21+1)</f>
        <v>1</v>
      </c>
      <c r="H22" s="367" t="str">
        <f t="shared" si="3"/>
        <v>ketu</v>
      </c>
      <c r="I22" s="369">
        <f t="shared" ref="I22:I29" si="17">K21</f>
        <v>17358</v>
      </c>
      <c r="J22" s="377">
        <f t="shared" si="14"/>
        <v>58</v>
      </c>
      <c r="K22" s="369">
        <f>I22+J22</f>
        <v>17416</v>
      </c>
      <c r="L22" s="374">
        <f t="shared" ref="L22:L29" si="18">L21+1</f>
        <v>11</v>
      </c>
      <c r="O22" s="381"/>
    </row>
    <row r="23" spans="1:15">
      <c r="A23" s="364">
        <f t="shared" si="15"/>
        <v>12</v>
      </c>
      <c r="B23" s="372">
        <f t="shared" ref="B23:B29" si="19">K23</f>
        <v>17581</v>
      </c>
      <c r="C23" s="357">
        <f t="shared" si="11"/>
        <v>8</v>
      </c>
      <c r="D23" s="358" t="str">
        <f t="shared" si="12"/>
        <v>saturn</v>
      </c>
      <c r="E23" s="368">
        <f t="shared" si="13"/>
        <v>9</v>
      </c>
      <c r="F23" s="367" t="str">
        <f t="shared" si="3"/>
        <v>mercury</v>
      </c>
      <c r="G23" s="367">
        <f t="shared" si="16"/>
        <v>2</v>
      </c>
      <c r="H23" s="367" t="str">
        <f t="shared" si="3"/>
        <v>venus</v>
      </c>
      <c r="I23" s="369">
        <f t="shared" si="17"/>
        <v>17416</v>
      </c>
      <c r="J23" s="377">
        <f t="shared" si="14"/>
        <v>165</v>
      </c>
      <c r="K23" s="369">
        <f t="shared" ref="K23:K29" si="20">I23+J23</f>
        <v>17581</v>
      </c>
      <c r="L23" s="374">
        <f t="shared" si="18"/>
        <v>12</v>
      </c>
      <c r="O23" s="381"/>
    </row>
    <row r="24" spans="1:15">
      <c r="A24" s="364">
        <f t="shared" si="15"/>
        <v>13</v>
      </c>
      <c r="B24" s="372">
        <f t="shared" si="19"/>
        <v>17630</v>
      </c>
      <c r="C24" s="357">
        <f t="shared" si="11"/>
        <v>8</v>
      </c>
      <c r="D24" s="358" t="str">
        <f t="shared" si="12"/>
        <v>saturn</v>
      </c>
      <c r="E24" s="368">
        <f t="shared" si="13"/>
        <v>9</v>
      </c>
      <c r="F24" s="367" t="str">
        <f t="shared" si="3"/>
        <v>mercury</v>
      </c>
      <c r="G24" s="367">
        <f t="shared" si="16"/>
        <v>3</v>
      </c>
      <c r="H24" s="367" t="str">
        <f t="shared" si="3"/>
        <v>sun</v>
      </c>
      <c r="I24" s="369">
        <f t="shared" si="17"/>
        <v>17581</v>
      </c>
      <c r="J24" s="377">
        <f t="shared" si="14"/>
        <v>49</v>
      </c>
      <c r="K24" s="369">
        <f t="shared" si="20"/>
        <v>17630</v>
      </c>
      <c r="L24" s="374">
        <f t="shared" si="18"/>
        <v>13</v>
      </c>
      <c r="O24" s="381"/>
    </row>
    <row r="25" spans="1:15">
      <c r="A25" s="364">
        <f t="shared" si="15"/>
        <v>14</v>
      </c>
      <c r="B25" s="372">
        <f t="shared" si="19"/>
        <v>17708</v>
      </c>
      <c r="C25" s="357">
        <f t="shared" si="11"/>
        <v>8</v>
      </c>
      <c r="D25" s="358" t="str">
        <f t="shared" si="12"/>
        <v>saturn</v>
      </c>
      <c r="E25" s="368">
        <f t="shared" si="13"/>
        <v>9</v>
      </c>
      <c r="F25" s="367" t="str">
        <f t="shared" si="3"/>
        <v>mercury</v>
      </c>
      <c r="G25" s="367">
        <f t="shared" si="16"/>
        <v>4</v>
      </c>
      <c r="H25" s="367" t="str">
        <f t="shared" si="3"/>
        <v>moon</v>
      </c>
      <c r="I25" s="369">
        <f t="shared" si="17"/>
        <v>17630</v>
      </c>
      <c r="J25" s="377">
        <f t="shared" si="14"/>
        <v>78</v>
      </c>
      <c r="K25" s="369">
        <f t="shared" si="20"/>
        <v>17708</v>
      </c>
      <c r="L25" s="374">
        <f t="shared" si="18"/>
        <v>14</v>
      </c>
      <c r="O25" s="381"/>
    </row>
    <row r="26" spans="1:15">
      <c r="A26" s="364">
        <f t="shared" si="15"/>
        <v>15</v>
      </c>
      <c r="B26" s="372">
        <f t="shared" si="19"/>
        <v>17766</v>
      </c>
      <c r="C26" s="357">
        <f t="shared" si="11"/>
        <v>8</v>
      </c>
      <c r="D26" s="358" t="str">
        <f t="shared" si="12"/>
        <v>saturn</v>
      </c>
      <c r="E26" s="368">
        <f t="shared" si="13"/>
        <v>9</v>
      </c>
      <c r="F26" s="367" t="str">
        <f t="shared" si="3"/>
        <v>mercury</v>
      </c>
      <c r="G26" s="367">
        <f t="shared" si="16"/>
        <v>5</v>
      </c>
      <c r="H26" s="367" t="str">
        <f t="shared" si="3"/>
        <v>mars</v>
      </c>
      <c r="I26" s="369">
        <f t="shared" si="17"/>
        <v>17708</v>
      </c>
      <c r="J26" s="377">
        <f t="shared" si="14"/>
        <v>58</v>
      </c>
      <c r="K26" s="369">
        <f t="shared" si="20"/>
        <v>17766</v>
      </c>
      <c r="L26" s="374">
        <f t="shared" si="18"/>
        <v>15</v>
      </c>
      <c r="O26" s="381"/>
    </row>
    <row r="27" spans="1:15">
      <c r="A27" s="364">
        <f t="shared" si="15"/>
        <v>16</v>
      </c>
      <c r="B27" s="372">
        <f t="shared" si="19"/>
        <v>17912</v>
      </c>
      <c r="C27" s="357">
        <f t="shared" si="11"/>
        <v>8</v>
      </c>
      <c r="D27" s="358" t="str">
        <f t="shared" si="12"/>
        <v>saturn</v>
      </c>
      <c r="E27" s="368">
        <f t="shared" si="13"/>
        <v>9</v>
      </c>
      <c r="F27" s="367" t="str">
        <f t="shared" si="3"/>
        <v>mercury</v>
      </c>
      <c r="G27" s="367">
        <f t="shared" si="16"/>
        <v>6</v>
      </c>
      <c r="H27" s="367" t="str">
        <f t="shared" si="3"/>
        <v>rahu</v>
      </c>
      <c r="I27" s="369">
        <f t="shared" si="17"/>
        <v>17766</v>
      </c>
      <c r="J27" s="377">
        <f t="shared" si="14"/>
        <v>146</v>
      </c>
      <c r="K27" s="369">
        <f t="shared" si="20"/>
        <v>17912</v>
      </c>
      <c r="L27" s="374">
        <f t="shared" si="18"/>
        <v>16</v>
      </c>
      <c r="O27" s="381"/>
    </row>
    <row r="28" spans="1:15">
      <c r="A28" s="364">
        <f t="shared" si="15"/>
        <v>17</v>
      </c>
      <c r="B28" s="372">
        <f t="shared" si="19"/>
        <v>18038</v>
      </c>
      <c r="C28" s="357">
        <f t="shared" si="11"/>
        <v>8</v>
      </c>
      <c r="D28" s="358" t="str">
        <f t="shared" si="12"/>
        <v>saturn</v>
      </c>
      <c r="E28" s="368">
        <f t="shared" si="13"/>
        <v>9</v>
      </c>
      <c r="F28" s="367" t="str">
        <f t="shared" si="3"/>
        <v>mercury</v>
      </c>
      <c r="G28" s="367">
        <f t="shared" si="16"/>
        <v>7</v>
      </c>
      <c r="H28" s="367" t="str">
        <f t="shared" si="3"/>
        <v>jupiter</v>
      </c>
      <c r="I28" s="369">
        <f t="shared" si="17"/>
        <v>17912</v>
      </c>
      <c r="J28" s="377">
        <f t="shared" si="14"/>
        <v>126</v>
      </c>
      <c r="K28" s="369">
        <f t="shared" si="20"/>
        <v>18038</v>
      </c>
      <c r="L28" s="374">
        <f t="shared" si="18"/>
        <v>17</v>
      </c>
      <c r="O28" s="381"/>
    </row>
    <row r="29" spans="1:15">
      <c r="A29" s="364">
        <f t="shared" si="15"/>
        <v>18</v>
      </c>
      <c r="B29" s="372">
        <f t="shared" si="19"/>
        <v>18194</v>
      </c>
      <c r="C29" s="357">
        <f t="shared" si="11"/>
        <v>8</v>
      </c>
      <c r="D29" s="358" t="str">
        <f t="shared" si="12"/>
        <v>saturn</v>
      </c>
      <c r="E29" s="368">
        <f t="shared" si="13"/>
        <v>9</v>
      </c>
      <c r="F29" s="367" t="str">
        <f t="shared" si="3"/>
        <v>mercury</v>
      </c>
      <c r="G29" s="367">
        <f t="shared" si="16"/>
        <v>8</v>
      </c>
      <c r="H29" s="367" t="str">
        <f t="shared" si="3"/>
        <v>saturn</v>
      </c>
      <c r="I29" s="369">
        <f t="shared" si="17"/>
        <v>18038</v>
      </c>
      <c r="J29" s="377">
        <f t="shared" si="14"/>
        <v>156</v>
      </c>
      <c r="K29" s="369">
        <f t="shared" si="20"/>
        <v>18194</v>
      </c>
      <c r="L29" s="374">
        <f t="shared" si="18"/>
        <v>18</v>
      </c>
      <c r="N29" s="358">
        <f>SUM(J21:J29)</f>
        <v>972</v>
      </c>
      <c r="O29" s="381"/>
    </row>
    <row r="30" spans="1:15">
      <c r="A30" s="391"/>
      <c r="B30" s="386"/>
      <c r="C30" s="387">
        <f>C20</f>
        <v>8</v>
      </c>
      <c r="D30" s="373" t="str">
        <f>D20</f>
        <v>saturn</v>
      </c>
      <c r="E30" s="393">
        <f>IF(E20+1&gt;9,E20+1-9,E20+1)</f>
        <v>1</v>
      </c>
      <c r="F30" s="389" t="str">
        <f t="shared" si="3"/>
        <v>ketu</v>
      </c>
      <c r="G30" s="389"/>
      <c r="H30" s="389"/>
      <c r="I30" s="390">
        <f>K20</f>
        <v>18192</v>
      </c>
      <c r="J30" s="373">
        <f>ROUND(J$9*VLOOKUP(E30,$A$848:$E$856,5,FALSE),0)</f>
        <v>416</v>
      </c>
      <c r="K30" s="390">
        <f>I30+J30</f>
        <v>18608</v>
      </c>
      <c r="L30" s="392"/>
      <c r="M30" s="373"/>
      <c r="N30" s="373"/>
      <c r="O30" s="381"/>
    </row>
    <row r="31" spans="1:15">
      <c r="A31" s="364">
        <f>A29+1</f>
        <v>19</v>
      </c>
      <c r="B31" s="372">
        <f>K31</f>
        <v>18219</v>
      </c>
      <c r="C31" s="357">
        <f t="shared" si="11"/>
        <v>8</v>
      </c>
      <c r="D31" s="358" t="str">
        <f t="shared" si="12"/>
        <v>saturn</v>
      </c>
      <c r="E31" s="368">
        <f t="shared" ref="E31:E39" si="21">E30</f>
        <v>1</v>
      </c>
      <c r="F31" s="367" t="str">
        <f t="shared" si="3"/>
        <v>ketu</v>
      </c>
      <c r="G31" s="367">
        <f>E31</f>
        <v>1</v>
      </c>
      <c r="H31" s="367" t="str">
        <f t="shared" si="3"/>
        <v>ketu</v>
      </c>
      <c r="I31" s="369">
        <f>K29</f>
        <v>18194</v>
      </c>
      <c r="J31" s="377">
        <f t="shared" ref="J31:J39" si="22">ROUND(J$30*VLOOKUP(G31,$A$848:$E$856,5,FALSE),0)</f>
        <v>25</v>
      </c>
      <c r="K31" s="369">
        <f>I31+J31</f>
        <v>18219</v>
      </c>
      <c r="L31" s="374">
        <f>L29+1</f>
        <v>19</v>
      </c>
      <c r="O31" s="381"/>
    </row>
    <row r="32" spans="1:15">
      <c r="A32" s="364">
        <f t="shared" ref="A32:A39" si="23">A31+1</f>
        <v>20</v>
      </c>
      <c r="B32" s="372">
        <f>K32</f>
        <v>18290</v>
      </c>
      <c r="C32" s="357">
        <f t="shared" si="11"/>
        <v>8</v>
      </c>
      <c r="D32" s="358" t="str">
        <f t="shared" si="12"/>
        <v>saturn</v>
      </c>
      <c r="E32" s="368">
        <f t="shared" si="21"/>
        <v>1</v>
      </c>
      <c r="F32" s="367" t="str">
        <f t="shared" si="3"/>
        <v>ketu</v>
      </c>
      <c r="G32" s="367">
        <f t="shared" ref="G32:G39" si="24">IF(G31+1&gt;9,G31+1-9,G31+1)</f>
        <v>2</v>
      </c>
      <c r="H32" s="367" t="str">
        <f t="shared" si="3"/>
        <v>venus</v>
      </c>
      <c r="I32" s="369">
        <f t="shared" ref="I32:I39" si="25">K31</f>
        <v>18219</v>
      </c>
      <c r="J32" s="377">
        <f t="shared" si="22"/>
        <v>71</v>
      </c>
      <c r="K32" s="369">
        <f>I32+J32</f>
        <v>18290</v>
      </c>
      <c r="L32" s="374">
        <f t="shared" ref="L32:L39" si="26">L31+1</f>
        <v>20</v>
      </c>
      <c r="O32" s="381"/>
    </row>
    <row r="33" spans="1:15">
      <c r="A33" s="364">
        <f t="shared" si="23"/>
        <v>21</v>
      </c>
      <c r="B33" s="372">
        <f t="shared" ref="B33:B39" si="27">K33</f>
        <v>18311</v>
      </c>
      <c r="C33" s="357">
        <f t="shared" si="11"/>
        <v>8</v>
      </c>
      <c r="D33" s="358" t="str">
        <f t="shared" si="12"/>
        <v>saturn</v>
      </c>
      <c r="E33" s="368">
        <f t="shared" si="21"/>
        <v>1</v>
      </c>
      <c r="F33" s="367" t="str">
        <f t="shared" si="3"/>
        <v>ketu</v>
      </c>
      <c r="G33" s="367">
        <f t="shared" si="24"/>
        <v>3</v>
      </c>
      <c r="H33" s="367" t="str">
        <f t="shared" si="3"/>
        <v>sun</v>
      </c>
      <c r="I33" s="369">
        <f t="shared" si="25"/>
        <v>18290</v>
      </c>
      <c r="J33" s="377">
        <f t="shared" si="22"/>
        <v>21</v>
      </c>
      <c r="K33" s="369">
        <f t="shared" ref="K33:K39" si="28">I33+J33</f>
        <v>18311</v>
      </c>
      <c r="L33" s="374">
        <f t="shared" si="26"/>
        <v>21</v>
      </c>
      <c r="O33" s="381"/>
    </row>
    <row r="34" spans="1:15">
      <c r="A34" s="364">
        <f t="shared" si="23"/>
        <v>22</v>
      </c>
      <c r="B34" s="372">
        <f t="shared" si="27"/>
        <v>18344</v>
      </c>
      <c r="C34" s="357">
        <f t="shared" si="11"/>
        <v>8</v>
      </c>
      <c r="D34" s="358" t="str">
        <f t="shared" si="12"/>
        <v>saturn</v>
      </c>
      <c r="E34" s="368">
        <f t="shared" si="21"/>
        <v>1</v>
      </c>
      <c r="F34" s="367" t="str">
        <f t="shared" si="3"/>
        <v>ketu</v>
      </c>
      <c r="G34" s="367">
        <f t="shared" si="24"/>
        <v>4</v>
      </c>
      <c r="H34" s="367" t="str">
        <f t="shared" si="3"/>
        <v>moon</v>
      </c>
      <c r="I34" s="369">
        <f t="shared" si="25"/>
        <v>18311</v>
      </c>
      <c r="J34" s="377">
        <f t="shared" si="22"/>
        <v>33</v>
      </c>
      <c r="K34" s="369">
        <f t="shared" si="28"/>
        <v>18344</v>
      </c>
      <c r="L34" s="374">
        <f t="shared" si="26"/>
        <v>22</v>
      </c>
      <c r="O34" s="381"/>
    </row>
    <row r="35" spans="1:15">
      <c r="A35" s="364">
        <f t="shared" si="23"/>
        <v>23</v>
      </c>
      <c r="B35" s="372">
        <f t="shared" si="27"/>
        <v>18369</v>
      </c>
      <c r="C35" s="357">
        <f t="shared" si="11"/>
        <v>8</v>
      </c>
      <c r="D35" s="358" t="str">
        <f t="shared" si="12"/>
        <v>saturn</v>
      </c>
      <c r="E35" s="368">
        <f t="shared" si="21"/>
        <v>1</v>
      </c>
      <c r="F35" s="367" t="str">
        <f t="shared" si="3"/>
        <v>ketu</v>
      </c>
      <c r="G35" s="367">
        <f t="shared" si="24"/>
        <v>5</v>
      </c>
      <c r="H35" s="367" t="str">
        <f t="shared" si="3"/>
        <v>mars</v>
      </c>
      <c r="I35" s="369">
        <f t="shared" si="25"/>
        <v>18344</v>
      </c>
      <c r="J35" s="377">
        <f t="shared" si="22"/>
        <v>25</v>
      </c>
      <c r="K35" s="369">
        <f t="shared" si="28"/>
        <v>18369</v>
      </c>
      <c r="L35" s="374">
        <f t="shared" si="26"/>
        <v>23</v>
      </c>
      <c r="O35" s="381"/>
    </row>
    <row r="36" spans="1:15">
      <c r="A36" s="364">
        <f t="shared" si="23"/>
        <v>24</v>
      </c>
      <c r="B36" s="372">
        <f t="shared" si="27"/>
        <v>18431</v>
      </c>
      <c r="C36" s="357">
        <f t="shared" si="11"/>
        <v>8</v>
      </c>
      <c r="D36" s="358" t="str">
        <f t="shared" si="12"/>
        <v>saturn</v>
      </c>
      <c r="E36" s="368">
        <f t="shared" si="21"/>
        <v>1</v>
      </c>
      <c r="F36" s="367" t="str">
        <f t="shared" si="3"/>
        <v>ketu</v>
      </c>
      <c r="G36" s="367">
        <f t="shared" si="24"/>
        <v>6</v>
      </c>
      <c r="H36" s="367" t="str">
        <f t="shared" si="3"/>
        <v>rahu</v>
      </c>
      <c r="I36" s="369">
        <f t="shared" si="25"/>
        <v>18369</v>
      </c>
      <c r="J36" s="377">
        <f t="shared" si="22"/>
        <v>62</v>
      </c>
      <c r="K36" s="369">
        <f t="shared" si="28"/>
        <v>18431</v>
      </c>
      <c r="L36" s="374">
        <f t="shared" si="26"/>
        <v>24</v>
      </c>
      <c r="O36" s="381"/>
    </row>
    <row r="37" spans="1:15">
      <c r="A37" s="364">
        <f t="shared" si="23"/>
        <v>25</v>
      </c>
      <c r="B37" s="372">
        <f t="shared" si="27"/>
        <v>18485</v>
      </c>
      <c r="C37" s="357">
        <f t="shared" si="11"/>
        <v>8</v>
      </c>
      <c r="D37" s="358" t="str">
        <f t="shared" si="12"/>
        <v>saturn</v>
      </c>
      <c r="E37" s="368">
        <f t="shared" si="21"/>
        <v>1</v>
      </c>
      <c r="F37" s="367" t="str">
        <f t="shared" si="3"/>
        <v>ketu</v>
      </c>
      <c r="G37" s="367">
        <f t="shared" si="24"/>
        <v>7</v>
      </c>
      <c r="H37" s="367" t="str">
        <f t="shared" si="3"/>
        <v>jupiter</v>
      </c>
      <c r="I37" s="369">
        <f t="shared" si="25"/>
        <v>18431</v>
      </c>
      <c r="J37" s="377">
        <f t="shared" si="22"/>
        <v>54</v>
      </c>
      <c r="K37" s="369">
        <f t="shared" si="28"/>
        <v>18485</v>
      </c>
      <c r="L37" s="374">
        <f t="shared" si="26"/>
        <v>25</v>
      </c>
      <c r="O37" s="381"/>
    </row>
    <row r="38" spans="1:15">
      <c r="A38" s="364">
        <f t="shared" si="23"/>
        <v>26</v>
      </c>
      <c r="B38" s="372">
        <f t="shared" si="27"/>
        <v>18552</v>
      </c>
      <c r="C38" s="357">
        <f t="shared" si="11"/>
        <v>8</v>
      </c>
      <c r="D38" s="358" t="str">
        <f t="shared" si="12"/>
        <v>saturn</v>
      </c>
      <c r="E38" s="368">
        <f t="shared" si="21"/>
        <v>1</v>
      </c>
      <c r="F38" s="367" t="str">
        <f t="shared" si="3"/>
        <v>ketu</v>
      </c>
      <c r="G38" s="367">
        <f t="shared" si="24"/>
        <v>8</v>
      </c>
      <c r="H38" s="367" t="str">
        <f t="shared" si="3"/>
        <v>saturn</v>
      </c>
      <c r="I38" s="369">
        <f t="shared" si="25"/>
        <v>18485</v>
      </c>
      <c r="J38" s="377">
        <f t="shared" si="22"/>
        <v>67</v>
      </c>
      <c r="K38" s="369">
        <f t="shared" si="28"/>
        <v>18552</v>
      </c>
      <c r="L38" s="374">
        <f t="shared" si="26"/>
        <v>26</v>
      </c>
      <c r="O38" s="381"/>
    </row>
    <row r="39" spans="1:15">
      <c r="A39" s="364">
        <f t="shared" si="23"/>
        <v>27</v>
      </c>
      <c r="B39" s="372">
        <f t="shared" si="27"/>
        <v>18610</v>
      </c>
      <c r="C39" s="357">
        <f t="shared" si="11"/>
        <v>8</v>
      </c>
      <c r="D39" s="358" t="str">
        <f t="shared" si="12"/>
        <v>saturn</v>
      </c>
      <c r="E39" s="368">
        <f t="shared" si="21"/>
        <v>1</v>
      </c>
      <c r="F39" s="367" t="str">
        <f t="shared" si="3"/>
        <v>ketu</v>
      </c>
      <c r="G39" s="367">
        <f t="shared" si="24"/>
        <v>9</v>
      </c>
      <c r="H39" s="367" t="str">
        <f t="shared" si="3"/>
        <v>mercury</v>
      </c>
      <c r="I39" s="369">
        <f t="shared" si="25"/>
        <v>18552</v>
      </c>
      <c r="J39" s="377">
        <f t="shared" si="22"/>
        <v>58</v>
      </c>
      <c r="K39" s="369">
        <f t="shared" si="28"/>
        <v>18610</v>
      </c>
      <c r="L39" s="374">
        <f t="shared" si="26"/>
        <v>27</v>
      </c>
      <c r="N39" s="358">
        <f>SUM(J31:J39)</f>
        <v>416</v>
      </c>
      <c r="O39" s="381"/>
    </row>
    <row r="40" spans="1:15">
      <c r="A40" s="391"/>
      <c r="B40" s="386"/>
      <c r="C40" s="387">
        <f>C30</f>
        <v>8</v>
      </c>
      <c r="D40" s="373" t="str">
        <f>D30</f>
        <v>saturn</v>
      </c>
      <c r="E40" s="393">
        <f>IF(E30+1&gt;9,E30+1-9,E30+1)</f>
        <v>2</v>
      </c>
      <c r="F40" s="389" t="str">
        <f t="shared" si="3"/>
        <v>venus</v>
      </c>
      <c r="G40" s="389"/>
      <c r="H40" s="389"/>
      <c r="I40" s="390">
        <f>K30</f>
        <v>18608</v>
      </c>
      <c r="J40" s="373">
        <f>ROUND(J$9*VLOOKUP(E40,$A$848:$E$856,5,FALSE),0)</f>
        <v>1180</v>
      </c>
      <c r="K40" s="390">
        <f>I40+J40</f>
        <v>19788</v>
      </c>
      <c r="L40" s="392"/>
      <c r="M40" s="373"/>
      <c r="N40" s="373"/>
      <c r="O40" s="381"/>
    </row>
    <row r="41" spans="1:15">
      <c r="A41" s="364">
        <f>A39+1</f>
        <v>28</v>
      </c>
      <c r="B41" s="372">
        <f>K41</f>
        <v>18811</v>
      </c>
      <c r="C41" s="357">
        <f t="shared" si="11"/>
        <v>8</v>
      </c>
      <c r="D41" s="358" t="str">
        <f t="shared" si="12"/>
        <v>saturn</v>
      </c>
      <c r="E41" s="368">
        <f t="shared" ref="E41:E49" si="29">E40</f>
        <v>2</v>
      </c>
      <c r="F41" s="367" t="str">
        <f t="shared" si="3"/>
        <v>venus</v>
      </c>
      <c r="G41" s="367">
        <f>E41</f>
        <v>2</v>
      </c>
      <c r="H41" s="367" t="str">
        <f t="shared" si="3"/>
        <v>venus</v>
      </c>
      <c r="I41" s="369">
        <f>K39</f>
        <v>18610</v>
      </c>
      <c r="J41" s="377">
        <f t="shared" ref="J41:J49" si="30">ROUND(J$40*VLOOKUP(G41,$A$848:$E$856,5,FALSE),0)</f>
        <v>201</v>
      </c>
      <c r="K41" s="369">
        <f>I41+J41</f>
        <v>18811</v>
      </c>
      <c r="L41" s="374">
        <f>L39+1</f>
        <v>28</v>
      </c>
      <c r="O41" s="381"/>
    </row>
    <row r="42" spans="1:15">
      <c r="A42" s="364">
        <f t="shared" ref="A42:A49" si="31">A41+1</f>
        <v>29</v>
      </c>
      <c r="B42" s="372">
        <f>K42</f>
        <v>18870</v>
      </c>
      <c r="C42" s="357">
        <f t="shared" si="11"/>
        <v>8</v>
      </c>
      <c r="D42" s="358" t="str">
        <f t="shared" si="12"/>
        <v>saturn</v>
      </c>
      <c r="E42" s="368">
        <f t="shared" si="29"/>
        <v>2</v>
      </c>
      <c r="F42" s="367" t="str">
        <f t="shared" si="3"/>
        <v>venus</v>
      </c>
      <c r="G42" s="367">
        <f t="shared" ref="G42:G49" si="32">IF(G41+1&gt;9,G41+1-9,G41+1)</f>
        <v>3</v>
      </c>
      <c r="H42" s="367" t="str">
        <f t="shared" si="3"/>
        <v>sun</v>
      </c>
      <c r="I42" s="369">
        <f t="shared" ref="I42:I49" si="33">K41</f>
        <v>18811</v>
      </c>
      <c r="J42" s="377">
        <f t="shared" si="30"/>
        <v>59</v>
      </c>
      <c r="K42" s="369">
        <f>I42+J42</f>
        <v>18870</v>
      </c>
      <c r="L42" s="374">
        <f t="shared" ref="L42:L49" si="34">L41+1</f>
        <v>29</v>
      </c>
      <c r="O42" s="381"/>
    </row>
    <row r="43" spans="1:15">
      <c r="A43" s="364">
        <f t="shared" si="31"/>
        <v>30</v>
      </c>
      <c r="B43" s="372">
        <f t="shared" ref="B43:B49" si="35">K43</f>
        <v>18964</v>
      </c>
      <c r="C43" s="357">
        <f t="shared" si="11"/>
        <v>8</v>
      </c>
      <c r="D43" s="358" t="str">
        <f t="shared" si="12"/>
        <v>saturn</v>
      </c>
      <c r="E43" s="368">
        <f t="shared" si="29"/>
        <v>2</v>
      </c>
      <c r="F43" s="367" t="str">
        <f t="shared" si="3"/>
        <v>venus</v>
      </c>
      <c r="G43" s="367">
        <f t="shared" si="32"/>
        <v>4</v>
      </c>
      <c r="H43" s="367" t="str">
        <f t="shared" si="3"/>
        <v>moon</v>
      </c>
      <c r="I43" s="369">
        <f t="shared" si="33"/>
        <v>18870</v>
      </c>
      <c r="J43" s="377">
        <f t="shared" si="30"/>
        <v>94</v>
      </c>
      <c r="K43" s="369">
        <f t="shared" ref="K43:K49" si="36">I43+J43</f>
        <v>18964</v>
      </c>
      <c r="L43" s="374">
        <f t="shared" si="34"/>
        <v>30</v>
      </c>
      <c r="O43" s="381"/>
    </row>
    <row r="44" spans="1:15">
      <c r="A44" s="364">
        <f t="shared" si="31"/>
        <v>31</v>
      </c>
      <c r="B44" s="372">
        <f t="shared" si="35"/>
        <v>19035</v>
      </c>
      <c r="C44" s="357">
        <f t="shared" si="11"/>
        <v>8</v>
      </c>
      <c r="D44" s="358" t="str">
        <f t="shared" si="12"/>
        <v>saturn</v>
      </c>
      <c r="E44" s="368">
        <f t="shared" si="29"/>
        <v>2</v>
      </c>
      <c r="F44" s="367" t="str">
        <f t="shared" si="3"/>
        <v>venus</v>
      </c>
      <c r="G44" s="367">
        <f t="shared" si="32"/>
        <v>5</v>
      </c>
      <c r="H44" s="367" t="str">
        <f t="shared" si="3"/>
        <v>mars</v>
      </c>
      <c r="I44" s="369">
        <f t="shared" si="33"/>
        <v>18964</v>
      </c>
      <c r="J44" s="377">
        <f t="shared" si="30"/>
        <v>71</v>
      </c>
      <c r="K44" s="369">
        <f t="shared" si="36"/>
        <v>19035</v>
      </c>
      <c r="L44" s="374">
        <f t="shared" si="34"/>
        <v>31</v>
      </c>
      <c r="O44" s="381"/>
    </row>
    <row r="45" spans="1:15">
      <c r="A45" s="364">
        <f t="shared" si="31"/>
        <v>32</v>
      </c>
      <c r="B45" s="372">
        <f t="shared" si="35"/>
        <v>19212</v>
      </c>
      <c r="C45" s="357">
        <f t="shared" si="11"/>
        <v>8</v>
      </c>
      <c r="D45" s="358" t="str">
        <f t="shared" si="12"/>
        <v>saturn</v>
      </c>
      <c r="E45" s="368">
        <f t="shared" si="29"/>
        <v>2</v>
      </c>
      <c r="F45" s="367" t="str">
        <f t="shared" si="3"/>
        <v>venus</v>
      </c>
      <c r="G45" s="367">
        <f t="shared" si="32"/>
        <v>6</v>
      </c>
      <c r="H45" s="367" t="str">
        <f t="shared" si="3"/>
        <v>rahu</v>
      </c>
      <c r="I45" s="369">
        <f t="shared" si="33"/>
        <v>19035</v>
      </c>
      <c r="J45" s="377">
        <f t="shared" si="30"/>
        <v>177</v>
      </c>
      <c r="K45" s="369">
        <f t="shared" si="36"/>
        <v>19212</v>
      </c>
      <c r="L45" s="374">
        <f t="shared" si="34"/>
        <v>32</v>
      </c>
      <c r="O45" s="381"/>
    </row>
    <row r="46" spans="1:15">
      <c r="A46" s="364">
        <f t="shared" si="31"/>
        <v>33</v>
      </c>
      <c r="B46" s="372">
        <f t="shared" si="35"/>
        <v>19365</v>
      </c>
      <c r="C46" s="357">
        <f t="shared" si="11"/>
        <v>8</v>
      </c>
      <c r="D46" s="358" t="str">
        <f t="shared" si="12"/>
        <v>saturn</v>
      </c>
      <c r="E46" s="368">
        <f t="shared" si="29"/>
        <v>2</v>
      </c>
      <c r="F46" s="367" t="str">
        <f t="shared" si="3"/>
        <v>venus</v>
      </c>
      <c r="G46" s="367">
        <f t="shared" si="32"/>
        <v>7</v>
      </c>
      <c r="H46" s="367" t="str">
        <f t="shared" si="3"/>
        <v>jupiter</v>
      </c>
      <c r="I46" s="369">
        <f t="shared" si="33"/>
        <v>19212</v>
      </c>
      <c r="J46" s="377">
        <f t="shared" si="30"/>
        <v>153</v>
      </c>
      <c r="K46" s="369">
        <f t="shared" si="36"/>
        <v>19365</v>
      </c>
      <c r="L46" s="374">
        <f t="shared" si="34"/>
        <v>33</v>
      </c>
      <c r="O46" s="381"/>
    </row>
    <row r="47" spans="1:15">
      <c r="A47" s="364">
        <f t="shared" si="31"/>
        <v>34</v>
      </c>
      <c r="B47" s="372">
        <f t="shared" si="35"/>
        <v>19554</v>
      </c>
      <c r="C47" s="357">
        <f t="shared" si="11"/>
        <v>8</v>
      </c>
      <c r="D47" s="358" t="str">
        <f t="shared" si="12"/>
        <v>saturn</v>
      </c>
      <c r="E47" s="368">
        <f t="shared" si="29"/>
        <v>2</v>
      </c>
      <c r="F47" s="367" t="str">
        <f t="shared" si="3"/>
        <v>venus</v>
      </c>
      <c r="G47" s="367">
        <f t="shared" si="32"/>
        <v>8</v>
      </c>
      <c r="H47" s="367" t="str">
        <f t="shared" si="3"/>
        <v>saturn</v>
      </c>
      <c r="I47" s="369">
        <f t="shared" si="33"/>
        <v>19365</v>
      </c>
      <c r="J47" s="377">
        <f t="shared" si="30"/>
        <v>189</v>
      </c>
      <c r="K47" s="369">
        <f t="shared" si="36"/>
        <v>19554</v>
      </c>
      <c r="L47" s="374">
        <f t="shared" si="34"/>
        <v>34</v>
      </c>
      <c r="O47" s="381"/>
    </row>
    <row r="48" spans="1:15">
      <c r="A48" s="364">
        <f t="shared" si="31"/>
        <v>35</v>
      </c>
      <c r="B48" s="372">
        <f t="shared" si="35"/>
        <v>19719</v>
      </c>
      <c r="C48" s="357">
        <f t="shared" si="11"/>
        <v>8</v>
      </c>
      <c r="D48" s="358" t="str">
        <f t="shared" si="12"/>
        <v>saturn</v>
      </c>
      <c r="E48" s="368">
        <f t="shared" si="29"/>
        <v>2</v>
      </c>
      <c r="F48" s="367" t="str">
        <f t="shared" si="3"/>
        <v>venus</v>
      </c>
      <c r="G48" s="367">
        <f t="shared" si="32"/>
        <v>9</v>
      </c>
      <c r="H48" s="367" t="str">
        <f t="shared" si="3"/>
        <v>mercury</v>
      </c>
      <c r="I48" s="369">
        <f t="shared" si="33"/>
        <v>19554</v>
      </c>
      <c r="J48" s="377">
        <f t="shared" si="30"/>
        <v>165</v>
      </c>
      <c r="K48" s="369">
        <f t="shared" si="36"/>
        <v>19719</v>
      </c>
      <c r="L48" s="374">
        <f t="shared" si="34"/>
        <v>35</v>
      </c>
      <c r="O48" s="381"/>
    </row>
    <row r="49" spans="1:15">
      <c r="A49" s="364">
        <f t="shared" si="31"/>
        <v>36</v>
      </c>
      <c r="B49" s="372">
        <f t="shared" si="35"/>
        <v>19790</v>
      </c>
      <c r="C49" s="357">
        <f t="shared" si="11"/>
        <v>8</v>
      </c>
      <c r="D49" s="358" t="str">
        <f t="shared" si="12"/>
        <v>saturn</v>
      </c>
      <c r="E49" s="368">
        <f t="shared" si="29"/>
        <v>2</v>
      </c>
      <c r="F49" s="367" t="str">
        <f t="shared" si="3"/>
        <v>venus</v>
      </c>
      <c r="G49" s="367">
        <f t="shared" si="32"/>
        <v>1</v>
      </c>
      <c r="H49" s="367" t="str">
        <f t="shared" si="3"/>
        <v>ketu</v>
      </c>
      <c r="I49" s="369">
        <f t="shared" si="33"/>
        <v>19719</v>
      </c>
      <c r="J49" s="377">
        <f t="shared" si="30"/>
        <v>71</v>
      </c>
      <c r="K49" s="369">
        <f t="shared" si="36"/>
        <v>19790</v>
      </c>
      <c r="L49" s="374">
        <f t="shared" si="34"/>
        <v>36</v>
      </c>
      <c r="N49" s="358">
        <f>SUM(J41:J49)</f>
        <v>1180</v>
      </c>
      <c r="O49" s="381"/>
    </row>
    <row r="50" spans="1:15">
      <c r="A50" s="391"/>
      <c r="B50" s="386"/>
      <c r="C50" s="387">
        <f>C40</f>
        <v>8</v>
      </c>
      <c r="D50" s="373" t="str">
        <f>D40</f>
        <v>saturn</v>
      </c>
      <c r="E50" s="393">
        <f>IF(E40+1&gt;9,E40+1-9,E40+1)</f>
        <v>3</v>
      </c>
      <c r="F50" s="389" t="str">
        <f t="shared" si="3"/>
        <v>sun</v>
      </c>
      <c r="G50" s="389"/>
      <c r="H50" s="389"/>
      <c r="I50" s="390">
        <f>K40</f>
        <v>19788</v>
      </c>
      <c r="J50" s="373">
        <f>ROUND(J$9*VLOOKUP(E50,$A$848:$E$856,5,FALSE),0)</f>
        <v>347</v>
      </c>
      <c r="K50" s="390">
        <f>I50+J50</f>
        <v>20135</v>
      </c>
      <c r="L50" s="392"/>
      <c r="M50" s="373"/>
      <c r="N50" s="373"/>
      <c r="O50" s="381"/>
    </row>
    <row r="51" spans="1:15">
      <c r="A51" s="364">
        <f>A49+1</f>
        <v>37</v>
      </c>
      <c r="B51" s="372">
        <f>K51</f>
        <v>19807</v>
      </c>
      <c r="C51" s="357">
        <f t="shared" si="11"/>
        <v>8</v>
      </c>
      <c r="D51" s="358" t="str">
        <f t="shared" si="12"/>
        <v>saturn</v>
      </c>
      <c r="E51" s="368">
        <f t="shared" ref="E51:E59" si="37">E50</f>
        <v>3</v>
      </c>
      <c r="F51" s="367" t="str">
        <f t="shared" si="3"/>
        <v>sun</v>
      </c>
      <c r="G51" s="367">
        <f>E51</f>
        <v>3</v>
      </c>
      <c r="H51" s="367" t="str">
        <f t="shared" si="3"/>
        <v>sun</v>
      </c>
      <c r="I51" s="369">
        <f>K49</f>
        <v>19790</v>
      </c>
      <c r="J51" s="377">
        <f t="shared" ref="J51:J59" si="38">ROUND(J$50*VLOOKUP(G51,$A$848:$E$856,5,FALSE),0)</f>
        <v>17</v>
      </c>
      <c r="K51" s="369">
        <f>I51+J51</f>
        <v>19807</v>
      </c>
      <c r="L51" s="374">
        <f>L49+1</f>
        <v>37</v>
      </c>
      <c r="O51" s="381"/>
    </row>
    <row r="52" spans="1:15">
      <c r="A52" s="364">
        <f t="shared" ref="A52:A59" si="39">A51+1</f>
        <v>38</v>
      </c>
      <c r="B52" s="372">
        <f>K52</f>
        <v>19835</v>
      </c>
      <c r="C52" s="357">
        <f t="shared" si="11"/>
        <v>8</v>
      </c>
      <c r="D52" s="358" t="str">
        <f t="shared" si="12"/>
        <v>saturn</v>
      </c>
      <c r="E52" s="368">
        <f t="shared" si="37"/>
        <v>3</v>
      </c>
      <c r="F52" s="367" t="str">
        <f t="shared" si="3"/>
        <v>sun</v>
      </c>
      <c r="G52" s="367">
        <f t="shared" ref="G52:G59" si="40">IF(G51+1&gt;9,G51+1-9,G51+1)</f>
        <v>4</v>
      </c>
      <c r="H52" s="367" t="str">
        <f t="shared" si="3"/>
        <v>moon</v>
      </c>
      <c r="I52" s="369">
        <f t="shared" ref="I52:I59" si="41">K51</f>
        <v>19807</v>
      </c>
      <c r="J52" s="377">
        <f t="shared" si="38"/>
        <v>28</v>
      </c>
      <c r="K52" s="369">
        <f>I52+J52</f>
        <v>19835</v>
      </c>
      <c r="L52" s="374">
        <f t="shared" ref="L52:L59" si="42">L51+1</f>
        <v>38</v>
      </c>
      <c r="O52" s="381"/>
    </row>
    <row r="53" spans="1:15">
      <c r="A53" s="364">
        <f t="shared" si="39"/>
        <v>39</v>
      </c>
      <c r="B53" s="372">
        <f t="shared" ref="B53:B59" si="43">K53</f>
        <v>19856</v>
      </c>
      <c r="C53" s="357">
        <f t="shared" si="11"/>
        <v>8</v>
      </c>
      <c r="D53" s="358" t="str">
        <f t="shared" si="12"/>
        <v>saturn</v>
      </c>
      <c r="E53" s="368">
        <f t="shared" si="37"/>
        <v>3</v>
      </c>
      <c r="F53" s="367" t="str">
        <f t="shared" si="3"/>
        <v>sun</v>
      </c>
      <c r="G53" s="367">
        <f t="shared" si="40"/>
        <v>5</v>
      </c>
      <c r="H53" s="367" t="str">
        <f t="shared" si="3"/>
        <v>mars</v>
      </c>
      <c r="I53" s="369">
        <f t="shared" si="41"/>
        <v>19835</v>
      </c>
      <c r="J53" s="377">
        <f t="shared" si="38"/>
        <v>21</v>
      </c>
      <c r="K53" s="369">
        <f t="shared" ref="K53:K59" si="44">I53+J53</f>
        <v>19856</v>
      </c>
      <c r="L53" s="374">
        <f t="shared" si="42"/>
        <v>39</v>
      </c>
      <c r="O53" s="381"/>
    </row>
    <row r="54" spans="1:15">
      <c r="A54" s="364">
        <f t="shared" si="39"/>
        <v>40</v>
      </c>
      <c r="B54" s="372">
        <f t="shared" si="43"/>
        <v>19908</v>
      </c>
      <c r="C54" s="357">
        <f t="shared" si="11"/>
        <v>8</v>
      </c>
      <c r="D54" s="358" t="str">
        <f t="shared" si="12"/>
        <v>saturn</v>
      </c>
      <c r="E54" s="368">
        <f t="shared" si="37"/>
        <v>3</v>
      </c>
      <c r="F54" s="367" t="str">
        <f t="shared" si="3"/>
        <v>sun</v>
      </c>
      <c r="G54" s="367">
        <f t="shared" si="40"/>
        <v>6</v>
      </c>
      <c r="H54" s="367" t="str">
        <f t="shared" si="3"/>
        <v>rahu</v>
      </c>
      <c r="I54" s="369">
        <f t="shared" si="41"/>
        <v>19856</v>
      </c>
      <c r="J54" s="377">
        <f t="shared" si="38"/>
        <v>52</v>
      </c>
      <c r="K54" s="369">
        <f t="shared" si="44"/>
        <v>19908</v>
      </c>
      <c r="L54" s="374">
        <f t="shared" si="42"/>
        <v>40</v>
      </c>
      <c r="O54" s="381"/>
    </row>
    <row r="55" spans="1:15">
      <c r="A55" s="364">
        <f t="shared" si="39"/>
        <v>41</v>
      </c>
      <c r="B55" s="372">
        <f t="shared" si="43"/>
        <v>19953</v>
      </c>
      <c r="C55" s="357">
        <f t="shared" si="11"/>
        <v>8</v>
      </c>
      <c r="D55" s="358" t="str">
        <f t="shared" si="12"/>
        <v>saturn</v>
      </c>
      <c r="E55" s="368">
        <f t="shared" si="37"/>
        <v>3</v>
      </c>
      <c r="F55" s="367" t="str">
        <f t="shared" si="3"/>
        <v>sun</v>
      </c>
      <c r="G55" s="367">
        <f t="shared" si="40"/>
        <v>7</v>
      </c>
      <c r="H55" s="367" t="str">
        <f t="shared" si="3"/>
        <v>jupiter</v>
      </c>
      <c r="I55" s="369">
        <f t="shared" si="41"/>
        <v>19908</v>
      </c>
      <c r="J55" s="377">
        <f t="shared" si="38"/>
        <v>45</v>
      </c>
      <c r="K55" s="369">
        <f t="shared" si="44"/>
        <v>19953</v>
      </c>
      <c r="L55" s="374">
        <f t="shared" si="42"/>
        <v>41</v>
      </c>
      <c r="O55" s="381"/>
    </row>
    <row r="56" spans="1:15">
      <c r="A56" s="364">
        <f t="shared" si="39"/>
        <v>42</v>
      </c>
      <c r="B56" s="372">
        <f t="shared" si="43"/>
        <v>20009</v>
      </c>
      <c r="C56" s="357">
        <f t="shared" si="11"/>
        <v>8</v>
      </c>
      <c r="D56" s="358" t="str">
        <f t="shared" si="12"/>
        <v>saturn</v>
      </c>
      <c r="E56" s="368">
        <f t="shared" si="37"/>
        <v>3</v>
      </c>
      <c r="F56" s="367" t="str">
        <f t="shared" si="3"/>
        <v>sun</v>
      </c>
      <c r="G56" s="367">
        <f t="shared" si="40"/>
        <v>8</v>
      </c>
      <c r="H56" s="367" t="str">
        <f t="shared" si="3"/>
        <v>saturn</v>
      </c>
      <c r="I56" s="369">
        <f t="shared" si="41"/>
        <v>19953</v>
      </c>
      <c r="J56" s="377">
        <f t="shared" si="38"/>
        <v>56</v>
      </c>
      <c r="K56" s="369">
        <f t="shared" si="44"/>
        <v>20009</v>
      </c>
      <c r="L56" s="374">
        <f t="shared" si="42"/>
        <v>42</v>
      </c>
      <c r="O56" s="381"/>
    </row>
    <row r="57" spans="1:15">
      <c r="A57" s="364">
        <f t="shared" si="39"/>
        <v>43</v>
      </c>
      <c r="B57" s="372">
        <f t="shared" si="43"/>
        <v>20058</v>
      </c>
      <c r="C57" s="357">
        <f t="shared" si="11"/>
        <v>8</v>
      </c>
      <c r="D57" s="358" t="str">
        <f t="shared" si="12"/>
        <v>saturn</v>
      </c>
      <c r="E57" s="368">
        <f t="shared" si="37"/>
        <v>3</v>
      </c>
      <c r="F57" s="367" t="str">
        <f t="shared" si="3"/>
        <v>sun</v>
      </c>
      <c r="G57" s="367">
        <f t="shared" si="40"/>
        <v>9</v>
      </c>
      <c r="H57" s="367" t="str">
        <f t="shared" si="3"/>
        <v>mercury</v>
      </c>
      <c r="I57" s="369">
        <f t="shared" si="41"/>
        <v>20009</v>
      </c>
      <c r="J57" s="377">
        <f t="shared" si="38"/>
        <v>49</v>
      </c>
      <c r="K57" s="369">
        <f t="shared" si="44"/>
        <v>20058</v>
      </c>
      <c r="L57" s="374">
        <f t="shared" si="42"/>
        <v>43</v>
      </c>
      <c r="O57" s="381"/>
    </row>
    <row r="58" spans="1:15">
      <c r="A58" s="364">
        <f t="shared" si="39"/>
        <v>44</v>
      </c>
      <c r="B58" s="372">
        <f t="shared" si="43"/>
        <v>20079</v>
      </c>
      <c r="C58" s="357">
        <f t="shared" si="11"/>
        <v>8</v>
      </c>
      <c r="D58" s="358" t="str">
        <f t="shared" si="12"/>
        <v>saturn</v>
      </c>
      <c r="E58" s="368">
        <f t="shared" si="37"/>
        <v>3</v>
      </c>
      <c r="F58" s="367" t="str">
        <f t="shared" si="3"/>
        <v>sun</v>
      </c>
      <c r="G58" s="367">
        <f t="shared" si="40"/>
        <v>1</v>
      </c>
      <c r="H58" s="367" t="str">
        <f t="shared" si="3"/>
        <v>ketu</v>
      </c>
      <c r="I58" s="369">
        <f t="shared" si="41"/>
        <v>20058</v>
      </c>
      <c r="J58" s="377">
        <f t="shared" si="38"/>
        <v>21</v>
      </c>
      <c r="K58" s="369">
        <f t="shared" si="44"/>
        <v>20079</v>
      </c>
      <c r="L58" s="374">
        <f t="shared" si="42"/>
        <v>44</v>
      </c>
      <c r="O58" s="381"/>
    </row>
    <row r="59" spans="1:15">
      <c r="A59" s="364">
        <f t="shared" si="39"/>
        <v>45</v>
      </c>
      <c r="B59" s="372">
        <f t="shared" si="43"/>
        <v>20138</v>
      </c>
      <c r="C59" s="357">
        <f t="shared" si="11"/>
        <v>8</v>
      </c>
      <c r="D59" s="358" t="str">
        <f t="shared" si="12"/>
        <v>saturn</v>
      </c>
      <c r="E59" s="368">
        <f t="shared" si="37"/>
        <v>3</v>
      </c>
      <c r="F59" s="367" t="str">
        <f t="shared" si="3"/>
        <v>sun</v>
      </c>
      <c r="G59" s="367">
        <f t="shared" si="40"/>
        <v>2</v>
      </c>
      <c r="H59" s="367" t="str">
        <f t="shared" si="3"/>
        <v>venus</v>
      </c>
      <c r="I59" s="369">
        <f t="shared" si="41"/>
        <v>20079</v>
      </c>
      <c r="J59" s="377">
        <f t="shared" si="38"/>
        <v>59</v>
      </c>
      <c r="K59" s="369">
        <f t="shared" si="44"/>
        <v>20138</v>
      </c>
      <c r="L59" s="374">
        <f t="shared" si="42"/>
        <v>45</v>
      </c>
      <c r="N59" s="358">
        <f>SUM(J51:J59)</f>
        <v>348</v>
      </c>
      <c r="O59" s="381"/>
    </row>
    <row r="60" spans="1:15">
      <c r="A60" s="391"/>
      <c r="B60" s="386"/>
      <c r="C60" s="387">
        <f>C50</f>
        <v>8</v>
      </c>
      <c r="D60" s="373" t="str">
        <f>D50</f>
        <v>saturn</v>
      </c>
      <c r="E60" s="393">
        <f>IF(E50+1&gt;9,E50+1-9,E50+1)</f>
        <v>4</v>
      </c>
      <c r="F60" s="389" t="str">
        <f t="shared" si="3"/>
        <v>moon</v>
      </c>
      <c r="G60" s="389"/>
      <c r="H60" s="389"/>
      <c r="I60" s="390">
        <f>K50</f>
        <v>20135</v>
      </c>
      <c r="J60" s="373">
        <f>ROUND(J$9*VLOOKUP(E60,$A$848:$E$856,5,FALSE),0)</f>
        <v>555</v>
      </c>
      <c r="K60" s="390">
        <f>I60+J60</f>
        <v>20690</v>
      </c>
      <c r="L60" s="392"/>
      <c r="M60" s="373"/>
      <c r="N60" s="373"/>
      <c r="O60" s="381"/>
    </row>
    <row r="61" spans="1:15">
      <c r="A61" s="364">
        <f>A59+1</f>
        <v>46</v>
      </c>
      <c r="B61" s="372">
        <f>K61</f>
        <v>20182</v>
      </c>
      <c r="C61" s="357">
        <f t="shared" si="11"/>
        <v>8</v>
      </c>
      <c r="D61" s="358" t="str">
        <f t="shared" si="12"/>
        <v>saturn</v>
      </c>
      <c r="E61" s="368">
        <f t="shared" ref="E61:E69" si="45">E60</f>
        <v>4</v>
      </c>
      <c r="F61" s="367" t="str">
        <f t="shared" si="3"/>
        <v>moon</v>
      </c>
      <c r="G61" s="367">
        <f>E61</f>
        <v>4</v>
      </c>
      <c r="H61" s="367" t="str">
        <f t="shared" si="3"/>
        <v>moon</v>
      </c>
      <c r="I61" s="369">
        <f>K59</f>
        <v>20138</v>
      </c>
      <c r="J61" s="377">
        <f t="shared" ref="J61:J69" si="46">ROUND(J$60*VLOOKUP(G61,$A$848:$E$856,5,FALSE),0)</f>
        <v>44</v>
      </c>
      <c r="K61" s="369">
        <f>I61+J61</f>
        <v>20182</v>
      </c>
      <c r="L61" s="374">
        <f>L59+1</f>
        <v>46</v>
      </c>
      <c r="O61" s="381"/>
    </row>
    <row r="62" spans="1:15">
      <c r="A62" s="364">
        <f t="shared" ref="A62:A69" si="47">A61+1</f>
        <v>47</v>
      </c>
      <c r="B62" s="372">
        <f>K62</f>
        <v>20215</v>
      </c>
      <c r="C62" s="357">
        <f t="shared" si="11"/>
        <v>8</v>
      </c>
      <c r="D62" s="358" t="str">
        <f t="shared" si="12"/>
        <v>saturn</v>
      </c>
      <c r="E62" s="368">
        <f t="shared" si="45"/>
        <v>4</v>
      </c>
      <c r="F62" s="367" t="str">
        <f t="shared" si="3"/>
        <v>moon</v>
      </c>
      <c r="G62" s="367">
        <f t="shared" ref="G62:G69" si="48">IF(G61+1&gt;9,G61+1-9,G61+1)</f>
        <v>5</v>
      </c>
      <c r="H62" s="367" t="str">
        <f t="shared" si="3"/>
        <v>mars</v>
      </c>
      <c r="I62" s="369">
        <f t="shared" ref="I62:I69" si="49">K61</f>
        <v>20182</v>
      </c>
      <c r="J62" s="377">
        <f t="shared" si="46"/>
        <v>33</v>
      </c>
      <c r="K62" s="369">
        <f>I62+J62</f>
        <v>20215</v>
      </c>
      <c r="L62" s="374">
        <f t="shared" ref="L62:L69" si="50">L61+1</f>
        <v>47</v>
      </c>
      <c r="O62" s="381"/>
    </row>
    <row r="63" spans="1:15">
      <c r="A63" s="364">
        <f t="shared" si="47"/>
        <v>48</v>
      </c>
      <c r="B63" s="372">
        <f t="shared" ref="B63:B69" si="51">K63</f>
        <v>20298</v>
      </c>
      <c r="C63" s="357">
        <f t="shared" si="11"/>
        <v>8</v>
      </c>
      <c r="D63" s="358" t="str">
        <f t="shared" si="12"/>
        <v>saturn</v>
      </c>
      <c r="E63" s="368">
        <f t="shared" si="45"/>
        <v>4</v>
      </c>
      <c r="F63" s="367" t="str">
        <f t="shared" si="3"/>
        <v>moon</v>
      </c>
      <c r="G63" s="367">
        <f t="shared" si="48"/>
        <v>6</v>
      </c>
      <c r="H63" s="367" t="str">
        <f t="shared" si="3"/>
        <v>rahu</v>
      </c>
      <c r="I63" s="369">
        <f t="shared" si="49"/>
        <v>20215</v>
      </c>
      <c r="J63" s="377">
        <f t="shared" si="46"/>
        <v>83</v>
      </c>
      <c r="K63" s="369">
        <f t="shared" ref="K63:K69" si="52">I63+J63</f>
        <v>20298</v>
      </c>
      <c r="L63" s="374">
        <f t="shared" si="50"/>
        <v>48</v>
      </c>
      <c r="O63" s="381"/>
    </row>
    <row r="64" spans="1:15">
      <c r="A64" s="364">
        <f t="shared" si="47"/>
        <v>49</v>
      </c>
      <c r="B64" s="372">
        <f t="shared" si="51"/>
        <v>20370</v>
      </c>
      <c r="C64" s="357">
        <f t="shared" si="11"/>
        <v>8</v>
      </c>
      <c r="D64" s="358" t="str">
        <f t="shared" si="12"/>
        <v>saturn</v>
      </c>
      <c r="E64" s="368">
        <f t="shared" si="45"/>
        <v>4</v>
      </c>
      <c r="F64" s="367" t="str">
        <f t="shared" si="3"/>
        <v>moon</v>
      </c>
      <c r="G64" s="367">
        <f t="shared" si="48"/>
        <v>7</v>
      </c>
      <c r="H64" s="367" t="str">
        <f t="shared" si="3"/>
        <v>jupiter</v>
      </c>
      <c r="I64" s="369">
        <f t="shared" si="49"/>
        <v>20298</v>
      </c>
      <c r="J64" s="377">
        <f t="shared" si="46"/>
        <v>72</v>
      </c>
      <c r="K64" s="369">
        <f t="shared" si="52"/>
        <v>20370</v>
      </c>
      <c r="L64" s="374">
        <f t="shared" si="50"/>
        <v>49</v>
      </c>
      <c r="O64" s="381"/>
    </row>
    <row r="65" spans="1:15">
      <c r="A65" s="364">
        <f t="shared" si="47"/>
        <v>50</v>
      </c>
      <c r="B65" s="372">
        <f t="shared" si="51"/>
        <v>20459</v>
      </c>
      <c r="C65" s="357">
        <f t="shared" si="11"/>
        <v>8</v>
      </c>
      <c r="D65" s="358" t="str">
        <f t="shared" si="12"/>
        <v>saturn</v>
      </c>
      <c r="E65" s="368">
        <f t="shared" si="45"/>
        <v>4</v>
      </c>
      <c r="F65" s="367" t="str">
        <f t="shared" si="3"/>
        <v>moon</v>
      </c>
      <c r="G65" s="367">
        <f t="shared" si="48"/>
        <v>8</v>
      </c>
      <c r="H65" s="367" t="str">
        <f t="shared" si="3"/>
        <v>saturn</v>
      </c>
      <c r="I65" s="369">
        <f t="shared" si="49"/>
        <v>20370</v>
      </c>
      <c r="J65" s="377">
        <f t="shared" si="46"/>
        <v>89</v>
      </c>
      <c r="K65" s="369">
        <f t="shared" si="52"/>
        <v>20459</v>
      </c>
      <c r="L65" s="374">
        <f t="shared" si="50"/>
        <v>50</v>
      </c>
      <c r="O65" s="381"/>
    </row>
    <row r="66" spans="1:15">
      <c r="A66" s="364">
        <f t="shared" si="47"/>
        <v>51</v>
      </c>
      <c r="B66" s="372">
        <f t="shared" si="51"/>
        <v>20537</v>
      </c>
      <c r="C66" s="357">
        <f t="shared" si="11"/>
        <v>8</v>
      </c>
      <c r="D66" s="358" t="str">
        <f t="shared" si="12"/>
        <v>saturn</v>
      </c>
      <c r="E66" s="368">
        <f t="shared" si="45"/>
        <v>4</v>
      </c>
      <c r="F66" s="367" t="str">
        <f t="shared" si="3"/>
        <v>moon</v>
      </c>
      <c r="G66" s="367">
        <f t="shared" si="48"/>
        <v>9</v>
      </c>
      <c r="H66" s="367" t="str">
        <f t="shared" si="3"/>
        <v>mercury</v>
      </c>
      <c r="I66" s="369">
        <f t="shared" si="49"/>
        <v>20459</v>
      </c>
      <c r="J66" s="377">
        <f t="shared" si="46"/>
        <v>78</v>
      </c>
      <c r="K66" s="369">
        <f t="shared" si="52"/>
        <v>20537</v>
      </c>
      <c r="L66" s="374">
        <f t="shared" si="50"/>
        <v>51</v>
      </c>
      <c r="O66" s="381"/>
    </row>
    <row r="67" spans="1:15">
      <c r="A67" s="364">
        <f t="shared" si="47"/>
        <v>52</v>
      </c>
      <c r="B67" s="372">
        <f t="shared" si="51"/>
        <v>20570</v>
      </c>
      <c r="C67" s="357">
        <f t="shared" si="11"/>
        <v>8</v>
      </c>
      <c r="D67" s="358" t="str">
        <f t="shared" si="12"/>
        <v>saturn</v>
      </c>
      <c r="E67" s="368">
        <f t="shared" si="45"/>
        <v>4</v>
      </c>
      <c r="F67" s="367" t="str">
        <f t="shared" si="3"/>
        <v>moon</v>
      </c>
      <c r="G67" s="367">
        <f t="shared" si="48"/>
        <v>1</v>
      </c>
      <c r="H67" s="367" t="str">
        <f t="shared" si="3"/>
        <v>ketu</v>
      </c>
      <c r="I67" s="369">
        <f t="shared" si="49"/>
        <v>20537</v>
      </c>
      <c r="J67" s="377">
        <f t="shared" si="46"/>
        <v>33</v>
      </c>
      <c r="K67" s="369">
        <f t="shared" si="52"/>
        <v>20570</v>
      </c>
      <c r="L67" s="374">
        <f t="shared" si="50"/>
        <v>52</v>
      </c>
      <c r="O67" s="381"/>
    </row>
    <row r="68" spans="1:15">
      <c r="A68" s="364">
        <f t="shared" si="47"/>
        <v>53</v>
      </c>
      <c r="B68" s="372">
        <f t="shared" si="51"/>
        <v>20664</v>
      </c>
      <c r="C68" s="357">
        <f t="shared" si="11"/>
        <v>8</v>
      </c>
      <c r="D68" s="358" t="str">
        <f t="shared" si="12"/>
        <v>saturn</v>
      </c>
      <c r="E68" s="368">
        <f t="shared" si="45"/>
        <v>4</v>
      </c>
      <c r="F68" s="367" t="str">
        <f t="shared" si="3"/>
        <v>moon</v>
      </c>
      <c r="G68" s="367">
        <f t="shared" si="48"/>
        <v>2</v>
      </c>
      <c r="H68" s="367" t="str">
        <f t="shared" si="3"/>
        <v>venus</v>
      </c>
      <c r="I68" s="369">
        <f t="shared" si="49"/>
        <v>20570</v>
      </c>
      <c r="J68" s="377">
        <f t="shared" si="46"/>
        <v>94</v>
      </c>
      <c r="K68" s="369">
        <f t="shared" si="52"/>
        <v>20664</v>
      </c>
      <c r="L68" s="374">
        <f t="shared" si="50"/>
        <v>53</v>
      </c>
      <c r="O68" s="381"/>
    </row>
    <row r="69" spans="1:15">
      <c r="A69" s="364">
        <f t="shared" si="47"/>
        <v>54</v>
      </c>
      <c r="B69" s="372">
        <f t="shared" si="51"/>
        <v>20692</v>
      </c>
      <c r="C69" s="357">
        <f t="shared" si="11"/>
        <v>8</v>
      </c>
      <c r="D69" s="358" t="str">
        <f t="shared" si="12"/>
        <v>saturn</v>
      </c>
      <c r="E69" s="368">
        <f t="shared" si="45"/>
        <v>4</v>
      </c>
      <c r="F69" s="367" t="str">
        <f t="shared" si="3"/>
        <v>moon</v>
      </c>
      <c r="G69" s="367">
        <f t="shared" si="48"/>
        <v>3</v>
      </c>
      <c r="H69" s="367" t="str">
        <f t="shared" si="3"/>
        <v>sun</v>
      </c>
      <c r="I69" s="369">
        <f t="shared" si="49"/>
        <v>20664</v>
      </c>
      <c r="J69" s="377">
        <f t="shared" si="46"/>
        <v>28</v>
      </c>
      <c r="K69" s="369">
        <f t="shared" si="52"/>
        <v>20692</v>
      </c>
      <c r="L69" s="374">
        <f t="shared" si="50"/>
        <v>54</v>
      </c>
      <c r="N69" s="358">
        <f>SUM(J61:J69)</f>
        <v>554</v>
      </c>
      <c r="O69" s="381"/>
    </row>
    <row r="70" spans="1:15">
      <c r="A70" s="391"/>
      <c r="B70" s="386"/>
      <c r="C70" s="387">
        <f>C60</f>
        <v>8</v>
      </c>
      <c r="D70" s="373" t="str">
        <f>D60</f>
        <v>saturn</v>
      </c>
      <c r="E70" s="393">
        <f>IF(E60+1&gt;9,E60+1-9,E60+1)</f>
        <v>5</v>
      </c>
      <c r="F70" s="389" t="str">
        <f t="shared" si="3"/>
        <v>mars</v>
      </c>
      <c r="G70" s="389"/>
      <c r="H70" s="389"/>
      <c r="I70" s="390">
        <f>K60</f>
        <v>20690</v>
      </c>
      <c r="J70" s="373">
        <f>ROUND(J$9*VLOOKUP(E70,$A$848:$E$856,5,FALSE),0)</f>
        <v>416</v>
      </c>
      <c r="K70" s="390">
        <f>I70+J70</f>
        <v>21106</v>
      </c>
      <c r="L70" s="392"/>
      <c r="M70" s="373"/>
      <c r="N70" s="373"/>
      <c r="O70" s="381"/>
    </row>
    <row r="71" spans="1:15">
      <c r="A71" s="364">
        <f>A69+1</f>
        <v>55</v>
      </c>
      <c r="B71" s="372">
        <f>K71</f>
        <v>20717</v>
      </c>
      <c r="C71" s="357">
        <f t="shared" si="11"/>
        <v>8</v>
      </c>
      <c r="D71" s="358" t="str">
        <f t="shared" si="12"/>
        <v>saturn</v>
      </c>
      <c r="E71" s="368">
        <f t="shared" ref="E71:E79" si="53">E70</f>
        <v>5</v>
      </c>
      <c r="F71" s="367" t="str">
        <f t="shared" si="3"/>
        <v>mars</v>
      </c>
      <c r="G71" s="367">
        <f>E71</f>
        <v>5</v>
      </c>
      <c r="H71" s="367" t="str">
        <f t="shared" si="3"/>
        <v>mars</v>
      </c>
      <c r="I71" s="369">
        <f>K69</f>
        <v>20692</v>
      </c>
      <c r="J71" s="377">
        <f t="shared" ref="J71:J79" si="54">ROUND(J$70*VLOOKUP(G71,$A$848:$E$856,5,FALSE),0)</f>
        <v>25</v>
      </c>
      <c r="K71" s="369">
        <f>I71+J71</f>
        <v>20717</v>
      </c>
      <c r="L71" s="374">
        <f>L69+1</f>
        <v>55</v>
      </c>
      <c r="O71" s="381"/>
    </row>
    <row r="72" spans="1:15">
      <c r="A72" s="364">
        <f t="shared" ref="A72:A79" si="55">A71+1</f>
        <v>56</v>
      </c>
      <c r="B72" s="372">
        <f>K72</f>
        <v>20779</v>
      </c>
      <c r="C72" s="357">
        <f t="shared" si="11"/>
        <v>8</v>
      </c>
      <c r="D72" s="358" t="str">
        <f t="shared" si="12"/>
        <v>saturn</v>
      </c>
      <c r="E72" s="368">
        <f t="shared" si="53"/>
        <v>5</v>
      </c>
      <c r="F72" s="367" t="str">
        <f t="shared" si="3"/>
        <v>mars</v>
      </c>
      <c r="G72" s="367">
        <f t="shared" ref="G72:G79" si="56">IF(G71+1&gt;9,G71+1-9,G71+1)</f>
        <v>6</v>
      </c>
      <c r="H72" s="367" t="str">
        <f t="shared" si="3"/>
        <v>rahu</v>
      </c>
      <c r="I72" s="369">
        <f t="shared" ref="I72:I79" si="57">K71</f>
        <v>20717</v>
      </c>
      <c r="J72" s="377">
        <f t="shared" si="54"/>
        <v>62</v>
      </c>
      <c r="K72" s="369">
        <f>I72+J72</f>
        <v>20779</v>
      </c>
      <c r="L72" s="374">
        <f t="shared" ref="L72:L79" si="58">L71+1</f>
        <v>56</v>
      </c>
      <c r="O72" s="381"/>
    </row>
    <row r="73" spans="1:15">
      <c r="A73" s="364">
        <f t="shared" si="55"/>
        <v>57</v>
      </c>
      <c r="B73" s="372">
        <f t="shared" ref="B73:B79" si="59">K73</f>
        <v>20833</v>
      </c>
      <c r="C73" s="357">
        <f t="shared" si="11"/>
        <v>8</v>
      </c>
      <c r="D73" s="358" t="str">
        <f t="shared" si="12"/>
        <v>saturn</v>
      </c>
      <c r="E73" s="368">
        <f t="shared" si="53"/>
        <v>5</v>
      </c>
      <c r="F73" s="367" t="str">
        <f t="shared" si="3"/>
        <v>mars</v>
      </c>
      <c r="G73" s="367">
        <f t="shared" si="56"/>
        <v>7</v>
      </c>
      <c r="H73" s="367" t="str">
        <f t="shared" si="3"/>
        <v>jupiter</v>
      </c>
      <c r="I73" s="369">
        <f t="shared" si="57"/>
        <v>20779</v>
      </c>
      <c r="J73" s="377">
        <f t="shared" si="54"/>
        <v>54</v>
      </c>
      <c r="K73" s="369">
        <f t="shared" ref="K73:K79" si="60">I73+J73</f>
        <v>20833</v>
      </c>
      <c r="L73" s="374">
        <f t="shared" si="58"/>
        <v>57</v>
      </c>
      <c r="O73" s="381"/>
    </row>
    <row r="74" spans="1:15">
      <c r="A74" s="364">
        <f t="shared" si="55"/>
        <v>58</v>
      </c>
      <c r="B74" s="372">
        <f t="shared" si="59"/>
        <v>20900</v>
      </c>
      <c r="C74" s="357">
        <f t="shared" si="11"/>
        <v>8</v>
      </c>
      <c r="D74" s="358" t="str">
        <f t="shared" si="12"/>
        <v>saturn</v>
      </c>
      <c r="E74" s="368">
        <f t="shared" si="53"/>
        <v>5</v>
      </c>
      <c r="F74" s="367" t="str">
        <f t="shared" si="3"/>
        <v>mars</v>
      </c>
      <c r="G74" s="367">
        <f t="shared" si="56"/>
        <v>8</v>
      </c>
      <c r="H74" s="367" t="str">
        <f t="shared" si="3"/>
        <v>saturn</v>
      </c>
      <c r="I74" s="369">
        <f t="shared" si="57"/>
        <v>20833</v>
      </c>
      <c r="J74" s="377">
        <f t="shared" si="54"/>
        <v>67</v>
      </c>
      <c r="K74" s="369">
        <f t="shared" si="60"/>
        <v>20900</v>
      </c>
      <c r="L74" s="374">
        <f t="shared" si="58"/>
        <v>58</v>
      </c>
      <c r="O74" s="381"/>
    </row>
    <row r="75" spans="1:15">
      <c r="A75" s="364">
        <f t="shared" si="55"/>
        <v>59</v>
      </c>
      <c r="B75" s="372">
        <f t="shared" si="59"/>
        <v>20958</v>
      </c>
      <c r="C75" s="357">
        <f t="shared" si="11"/>
        <v>8</v>
      </c>
      <c r="D75" s="358" t="str">
        <f t="shared" si="12"/>
        <v>saturn</v>
      </c>
      <c r="E75" s="368">
        <f t="shared" si="53"/>
        <v>5</v>
      </c>
      <c r="F75" s="367" t="str">
        <f t="shared" si="3"/>
        <v>mars</v>
      </c>
      <c r="G75" s="367">
        <f t="shared" si="56"/>
        <v>9</v>
      </c>
      <c r="H75" s="367" t="str">
        <f t="shared" si="3"/>
        <v>mercury</v>
      </c>
      <c r="I75" s="369">
        <f t="shared" si="57"/>
        <v>20900</v>
      </c>
      <c r="J75" s="377">
        <f t="shared" si="54"/>
        <v>58</v>
      </c>
      <c r="K75" s="369">
        <f t="shared" si="60"/>
        <v>20958</v>
      </c>
      <c r="L75" s="374">
        <f t="shared" si="58"/>
        <v>59</v>
      </c>
      <c r="O75" s="381"/>
    </row>
    <row r="76" spans="1:15">
      <c r="A76" s="364">
        <f t="shared" si="55"/>
        <v>60</v>
      </c>
      <c r="B76" s="372">
        <f t="shared" si="59"/>
        <v>20983</v>
      </c>
      <c r="C76" s="357">
        <f t="shared" si="11"/>
        <v>8</v>
      </c>
      <c r="D76" s="358" t="str">
        <f t="shared" si="12"/>
        <v>saturn</v>
      </c>
      <c r="E76" s="368">
        <f t="shared" si="53"/>
        <v>5</v>
      </c>
      <c r="F76" s="367" t="str">
        <f t="shared" si="3"/>
        <v>mars</v>
      </c>
      <c r="G76" s="367">
        <f t="shared" si="56"/>
        <v>1</v>
      </c>
      <c r="H76" s="367" t="str">
        <f t="shared" si="3"/>
        <v>ketu</v>
      </c>
      <c r="I76" s="369">
        <f t="shared" si="57"/>
        <v>20958</v>
      </c>
      <c r="J76" s="377">
        <f t="shared" si="54"/>
        <v>25</v>
      </c>
      <c r="K76" s="369">
        <f t="shared" si="60"/>
        <v>20983</v>
      </c>
      <c r="L76" s="374">
        <f t="shared" si="58"/>
        <v>60</v>
      </c>
      <c r="O76" s="381"/>
    </row>
    <row r="77" spans="1:15">
      <c r="A77" s="364">
        <f t="shared" si="55"/>
        <v>61</v>
      </c>
      <c r="B77" s="372">
        <f t="shared" si="59"/>
        <v>21054</v>
      </c>
      <c r="C77" s="357">
        <f t="shared" si="11"/>
        <v>8</v>
      </c>
      <c r="D77" s="358" t="str">
        <f t="shared" si="12"/>
        <v>saturn</v>
      </c>
      <c r="E77" s="368">
        <f t="shared" si="53"/>
        <v>5</v>
      </c>
      <c r="F77" s="367" t="str">
        <f t="shared" si="3"/>
        <v>mars</v>
      </c>
      <c r="G77" s="367">
        <f t="shared" si="56"/>
        <v>2</v>
      </c>
      <c r="H77" s="367" t="str">
        <f t="shared" si="3"/>
        <v>venus</v>
      </c>
      <c r="I77" s="369">
        <f t="shared" si="57"/>
        <v>20983</v>
      </c>
      <c r="J77" s="377">
        <f t="shared" si="54"/>
        <v>71</v>
      </c>
      <c r="K77" s="369">
        <f t="shared" si="60"/>
        <v>21054</v>
      </c>
      <c r="L77" s="374">
        <f t="shared" si="58"/>
        <v>61</v>
      </c>
      <c r="O77" s="381"/>
    </row>
    <row r="78" spans="1:15">
      <c r="A78" s="364">
        <f t="shared" si="55"/>
        <v>62</v>
      </c>
      <c r="B78" s="372">
        <f t="shared" si="59"/>
        <v>21075</v>
      </c>
      <c r="C78" s="357">
        <f t="shared" si="11"/>
        <v>8</v>
      </c>
      <c r="D78" s="358" t="str">
        <f t="shared" si="12"/>
        <v>saturn</v>
      </c>
      <c r="E78" s="368">
        <f t="shared" si="53"/>
        <v>5</v>
      </c>
      <c r="F78" s="367" t="str">
        <f t="shared" si="3"/>
        <v>mars</v>
      </c>
      <c r="G78" s="367">
        <f t="shared" si="56"/>
        <v>3</v>
      </c>
      <c r="H78" s="367" t="str">
        <f t="shared" si="3"/>
        <v>sun</v>
      </c>
      <c r="I78" s="369">
        <f t="shared" si="57"/>
        <v>21054</v>
      </c>
      <c r="J78" s="377">
        <f t="shared" si="54"/>
        <v>21</v>
      </c>
      <c r="K78" s="369">
        <f t="shared" si="60"/>
        <v>21075</v>
      </c>
      <c r="L78" s="374">
        <f t="shared" si="58"/>
        <v>62</v>
      </c>
      <c r="O78" s="381"/>
    </row>
    <row r="79" spans="1:15">
      <c r="A79" s="364">
        <f t="shared" si="55"/>
        <v>63</v>
      </c>
      <c r="B79" s="372">
        <f t="shared" si="59"/>
        <v>21108</v>
      </c>
      <c r="C79" s="357">
        <f t="shared" si="11"/>
        <v>8</v>
      </c>
      <c r="D79" s="358" t="str">
        <f t="shared" si="12"/>
        <v>saturn</v>
      </c>
      <c r="E79" s="368">
        <f t="shared" si="53"/>
        <v>5</v>
      </c>
      <c r="F79" s="367" t="str">
        <f t="shared" si="3"/>
        <v>mars</v>
      </c>
      <c r="G79" s="367">
        <f t="shared" si="56"/>
        <v>4</v>
      </c>
      <c r="H79" s="367" t="str">
        <f t="shared" si="3"/>
        <v>moon</v>
      </c>
      <c r="I79" s="369">
        <f t="shared" si="57"/>
        <v>21075</v>
      </c>
      <c r="J79" s="377">
        <f t="shared" si="54"/>
        <v>33</v>
      </c>
      <c r="K79" s="369">
        <f t="shared" si="60"/>
        <v>21108</v>
      </c>
      <c r="L79" s="374">
        <f t="shared" si="58"/>
        <v>63</v>
      </c>
      <c r="N79" s="358">
        <f>SUM(J71:J79)</f>
        <v>416</v>
      </c>
      <c r="O79" s="381"/>
    </row>
    <row r="80" spans="1:15">
      <c r="A80" s="391"/>
      <c r="B80" s="386"/>
      <c r="C80" s="387">
        <f>C70</f>
        <v>8</v>
      </c>
      <c r="D80" s="373" t="str">
        <f>D70</f>
        <v>saturn</v>
      </c>
      <c r="E80" s="393">
        <f>IF(E70+1&gt;9,E70+1-9,E70+1)</f>
        <v>6</v>
      </c>
      <c r="F80" s="389" t="str">
        <f t="shared" si="3"/>
        <v>rahu</v>
      </c>
      <c r="G80" s="389"/>
      <c r="H80" s="389"/>
      <c r="I80" s="390">
        <f>K70</f>
        <v>21106</v>
      </c>
      <c r="J80" s="373">
        <f>ROUND(J$9*VLOOKUP(E80,$A$848:$E$856,5,FALSE),0)</f>
        <v>1041</v>
      </c>
      <c r="K80" s="390">
        <f>I80+J80</f>
        <v>22147</v>
      </c>
      <c r="L80" s="392"/>
      <c r="M80" s="373"/>
      <c r="N80" s="373"/>
      <c r="O80" s="381"/>
    </row>
    <row r="81" spans="1:15">
      <c r="A81" s="364">
        <f>A79+1</f>
        <v>64</v>
      </c>
      <c r="B81" s="372">
        <f>K81</f>
        <v>21264</v>
      </c>
      <c r="C81" s="357">
        <f t="shared" si="11"/>
        <v>8</v>
      </c>
      <c r="D81" s="358" t="str">
        <f t="shared" si="12"/>
        <v>saturn</v>
      </c>
      <c r="E81" s="368">
        <f t="shared" ref="E81:E89" si="61">E80</f>
        <v>6</v>
      </c>
      <c r="F81" s="367" t="str">
        <f t="shared" si="3"/>
        <v>rahu</v>
      </c>
      <c r="G81" s="367">
        <f>E81</f>
        <v>6</v>
      </c>
      <c r="H81" s="367" t="str">
        <f t="shared" si="3"/>
        <v>rahu</v>
      </c>
      <c r="I81" s="369">
        <f>K79</f>
        <v>21108</v>
      </c>
      <c r="J81" s="377">
        <f t="shared" ref="J81:J89" si="62">ROUND(J$80*VLOOKUP(G81,$A$848:$E$856,5,FALSE),0)</f>
        <v>156</v>
      </c>
      <c r="K81" s="369">
        <f>I81+J81</f>
        <v>21264</v>
      </c>
      <c r="L81" s="374">
        <f>L79+1</f>
        <v>64</v>
      </c>
      <c r="O81" s="381"/>
    </row>
    <row r="82" spans="1:15">
      <c r="A82" s="364">
        <f t="shared" ref="A82:A89" si="63">A81+1</f>
        <v>65</v>
      </c>
      <c r="B82" s="372">
        <f>K82</f>
        <v>21399</v>
      </c>
      <c r="C82" s="357">
        <f t="shared" si="11"/>
        <v>8</v>
      </c>
      <c r="D82" s="358" t="str">
        <f t="shared" si="12"/>
        <v>saturn</v>
      </c>
      <c r="E82" s="368">
        <f t="shared" si="61"/>
        <v>6</v>
      </c>
      <c r="F82" s="367" t="str">
        <f t="shared" si="3"/>
        <v>rahu</v>
      </c>
      <c r="G82" s="367">
        <f t="shared" ref="G82:G89" si="64">IF(G81+1&gt;9,G81+1-9,G81+1)</f>
        <v>7</v>
      </c>
      <c r="H82" s="367" t="str">
        <f t="shared" si="3"/>
        <v>jupiter</v>
      </c>
      <c r="I82" s="369">
        <f t="shared" ref="I82:I89" si="65">K81</f>
        <v>21264</v>
      </c>
      <c r="J82" s="377">
        <f t="shared" si="62"/>
        <v>135</v>
      </c>
      <c r="K82" s="369">
        <f>I82+J82</f>
        <v>21399</v>
      </c>
      <c r="L82" s="374">
        <f t="shared" ref="L82:L89" si="66">L81+1</f>
        <v>65</v>
      </c>
      <c r="O82" s="381"/>
    </row>
    <row r="83" spans="1:15">
      <c r="A83" s="364">
        <f t="shared" si="63"/>
        <v>66</v>
      </c>
      <c r="B83" s="372">
        <f t="shared" ref="B83:B89" si="67">K83</f>
        <v>21566</v>
      </c>
      <c r="C83" s="357">
        <f t="shared" si="11"/>
        <v>8</v>
      </c>
      <c r="D83" s="358" t="str">
        <f t="shared" si="12"/>
        <v>saturn</v>
      </c>
      <c r="E83" s="368">
        <f t="shared" si="61"/>
        <v>6</v>
      </c>
      <c r="F83" s="367" t="str">
        <f t="shared" si="3"/>
        <v>rahu</v>
      </c>
      <c r="G83" s="367">
        <f t="shared" si="64"/>
        <v>8</v>
      </c>
      <c r="H83" s="367" t="str">
        <f t="shared" si="3"/>
        <v>saturn</v>
      </c>
      <c r="I83" s="369">
        <f t="shared" si="65"/>
        <v>21399</v>
      </c>
      <c r="J83" s="377">
        <f t="shared" si="62"/>
        <v>167</v>
      </c>
      <c r="K83" s="369">
        <f t="shared" ref="K83:K89" si="68">I83+J83</f>
        <v>21566</v>
      </c>
      <c r="L83" s="374">
        <f t="shared" si="66"/>
        <v>66</v>
      </c>
      <c r="O83" s="381"/>
    </row>
    <row r="84" spans="1:15">
      <c r="A84" s="364">
        <f t="shared" si="63"/>
        <v>67</v>
      </c>
      <c r="B84" s="372">
        <f t="shared" si="67"/>
        <v>21712</v>
      </c>
      <c r="C84" s="357">
        <f t="shared" si="11"/>
        <v>8</v>
      </c>
      <c r="D84" s="358" t="str">
        <f t="shared" si="12"/>
        <v>saturn</v>
      </c>
      <c r="E84" s="368">
        <f t="shared" si="61"/>
        <v>6</v>
      </c>
      <c r="F84" s="367" t="str">
        <f t="shared" si="3"/>
        <v>rahu</v>
      </c>
      <c r="G84" s="367">
        <f t="shared" si="64"/>
        <v>9</v>
      </c>
      <c r="H84" s="367" t="str">
        <f t="shared" si="3"/>
        <v>mercury</v>
      </c>
      <c r="I84" s="369">
        <f t="shared" si="65"/>
        <v>21566</v>
      </c>
      <c r="J84" s="377">
        <f t="shared" si="62"/>
        <v>146</v>
      </c>
      <c r="K84" s="369">
        <f t="shared" si="68"/>
        <v>21712</v>
      </c>
      <c r="L84" s="374">
        <f t="shared" si="66"/>
        <v>67</v>
      </c>
      <c r="O84" s="381"/>
    </row>
    <row r="85" spans="1:15">
      <c r="A85" s="364">
        <f t="shared" si="63"/>
        <v>68</v>
      </c>
      <c r="B85" s="372">
        <f t="shared" si="67"/>
        <v>21774</v>
      </c>
      <c r="C85" s="357">
        <f t="shared" si="11"/>
        <v>8</v>
      </c>
      <c r="D85" s="358" t="str">
        <f t="shared" si="12"/>
        <v>saturn</v>
      </c>
      <c r="E85" s="368">
        <f t="shared" si="61"/>
        <v>6</v>
      </c>
      <c r="F85" s="367" t="str">
        <f t="shared" si="3"/>
        <v>rahu</v>
      </c>
      <c r="G85" s="367">
        <f t="shared" si="64"/>
        <v>1</v>
      </c>
      <c r="H85" s="367" t="str">
        <f t="shared" si="3"/>
        <v>ketu</v>
      </c>
      <c r="I85" s="369">
        <f t="shared" si="65"/>
        <v>21712</v>
      </c>
      <c r="J85" s="377">
        <f t="shared" si="62"/>
        <v>62</v>
      </c>
      <c r="K85" s="369">
        <f t="shared" si="68"/>
        <v>21774</v>
      </c>
      <c r="L85" s="374">
        <f t="shared" si="66"/>
        <v>68</v>
      </c>
      <c r="O85" s="381"/>
    </row>
    <row r="86" spans="1:15">
      <c r="A86" s="364">
        <f t="shared" si="63"/>
        <v>69</v>
      </c>
      <c r="B86" s="372">
        <f t="shared" si="67"/>
        <v>21951</v>
      </c>
      <c r="C86" s="357">
        <f t="shared" si="11"/>
        <v>8</v>
      </c>
      <c r="D86" s="358" t="str">
        <f t="shared" si="12"/>
        <v>saturn</v>
      </c>
      <c r="E86" s="368">
        <f t="shared" si="61"/>
        <v>6</v>
      </c>
      <c r="F86" s="367" t="str">
        <f t="shared" si="3"/>
        <v>rahu</v>
      </c>
      <c r="G86" s="367">
        <f t="shared" si="64"/>
        <v>2</v>
      </c>
      <c r="H86" s="367" t="str">
        <f t="shared" si="3"/>
        <v>venus</v>
      </c>
      <c r="I86" s="369">
        <f t="shared" si="65"/>
        <v>21774</v>
      </c>
      <c r="J86" s="377">
        <f t="shared" si="62"/>
        <v>177</v>
      </c>
      <c r="K86" s="369">
        <f t="shared" si="68"/>
        <v>21951</v>
      </c>
      <c r="L86" s="374">
        <f t="shared" si="66"/>
        <v>69</v>
      </c>
      <c r="O86" s="381"/>
    </row>
    <row r="87" spans="1:15">
      <c r="A87" s="364">
        <f t="shared" si="63"/>
        <v>70</v>
      </c>
      <c r="B87" s="372">
        <f t="shared" si="67"/>
        <v>22003</v>
      </c>
      <c r="C87" s="357">
        <f t="shared" si="11"/>
        <v>8</v>
      </c>
      <c r="D87" s="358" t="str">
        <f t="shared" si="12"/>
        <v>saturn</v>
      </c>
      <c r="E87" s="368">
        <f t="shared" si="61"/>
        <v>6</v>
      </c>
      <c r="F87" s="367" t="str">
        <f t="shared" si="3"/>
        <v>rahu</v>
      </c>
      <c r="G87" s="367">
        <f t="shared" si="64"/>
        <v>3</v>
      </c>
      <c r="H87" s="367" t="str">
        <f t="shared" si="3"/>
        <v>sun</v>
      </c>
      <c r="I87" s="369">
        <f t="shared" si="65"/>
        <v>21951</v>
      </c>
      <c r="J87" s="377">
        <f t="shared" si="62"/>
        <v>52</v>
      </c>
      <c r="K87" s="369">
        <f t="shared" si="68"/>
        <v>22003</v>
      </c>
      <c r="L87" s="374">
        <f t="shared" si="66"/>
        <v>70</v>
      </c>
      <c r="O87" s="381"/>
    </row>
    <row r="88" spans="1:15">
      <c r="A88" s="364">
        <f t="shared" si="63"/>
        <v>71</v>
      </c>
      <c r="B88" s="372">
        <f t="shared" si="67"/>
        <v>22086</v>
      </c>
      <c r="C88" s="357">
        <f t="shared" si="11"/>
        <v>8</v>
      </c>
      <c r="D88" s="358" t="str">
        <f t="shared" si="12"/>
        <v>saturn</v>
      </c>
      <c r="E88" s="368">
        <f t="shared" si="61"/>
        <v>6</v>
      </c>
      <c r="F88" s="367" t="str">
        <f t="shared" si="3"/>
        <v>rahu</v>
      </c>
      <c r="G88" s="367">
        <f t="shared" si="64"/>
        <v>4</v>
      </c>
      <c r="H88" s="367" t="str">
        <f t="shared" si="3"/>
        <v>moon</v>
      </c>
      <c r="I88" s="369">
        <f t="shared" si="65"/>
        <v>22003</v>
      </c>
      <c r="J88" s="377">
        <f t="shared" si="62"/>
        <v>83</v>
      </c>
      <c r="K88" s="369">
        <f t="shared" si="68"/>
        <v>22086</v>
      </c>
      <c r="L88" s="374">
        <f t="shared" si="66"/>
        <v>71</v>
      </c>
      <c r="O88" s="381"/>
    </row>
    <row r="89" spans="1:15">
      <c r="A89" s="364">
        <f t="shared" si="63"/>
        <v>72</v>
      </c>
      <c r="B89" s="372">
        <f t="shared" si="67"/>
        <v>22148</v>
      </c>
      <c r="C89" s="357">
        <f t="shared" si="11"/>
        <v>8</v>
      </c>
      <c r="D89" s="358" t="str">
        <f t="shared" si="12"/>
        <v>saturn</v>
      </c>
      <c r="E89" s="368">
        <f t="shared" si="61"/>
        <v>6</v>
      </c>
      <c r="F89" s="367" t="str">
        <f t="shared" si="3"/>
        <v>rahu</v>
      </c>
      <c r="G89" s="367">
        <f t="shared" si="64"/>
        <v>5</v>
      </c>
      <c r="H89" s="367" t="str">
        <f t="shared" si="3"/>
        <v>mars</v>
      </c>
      <c r="I89" s="369">
        <f t="shared" si="65"/>
        <v>22086</v>
      </c>
      <c r="J89" s="377">
        <f t="shared" si="62"/>
        <v>62</v>
      </c>
      <c r="K89" s="369">
        <f t="shared" si="68"/>
        <v>22148</v>
      </c>
      <c r="L89" s="374">
        <f t="shared" si="66"/>
        <v>72</v>
      </c>
      <c r="N89" s="358">
        <f>SUM(J81:J89)</f>
        <v>1040</v>
      </c>
      <c r="O89" s="381"/>
    </row>
    <row r="90" spans="1:15">
      <c r="A90" s="391"/>
      <c r="B90" s="386"/>
      <c r="C90" s="387">
        <f>C80</f>
        <v>8</v>
      </c>
      <c r="D90" s="373" t="str">
        <f>D80</f>
        <v>saturn</v>
      </c>
      <c r="E90" s="393">
        <f>IF(E80+1&gt;9,E80+1-9,E80+1)</f>
        <v>7</v>
      </c>
      <c r="F90" s="389" t="str">
        <f t="shared" si="3"/>
        <v>jupiter</v>
      </c>
      <c r="G90" s="389"/>
      <c r="H90" s="389"/>
      <c r="I90" s="390">
        <f>K80</f>
        <v>22147</v>
      </c>
      <c r="J90" s="373">
        <f>ROUND(J$9*VLOOKUP(E90,$A$848:$E$856,5,FALSE),0)</f>
        <v>902</v>
      </c>
      <c r="K90" s="390">
        <f>I90+J90</f>
        <v>23049</v>
      </c>
      <c r="L90" s="392"/>
      <c r="M90" s="373"/>
      <c r="N90" s="373"/>
      <c r="O90" s="381"/>
    </row>
    <row r="91" spans="1:15">
      <c r="A91" s="364">
        <f>A89+1</f>
        <v>73</v>
      </c>
      <c r="B91" s="372">
        <f>K91</f>
        <v>22265</v>
      </c>
      <c r="C91" s="357">
        <f t="shared" si="11"/>
        <v>8</v>
      </c>
      <c r="D91" s="358" t="str">
        <f t="shared" si="12"/>
        <v>saturn</v>
      </c>
      <c r="E91" s="368">
        <f t="shared" ref="E91:E99" si="69">E90</f>
        <v>7</v>
      </c>
      <c r="F91" s="367" t="str">
        <f t="shared" si="3"/>
        <v>jupiter</v>
      </c>
      <c r="G91" s="367">
        <f>E91</f>
        <v>7</v>
      </c>
      <c r="H91" s="367" t="str">
        <f t="shared" si="3"/>
        <v>jupiter</v>
      </c>
      <c r="I91" s="369">
        <f>K89</f>
        <v>22148</v>
      </c>
      <c r="J91" s="377">
        <f t="shared" ref="J91:J99" si="70">ROUND(J$90*VLOOKUP(G91,$A$848:$E$856,5,FALSE),0)</f>
        <v>117</v>
      </c>
      <c r="K91" s="369">
        <f>I91+J91</f>
        <v>22265</v>
      </c>
      <c r="L91" s="374">
        <f>L89+1</f>
        <v>73</v>
      </c>
      <c r="O91" s="381"/>
    </row>
    <row r="92" spans="1:15">
      <c r="A92" s="364">
        <f t="shared" ref="A92:A99" si="71">A91+1</f>
        <v>74</v>
      </c>
      <c r="B92" s="372">
        <f>K92</f>
        <v>22409</v>
      </c>
      <c r="C92" s="357">
        <f t="shared" si="11"/>
        <v>8</v>
      </c>
      <c r="D92" s="358" t="str">
        <f t="shared" si="12"/>
        <v>saturn</v>
      </c>
      <c r="E92" s="368">
        <f t="shared" si="69"/>
        <v>7</v>
      </c>
      <c r="F92" s="367" t="str">
        <f t="shared" si="3"/>
        <v>jupiter</v>
      </c>
      <c r="G92" s="367">
        <f t="shared" ref="G92:G99" si="72">IF(G91+1&gt;9,G91+1-9,G91+1)</f>
        <v>8</v>
      </c>
      <c r="H92" s="367" t="str">
        <f t="shared" si="3"/>
        <v>saturn</v>
      </c>
      <c r="I92" s="369">
        <f t="shared" ref="I92:I99" si="73">K91</f>
        <v>22265</v>
      </c>
      <c r="J92" s="377">
        <f t="shared" si="70"/>
        <v>144</v>
      </c>
      <c r="K92" s="369">
        <f>I92+J92</f>
        <v>22409</v>
      </c>
      <c r="L92" s="374">
        <f t="shared" ref="L92:L99" si="74">L91+1</f>
        <v>74</v>
      </c>
      <c r="O92" s="381"/>
    </row>
    <row r="93" spans="1:15">
      <c r="A93" s="364">
        <f t="shared" si="71"/>
        <v>75</v>
      </c>
      <c r="B93" s="372">
        <f t="shared" ref="B93:B99" si="75">K93</f>
        <v>22535</v>
      </c>
      <c r="C93" s="357">
        <f t="shared" si="11"/>
        <v>8</v>
      </c>
      <c r="D93" s="358" t="str">
        <f t="shared" si="12"/>
        <v>saturn</v>
      </c>
      <c r="E93" s="368">
        <f t="shared" si="69"/>
        <v>7</v>
      </c>
      <c r="F93" s="367" t="str">
        <f t="shared" si="3"/>
        <v>jupiter</v>
      </c>
      <c r="G93" s="367">
        <f t="shared" si="72"/>
        <v>9</v>
      </c>
      <c r="H93" s="367" t="str">
        <f t="shared" si="3"/>
        <v>mercury</v>
      </c>
      <c r="I93" s="369">
        <f t="shared" si="73"/>
        <v>22409</v>
      </c>
      <c r="J93" s="377">
        <f t="shared" si="70"/>
        <v>126</v>
      </c>
      <c r="K93" s="369">
        <f t="shared" ref="K93:K99" si="76">I93+J93</f>
        <v>22535</v>
      </c>
      <c r="L93" s="374">
        <f t="shared" si="74"/>
        <v>75</v>
      </c>
      <c r="O93" s="381"/>
    </row>
    <row r="94" spans="1:15">
      <c r="A94" s="364">
        <f t="shared" si="71"/>
        <v>76</v>
      </c>
      <c r="B94" s="372">
        <f t="shared" si="75"/>
        <v>22589</v>
      </c>
      <c r="C94" s="357">
        <f t="shared" si="11"/>
        <v>8</v>
      </c>
      <c r="D94" s="358" t="str">
        <f t="shared" si="12"/>
        <v>saturn</v>
      </c>
      <c r="E94" s="368">
        <f t="shared" si="69"/>
        <v>7</v>
      </c>
      <c r="F94" s="367" t="str">
        <f t="shared" si="3"/>
        <v>jupiter</v>
      </c>
      <c r="G94" s="367">
        <f t="shared" si="72"/>
        <v>1</v>
      </c>
      <c r="H94" s="367" t="str">
        <f t="shared" si="3"/>
        <v>ketu</v>
      </c>
      <c r="I94" s="369">
        <f t="shared" si="73"/>
        <v>22535</v>
      </c>
      <c r="J94" s="377">
        <f t="shared" si="70"/>
        <v>54</v>
      </c>
      <c r="K94" s="369">
        <f t="shared" si="76"/>
        <v>22589</v>
      </c>
      <c r="L94" s="374">
        <f t="shared" si="74"/>
        <v>76</v>
      </c>
      <c r="O94" s="381"/>
    </row>
    <row r="95" spans="1:15">
      <c r="A95" s="364">
        <f t="shared" si="71"/>
        <v>77</v>
      </c>
      <c r="B95" s="372">
        <f t="shared" si="75"/>
        <v>22742</v>
      </c>
      <c r="C95" s="357">
        <f t="shared" si="11"/>
        <v>8</v>
      </c>
      <c r="D95" s="358" t="str">
        <f t="shared" si="12"/>
        <v>saturn</v>
      </c>
      <c r="E95" s="368">
        <f t="shared" si="69"/>
        <v>7</v>
      </c>
      <c r="F95" s="367" t="str">
        <f t="shared" si="3"/>
        <v>jupiter</v>
      </c>
      <c r="G95" s="367">
        <f t="shared" si="72"/>
        <v>2</v>
      </c>
      <c r="H95" s="367" t="str">
        <f t="shared" si="3"/>
        <v>venus</v>
      </c>
      <c r="I95" s="369">
        <f t="shared" si="73"/>
        <v>22589</v>
      </c>
      <c r="J95" s="377">
        <f t="shared" si="70"/>
        <v>153</v>
      </c>
      <c r="K95" s="369">
        <f t="shared" si="76"/>
        <v>22742</v>
      </c>
      <c r="L95" s="374">
        <f t="shared" si="74"/>
        <v>77</v>
      </c>
      <c r="O95" s="381"/>
    </row>
    <row r="96" spans="1:15">
      <c r="A96" s="364">
        <f t="shared" si="71"/>
        <v>78</v>
      </c>
      <c r="B96" s="372">
        <f t="shared" si="75"/>
        <v>22787</v>
      </c>
      <c r="C96" s="357">
        <f t="shared" si="11"/>
        <v>8</v>
      </c>
      <c r="D96" s="358" t="str">
        <f t="shared" si="12"/>
        <v>saturn</v>
      </c>
      <c r="E96" s="368">
        <f t="shared" si="69"/>
        <v>7</v>
      </c>
      <c r="F96" s="367" t="str">
        <f t="shared" si="3"/>
        <v>jupiter</v>
      </c>
      <c r="G96" s="367">
        <f t="shared" si="72"/>
        <v>3</v>
      </c>
      <c r="H96" s="367" t="str">
        <f t="shared" si="3"/>
        <v>sun</v>
      </c>
      <c r="I96" s="369">
        <f t="shared" si="73"/>
        <v>22742</v>
      </c>
      <c r="J96" s="377">
        <f t="shared" si="70"/>
        <v>45</v>
      </c>
      <c r="K96" s="369">
        <f t="shared" si="76"/>
        <v>22787</v>
      </c>
      <c r="L96" s="374">
        <f t="shared" si="74"/>
        <v>78</v>
      </c>
      <c r="O96" s="381"/>
    </row>
    <row r="97" spans="1:16">
      <c r="A97" s="364">
        <f t="shared" si="71"/>
        <v>79</v>
      </c>
      <c r="B97" s="372">
        <f t="shared" si="75"/>
        <v>22859</v>
      </c>
      <c r="C97" s="357">
        <f t="shared" si="11"/>
        <v>8</v>
      </c>
      <c r="D97" s="358" t="str">
        <f t="shared" si="12"/>
        <v>saturn</v>
      </c>
      <c r="E97" s="368">
        <f t="shared" si="69"/>
        <v>7</v>
      </c>
      <c r="F97" s="367" t="str">
        <f t="shared" si="3"/>
        <v>jupiter</v>
      </c>
      <c r="G97" s="367">
        <f t="shared" si="72"/>
        <v>4</v>
      </c>
      <c r="H97" s="367" t="str">
        <f t="shared" si="3"/>
        <v>moon</v>
      </c>
      <c r="I97" s="369">
        <f t="shared" si="73"/>
        <v>22787</v>
      </c>
      <c r="J97" s="377">
        <f t="shared" si="70"/>
        <v>72</v>
      </c>
      <c r="K97" s="369">
        <f t="shared" si="76"/>
        <v>22859</v>
      </c>
      <c r="L97" s="374">
        <f t="shared" si="74"/>
        <v>79</v>
      </c>
      <c r="O97" s="381"/>
    </row>
    <row r="98" spans="1:16">
      <c r="A98" s="364">
        <f t="shared" si="71"/>
        <v>80</v>
      </c>
      <c r="B98" s="372">
        <f t="shared" si="75"/>
        <v>22913</v>
      </c>
      <c r="C98" s="357">
        <f t="shared" si="11"/>
        <v>8</v>
      </c>
      <c r="D98" s="358" t="str">
        <f t="shared" si="12"/>
        <v>saturn</v>
      </c>
      <c r="E98" s="368">
        <f t="shared" si="69"/>
        <v>7</v>
      </c>
      <c r="F98" s="367" t="str">
        <f t="shared" si="3"/>
        <v>jupiter</v>
      </c>
      <c r="G98" s="367">
        <f t="shared" si="72"/>
        <v>5</v>
      </c>
      <c r="H98" s="367" t="str">
        <f t="shared" si="3"/>
        <v>mars</v>
      </c>
      <c r="I98" s="369">
        <f t="shared" si="73"/>
        <v>22859</v>
      </c>
      <c r="J98" s="377">
        <f t="shared" si="70"/>
        <v>54</v>
      </c>
      <c r="K98" s="369">
        <f t="shared" si="76"/>
        <v>22913</v>
      </c>
      <c r="L98" s="374">
        <f t="shared" si="74"/>
        <v>80</v>
      </c>
      <c r="O98" s="381"/>
    </row>
    <row r="99" spans="1:16" ht="13.8" thickBot="1">
      <c r="A99" s="364">
        <f t="shared" si="71"/>
        <v>81</v>
      </c>
      <c r="B99" s="372">
        <f t="shared" si="75"/>
        <v>23048</v>
      </c>
      <c r="C99" s="357">
        <f t="shared" si="11"/>
        <v>8</v>
      </c>
      <c r="D99" s="358" t="str">
        <f t="shared" si="12"/>
        <v>saturn</v>
      </c>
      <c r="E99" s="368">
        <f t="shared" si="69"/>
        <v>7</v>
      </c>
      <c r="F99" s="367" t="str">
        <f t="shared" si="3"/>
        <v>jupiter</v>
      </c>
      <c r="G99" s="367">
        <f t="shared" si="72"/>
        <v>6</v>
      </c>
      <c r="H99" s="367" t="str">
        <f t="shared" si="3"/>
        <v>rahu</v>
      </c>
      <c r="I99" s="369">
        <f t="shared" si="73"/>
        <v>22913</v>
      </c>
      <c r="J99" s="377">
        <f t="shared" si="70"/>
        <v>135</v>
      </c>
      <c r="K99" s="369">
        <f t="shared" si="76"/>
        <v>23048</v>
      </c>
      <c r="L99" s="374">
        <f t="shared" si="74"/>
        <v>81</v>
      </c>
      <c r="N99" s="358">
        <f>SUM(J91:J99)</f>
        <v>900</v>
      </c>
      <c r="O99" s="413" t="s">
        <v>554</v>
      </c>
      <c r="P99" s="413"/>
    </row>
    <row r="100" spans="1:16">
      <c r="A100" s="394"/>
      <c r="B100" s="395"/>
      <c r="C100" s="396">
        <f>IF(C9+1&gt;9,C9+1-9,C9+1)</f>
        <v>9</v>
      </c>
      <c r="D100" s="385" t="str">
        <f>VLOOKUP(C100,$A$848:$B$856,2,FALSE)</f>
        <v>mercury</v>
      </c>
      <c r="E100" s="397"/>
      <c r="F100" s="384"/>
      <c r="G100" s="384"/>
      <c r="H100" s="384"/>
      <c r="I100" s="401">
        <f>K9</f>
        <v>23049.75</v>
      </c>
      <c r="J100" s="370">
        <f>VLOOKUP(C100,$A$848:$D$856,4,FALSE)</f>
        <v>6209.25</v>
      </c>
      <c r="K100" s="371">
        <f>I100+J100</f>
        <v>29259</v>
      </c>
      <c r="L100" s="398"/>
      <c r="M100" s="371">
        <f>K9</f>
        <v>23049.75</v>
      </c>
      <c r="N100" s="370">
        <f>N19+N29+N39+N49+N59+N69+N79+N89+N99</f>
        <v>6938</v>
      </c>
      <c r="O100" s="413">
        <f>J9-N100</f>
        <v>1.75</v>
      </c>
      <c r="P100" s="413">
        <f>K99-I100</f>
        <v>-1.75</v>
      </c>
    </row>
    <row r="101" spans="1:16">
      <c r="A101" s="399"/>
      <c r="B101" s="386"/>
      <c r="C101" s="387">
        <f t="shared" ref="C101:C110" si="77">C100</f>
        <v>9</v>
      </c>
      <c r="D101" s="373" t="str">
        <f t="shared" ref="D101:D110" si="78">D100</f>
        <v>mercury</v>
      </c>
      <c r="E101" s="388">
        <f t="shared" ref="E101:E110" si="79">C100</f>
        <v>9</v>
      </c>
      <c r="F101" s="389" t="str">
        <f t="shared" ref="F101:H190" si="80">VLOOKUP(E101,$A$848:$B$856,2,FALSE)</f>
        <v>mercury</v>
      </c>
      <c r="G101" s="389"/>
      <c r="H101" s="389"/>
      <c r="I101" s="402">
        <f>I100</f>
        <v>23049.75</v>
      </c>
      <c r="J101" s="373">
        <f>ROUND(J$100*VLOOKUP(E101,$A$848:$E$856,5,FALSE),0)</f>
        <v>869</v>
      </c>
      <c r="K101" s="390">
        <f>I101+J101</f>
        <v>23918.75</v>
      </c>
      <c r="L101" s="400"/>
      <c r="M101" s="373"/>
      <c r="N101" s="373"/>
      <c r="O101" s="381"/>
    </row>
    <row r="102" spans="1:16" ht="13.8" thickBot="1">
      <c r="A102" s="355">
        <f>A99+1</f>
        <v>82</v>
      </c>
      <c r="B102" s="372">
        <f t="shared" ref="B102:B110" si="81">K102</f>
        <v>23171.75</v>
      </c>
      <c r="C102" s="357">
        <f t="shared" si="77"/>
        <v>9</v>
      </c>
      <c r="D102" s="358" t="str">
        <f t="shared" si="78"/>
        <v>mercury</v>
      </c>
      <c r="E102" s="359">
        <f t="shared" si="79"/>
        <v>9</v>
      </c>
      <c r="F102" s="367" t="str">
        <f t="shared" si="80"/>
        <v>mercury</v>
      </c>
      <c r="G102" s="367">
        <f>E102</f>
        <v>9</v>
      </c>
      <c r="H102" s="367" t="str">
        <f t="shared" si="80"/>
        <v>mercury</v>
      </c>
      <c r="I102" s="403">
        <f>I100</f>
        <v>23049.75</v>
      </c>
      <c r="J102" s="377">
        <f t="shared" ref="J102:J110" si="82">ROUND(J$101*VLOOKUP(G102,$A$848:$E$856,5,FALSE),0)</f>
        <v>122</v>
      </c>
      <c r="K102" s="369">
        <f>I102+J102</f>
        <v>23171.75</v>
      </c>
      <c r="L102" s="360">
        <f>L99+1</f>
        <v>82</v>
      </c>
      <c r="O102" s="381"/>
    </row>
    <row r="103" spans="1:16">
      <c r="A103" s="355">
        <f t="shared" ref="A103:A110" si="83">A102+1</f>
        <v>83</v>
      </c>
      <c r="B103" s="372">
        <f t="shared" si="81"/>
        <v>23223.75</v>
      </c>
      <c r="C103" s="357">
        <f t="shared" si="77"/>
        <v>9</v>
      </c>
      <c r="D103" s="358" t="str">
        <f t="shared" si="78"/>
        <v>mercury</v>
      </c>
      <c r="E103" s="359">
        <f t="shared" si="79"/>
        <v>9</v>
      </c>
      <c r="F103" s="367" t="str">
        <f t="shared" si="80"/>
        <v>mercury</v>
      </c>
      <c r="G103" s="367">
        <f t="shared" ref="G103:G110" si="84">IF(G102+1&gt;9,G102+1-9,G102+1)</f>
        <v>1</v>
      </c>
      <c r="H103" s="367" t="str">
        <f t="shared" si="80"/>
        <v>ketu</v>
      </c>
      <c r="I103" s="369">
        <f t="shared" ref="I103:I110" si="85">K102</f>
        <v>23171.75</v>
      </c>
      <c r="J103" s="377">
        <f t="shared" si="82"/>
        <v>52</v>
      </c>
      <c r="K103" s="369">
        <f>I103+J103</f>
        <v>23223.75</v>
      </c>
      <c r="L103" s="360">
        <f t="shared" ref="L103:L110" si="86">L102+1</f>
        <v>83</v>
      </c>
      <c r="O103" s="381"/>
    </row>
    <row r="104" spans="1:16">
      <c r="A104" s="355">
        <f t="shared" si="83"/>
        <v>84</v>
      </c>
      <c r="B104" s="372">
        <f t="shared" si="81"/>
        <v>23371.75</v>
      </c>
      <c r="C104" s="357">
        <f t="shared" si="77"/>
        <v>9</v>
      </c>
      <c r="D104" s="358" t="str">
        <f t="shared" si="78"/>
        <v>mercury</v>
      </c>
      <c r="E104" s="359">
        <f t="shared" si="79"/>
        <v>9</v>
      </c>
      <c r="F104" s="367" t="str">
        <f t="shared" si="80"/>
        <v>mercury</v>
      </c>
      <c r="G104" s="367">
        <f t="shared" si="84"/>
        <v>2</v>
      </c>
      <c r="H104" s="367" t="str">
        <f t="shared" si="80"/>
        <v>venus</v>
      </c>
      <c r="I104" s="369">
        <f t="shared" si="85"/>
        <v>23223.75</v>
      </c>
      <c r="J104" s="377">
        <f t="shared" si="82"/>
        <v>148</v>
      </c>
      <c r="K104" s="369">
        <f t="shared" ref="K104:K110" si="87">I104+J104</f>
        <v>23371.75</v>
      </c>
      <c r="L104" s="360">
        <f t="shared" si="86"/>
        <v>84</v>
      </c>
      <c r="O104" s="381"/>
    </row>
    <row r="105" spans="1:16">
      <c r="A105" s="355">
        <f t="shared" si="83"/>
        <v>85</v>
      </c>
      <c r="B105" s="372">
        <f t="shared" si="81"/>
        <v>23414.75</v>
      </c>
      <c r="C105" s="357">
        <f t="shared" si="77"/>
        <v>9</v>
      </c>
      <c r="D105" s="358" t="str">
        <f t="shared" si="78"/>
        <v>mercury</v>
      </c>
      <c r="E105" s="359">
        <f t="shared" si="79"/>
        <v>9</v>
      </c>
      <c r="F105" s="367" t="str">
        <f t="shared" si="80"/>
        <v>mercury</v>
      </c>
      <c r="G105" s="367">
        <f t="shared" si="84"/>
        <v>3</v>
      </c>
      <c r="H105" s="367" t="str">
        <f t="shared" si="80"/>
        <v>sun</v>
      </c>
      <c r="I105" s="369">
        <f t="shared" si="85"/>
        <v>23371.75</v>
      </c>
      <c r="J105" s="377">
        <f t="shared" si="82"/>
        <v>43</v>
      </c>
      <c r="K105" s="369">
        <f t="shared" si="87"/>
        <v>23414.75</v>
      </c>
      <c r="L105" s="360">
        <f t="shared" si="86"/>
        <v>85</v>
      </c>
      <c r="O105" s="381"/>
    </row>
    <row r="106" spans="1:16">
      <c r="A106" s="355">
        <f t="shared" si="83"/>
        <v>86</v>
      </c>
      <c r="B106" s="372">
        <f t="shared" si="81"/>
        <v>23484.75</v>
      </c>
      <c r="C106" s="357">
        <f t="shared" si="77"/>
        <v>9</v>
      </c>
      <c r="D106" s="358" t="str">
        <f t="shared" si="78"/>
        <v>mercury</v>
      </c>
      <c r="E106" s="359">
        <f t="shared" si="79"/>
        <v>9</v>
      </c>
      <c r="F106" s="367" t="str">
        <f t="shared" si="80"/>
        <v>mercury</v>
      </c>
      <c r="G106" s="367">
        <f t="shared" si="84"/>
        <v>4</v>
      </c>
      <c r="H106" s="367" t="str">
        <f t="shared" si="80"/>
        <v>moon</v>
      </c>
      <c r="I106" s="369">
        <f t="shared" si="85"/>
        <v>23414.75</v>
      </c>
      <c r="J106" s="377">
        <f t="shared" si="82"/>
        <v>70</v>
      </c>
      <c r="K106" s="369">
        <f t="shared" si="87"/>
        <v>23484.75</v>
      </c>
      <c r="L106" s="360">
        <f t="shared" si="86"/>
        <v>86</v>
      </c>
      <c r="O106" s="381"/>
    </row>
    <row r="107" spans="1:16">
      <c r="A107" s="355">
        <f t="shared" si="83"/>
        <v>87</v>
      </c>
      <c r="B107" s="372">
        <f t="shared" si="81"/>
        <v>23536.75</v>
      </c>
      <c r="C107" s="357">
        <f t="shared" si="77"/>
        <v>9</v>
      </c>
      <c r="D107" s="358" t="str">
        <f t="shared" si="78"/>
        <v>mercury</v>
      </c>
      <c r="E107" s="359">
        <f t="shared" si="79"/>
        <v>9</v>
      </c>
      <c r="F107" s="367" t="str">
        <f t="shared" si="80"/>
        <v>mercury</v>
      </c>
      <c r="G107" s="367">
        <f t="shared" si="84"/>
        <v>5</v>
      </c>
      <c r="H107" s="367" t="str">
        <f t="shared" si="80"/>
        <v>mars</v>
      </c>
      <c r="I107" s="369">
        <f t="shared" si="85"/>
        <v>23484.75</v>
      </c>
      <c r="J107" s="377">
        <f t="shared" si="82"/>
        <v>52</v>
      </c>
      <c r="K107" s="369">
        <f t="shared" si="87"/>
        <v>23536.75</v>
      </c>
      <c r="L107" s="360">
        <f t="shared" si="86"/>
        <v>87</v>
      </c>
      <c r="O107" s="381"/>
    </row>
    <row r="108" spans="1:16">
      <c r="A108" s="355">
        <f t="shared" si="83"/>
        <v>88</v>
      </c>
      <c r="B108" s="372">
        <f t="shared" si="81"/>
        <v>23666.75</v>
      </c>
      <c r="C108" s="357">
        <f t="shared" si="77"/>
        <v>9</v>
      </c>
      <c r="D108" s="358" t="str">
        <f t="shared" si="78"/>
        <v>mercury</v>
      </c>
      <c r="E108" s="359">
        <f t="shared" si="79"/>
        <v>9</v>
      </c>
      <c r="F108" s="367" t="str">
        <f t="shared" si="80"/>
        <v>mercury</v>
      </c>
      <c r="G108" s="367">
        <f t="shared" si="84"/>
        <v>6</v>
      </c>
      <c r="H108" s="367" t="str">
        <f t="shared" si="80"/>
        <v>rahu</v>
      </c>
      <c r="I108" s="369">
        <f t="shared" si="85"/>
        <v>23536.75</v>
      </c>
      <c r="J108" s="377">
        <f t="shared" si="82"/>
        <v>130</v>
      </c>
      <c r="K108" s="369">
        <f t="shared" si="87"/>
        <v>23666.75</v>
      </c>
      <c r="L108" s="360">
        <f t="shared" si="86"/>
        <v>88</v>
      </c>
      <c r="O108" s="381"/>
    </row>
    <row r="109" spans="1:16">
      <c r="A109" s="355">
        <f t="shared" si="83"/>
        <v>89</v>
      </c>
      <c r="B109" s="372">
        <f t="shared" si="81"/>
        <v>23779.75</v>
      </c>
      <c r="C109" s="357">
        <f t="shared" si="77"/>
        <v>9</v>
      </c>
      <c r="D109" s="358" t="str">
        <f t="shared" si="78"/>
        <v>mercury</v>
      </c>
      <c r="E109" s="359">
        <f t="shared" si="79"/>
        <v>9</v>
      </c>
      <c r="F109" s="367" t="str">
        <f t="shared" si="80"/>
        <v>mercury</v>
      </c>
      <c r="G109" s="367">
        <f t="shared" si="84"/>
        <v>7</v>
      </c>
      <c r="H109" s="367" t="str">
        <f t="shared" si="80"/>
        <v>jupiter</v>
      </c>
      <c r="I109" s="369">
        <f t="shared" si="85"/>
        <v>23666.75</v>
      </c>
      <c r="J109" s="377">
        <f t="shared" si="82"/>
        <v>113</v>
      </c>
      <c r="K109" s="369">
        <f t="shared" si="87"/>
        <v>23779.75</v>
      </c>
      <c r="L109" s="360">
        <f t="shared" si="86"/>
        <v>89</v>
      </c>
      <c r="O109" s="381"/>
    </row>
    <row r="110" spans="1:16">
      <c r="A110" s="355">
        <f t="shared" si="83"/>
        <v>90</v>
      </c>
      <c r="B110" s="372">
        <f t="shared" si="81"/>
        <v>23918.75</v>
      </c>
      <c r="C110" s="357">
        <f t="shared" si="77"/>
        <v>9</v>
      </c>
      <c r="D110" s="358" t="str">
        <f t="shared" si="78"/>
        <v>mercury</v>
      </c>
      <c r="E110" s="359">
        <f t="shared" si="79"/>
        <v>9</v>
      </c>
      <c r="F110" s="367" t="str">
        <f t="shared" si="80"/>
        <v>mercury</v>
      </c>
      <c r="G110" s="367">
        <f t="shared" si="84"/>
        <v>8</v>
      </c>
      <c r="H110" s="367" t="str">
        <f t="shared" si="80"/>
        <v>saturn</v>
      </c>
      <c r="I110" s="369">
        <f t="shared" si="85"/>
        <v>23779.75</v>
      </c>
      <c r="J110" s="377">
        <f t="shared" si="82"/>
        <v>139</v>
      </c>
      <c r="K110" s="369">
        <f t="shared" si="87"/>
        <v>23918.75</v>
      </c>
      <c r="L110" s="360">
        <f t="shared" si="86"/>
        <v>90</v>
      </c>
      <c r="N110" s="358">
        <f>SUM(J102:J110)</f>
        <v>869</v>
      </c>
      <c r="O110" s="381"/>
    </row>
    <row r="111" spans="1:16">
      <c r="A111" s="399"/>
      <c r="B111" s="386"/>
      <c r="C111" s="387">
        <f>C101</f>
        <v>9</v>
      </c>
      <c r="D111" s="373" t="str">
        <f>D101</f>
        <v>mercury</v>
      </c>
      <c r="E111" s="393">
        <f>IF(E101+1&gt;9,E101+1-9,E101+1)</f>
        <v>1</v>
      </c>
      <c r="F111" s="389" t="str">
        <f t="shared" si="80"/>
        <v>ketu</v>
      </c>
      <c r="G111" s="389"/>
      <c r="H111" s="389"/>
      <c r="I111" s="390">
        <f>K101</f>
        <v>23918.75</v>
      </c>
      <c r="J111" s="373">
        <f>ROUND(J$100*VLOOKUP(E111,$A$848:$E$856,5,FALSE),0)</f>
        <v>373</v>
      </c>
      <c r="K111" s="390">
        <f>I111+J111</f>
        <v>24291.75</v>
      </c>
      <c r="L111" s="400"/>
      <c r="M111" s="373"/>
      <c r="N111" s="373"/>
      <c r="O111" s="381"/>
    </row>
    <row r="112" spans="1:16">
      <c r="A112" s="355">
        <f>A110+1</f>
        <v>91</v>
      </c>
      <c r="B112" s="372">
        <f>K112</f>
        <v>23940.75</v>
      </c>
      <c r="C112" s="357">
        <f t="shared" ref="C112:C190" si="88">C111</f>
        <v>9</v>
      </c>
      <c r="D112" s="358" t="str">
        <f t="shared" ref="D112:D190" si="89">D111</f>
        <v>mercury</v>
      </c>
      <c r="E112" s="368">
        <f t="shared" ref="E112:E120" si="90">E111</f>
        <v>1</v>
      </c>
      <c r="F112" s="367" t="str">
        <f t="shared" si="80"/>
        <v>ketu</v>
      </c>
      <c r="G112" s="367">
        <f>E112</f>
        <v>1</v>
      </c>
      <c r="H112" s="367" t="str">
        <f t="shared" si="80"/>
        <v>ketu</v>
      </c>
      <c r="I112" s="369">
        <f>K110</f>
        <v>23918.75</v>
      </c>
      <c r="J112" s="377">
        <f t="shared" ref="J112:J120" si="91">ROUND(J$111*VLOOKUP(G112,$A$848:$E$856,5,FALSE),0)</f>
        <v>22</v>
      </c>
      <c r="K112" s="369">
        <f>I112+J112</f>
        <v>23940.75</v>
      </c>
      <c r="L112" s="360">
        <f>L110+1</f>
        <v>91</v>
      </c>
      <c r="O112" s="381"/>
    </row>
    <row r="113" spans="1:15">
      <c r="A113" s="355">
        <f t="shared" ref="A113:A120" si="92">A112+1</f>
        <v>92</v>
      </c>
      <c r="B113" s="372">
        <f>K113</f>
        <v>24003.75</v>
      </c>
      <c r="C113" s="357">
        <f t="shared" si="88"/>
        <v>9</v>
      </c>
      <c r="D113" s="358" t="str">
        <f t="shared" si="89"/>
        <v>mercury</v>
      </c>
      <c r="E113" s="368">
        <f t="shared" si="90"/>
        <v>1</v>
      </c>
      <c r="F113" s="367" t="str">
        <f t="shared" si="80"/>
        <v>ketu</v>
      </c>
      <c r="G113" s="367">
        <f t="shared" ref="G113:G120" si="93">IF(G112+1&gt;9,G112+1-9,G112+1)</f>
        <v>2</v>
      </c>
      <c r="H113" s="367" t="str">
        <f t="shared" si="80"/>
        <v>venus</v>
      </c>
      <c r="I113" s="369">
        <f t="shared" ref="I113:I120" si="94">K112</f>
        <v>23940.75</v>
      </c>
      <c r="J113" s="377">
        <f t="shared" si="91"/>
        <v>63</v>
      </c>
      <c r="K113" s="369">
        <f>I113+J113</f>
        <v>24003.75</v>
      </c>
      <c r="L113" s="360">
        <f t="shared" ref="L113:L120" si="95">L112+1</f>
        <v>92</v>
      </c>
      <c r="O113" s="381"/>
    </row>
    <row r="114" spans="1:15">
      <c r="A114" s="355">
        <f t="shared" si="92"/>
        <v>93</v>
      </c>
      <c r="B114" s="372">
        <f t="shared" ref="B114:B120" si="96">K114</f>
        <v>24022.75</v>
      </c>
      <c r="C114" s="357">
        <f t="shared" si="88"/>
        <v>9</v>
      </c>
      <c r="D114" s="358" t="str">
        <f t="shared" si="89"/>
        <v>mercury</v>
      </c>
      <c r="E114" s="368">
        <f t="shared" si="90"/>
        <v>1</v>
      </c>
      <c r="F114" s="367" t="str">
        <f t="shared" si="80"/>
        <v>ketu</v>
      </c>
      <c r="G114" s="367">
        <f t="shared" si="93"/>
        <v>3</v>
      </c>
      <c r="H114" s="367" t="str">
        <f t="shared" si="80"/>
        <v>sun</v>
      </c>
      <c r="I114" s="369">
        <f t="shared" si="94"/>
        <v>24003.75</v>
      </c>
      <c r="J114" s="377">
        <f t="shared" si="91"/>
        <v>19</v>
      </c>
      <c r="K114" s="369">
        <f t="shared" ref="K114:K120" si="97">I114+J114</f>
        <v>24022.75</v>
      </c>
      <c r="L114" s="360">
        <f t="shared" si="95"/>
        <v>93</v>
      </c>
      <c r="O114" s="381"/>
    </row>
    <row r="115" spans="1:15">
      <c r="A115" s="355">
        <f t="shared" si="92"/>
        <v>94</v>
      </c>
      <c r="B115" s="372">
        <f t="shared" si="96"/>
        <v>24052.75</v>
      </c>
      <c r="C115" s="357">
        <f t="shared" si="88"/>
        <v>9</v>
      </c>
      <c r="D115" s="358" t="str">
        <f t="shared" si="89"/>
        <v>mercury</v>
      </c>
      <c r="E115" s="368">
        <f t="shared" si="90"/>
        <v>1</v>
      </c>
      <c r="F115" s="367" t="str">
        <f t="shared" si="80"/>
        <v>ketu</v>
      </c>
      <c r="G115" s="367">
        <f t="shared" si="93"/>
        <v>4</v>
      </c>
      <c r="H115" s="367" t="str">
        <f t="shared" si="80"/>
        <v>moon</v>
      </c>
      <c r="I115" s="369">
        <f t="shared" si="94"/>
        <v>24022.75</v>
      </c>
      <c r="J115" s="377">
        <f t="shared" si="91"/>
        <v>30</v>
      </c>
      <c r="K115" s="369">
        <f t="shared" si="97"/>
        <v>24052.75</v>
      </c>
      <c r="L115" s="360">
        <f t="shared" si="95"/>
        <v>94</v>
      </c>
      <c r="O115" s="381"/>
    </row>
    <row r="116" spans="1:15">
      <c r="A116" s="355">
        <f t="shared" si="92"/>
        <v>95</v>
      </c>
      <c r="B116" s="372">
        <f t="shared" si="96"/>
        <v>24074.75</v>
      </c>
      <c r="C116" s="357">
        <f t="shared" si="88"/>
        <v>9</v>
      </c>
      <c r="D116" s="358" t="str">
        <f t="shared" si="89"/>
        <v>mercury</v>
      </c>
      <c r="E116" s="368">
        <f t="shared" si="90"/>
        <v>1</v>
      </c>
      <c r="F116" s="367" t="str">
        <f t="shared" si="80"/>
        <v>ketu</v>
      </c>
      <c r="G116" s="367">
        <f t="shared" si="93"/>
        <v>5</v>
      </c>
      <c r="H116" s="367" t="str">
        <f t="shared" si="80"/>
        <v>mars</v>
      </c>
      <c r="I116" s="369">
        <f t="shared" si="94"/>
        <v>24052.75</v>
      </c>
      <c r="J116" s="377">
        <f t="shared" si="91"/>
        <v>22</v>
      </c>
      <c r="K116" s="369">
        <f t="shared" si="97"/>
        <v>24074.75</v>
      </c>
      <c r="L116" s="360">
        <f t="shared" si="95"/>
        <v>95</v>
      </c>
      <c r="O116" s="381"/>
    </row>
    <row r="117" spans="1:15">
      <c r="A117" s="355">
        <f t="shared" si="92"/>
        <v>96</v>
      </c>
      <c r="B117" s="372">
        <f t="shared" si="96"/>
        <v>24130.75</v>
      </c>
      <c r="C117" s="357">
        <f t="shared" si="88"/>
        <v>9</v>
      </c>
      <c r="D117" s="358" t="str">
        <f t="shared" si="89"/>
        <v>mercury</v>
      </c>
      <c r="E117" s="368">
        <f t="shared" si="90"/>
        <v>1</v>
      </c>
      <c r="F117" s="367" t="str">
        <f t="shared" si="80"/>
        <v>ketu</v>
      </c>
      <c r="G117" s="367">
        <f t="shared" si="93"/>
        <v>6</v>
      </c>
      <c r="H117" s="367" t="str">
        <f t="shared" si="80"/>
        <v>rahu</v>
      </c>
      <c r="I117" s="369">
        <f t="shared" si="94"/>
        <v>24074.75</v>
      </c>
      <c r="J117" s="377">
        <f t="shared" si="91"/>
        <v>56</v>
      </c>
      <c r="K117" s="369">
        <f t="shared" si="97"/>
        <v>24130.75</v>
      </c>
      <c r="L117" s="360">
        <f t="shared" si="95"/>
        <v>96</v>
      </c>
      <c r="O117" s="381"/>
    </row>
    <row r="118" spans="1:15">
      <c r="A118" s="355">
        <f t="shared" si="92"/>
        <v>97</v>
      </c>
      <c r="B118" s="372">
        <f t="shared" si="96"/>
        <v>24178.75</v>
      </c>
      <c r="C118" s="357">
        <f t="shared" si="88"/>
        <v>9</v>
      </c>
      <c r="D118" s="358" t="str">
        <f t="shared" si="89"/>
        <v>mercury</v>
      </c>
      <c r="E118" s="368">
        <f t="shared" si="90"/>
        <v>1</v>
      </c>
      <c r="F118" s="367" t="str">
        <f t="shared" si="80"/>
        <v>ketu</v>
      </c>
      <c r="G118" s="367">
        <f t="shared" si="93"/>
        <v>7</v>
      </c>
      <c r="H118" s="367" t="str">
        <f t="shared" si="80"/>
        <v>jupiter</v>
      </c>
      <c r="I118" s="369">
        <f t="shared" si="94"/>
        <v>24130.75</v>
      </c>
      <c r="J118" s="377">
        <f t="shared" si="91"/>
        <v>48</v>
      </c>
      <c r="K118" s="369">
        <f t="shared" si="97"/>
        <v>24178.75</v>
      </c>
      <c r="L118" s="360">
        <f t="shared" si="95"/>
        <v>97</v>
      </c>
      <c r="O118" s="381"/>
    </row>
    <row r="119" spans="1:15">
      <c r="A119" s="355">
        <f t="shared" si="92"/>
        <v>98</v>
      </c>
      <c r="B119" s="372">
        <f t="shared" si="96"/>
        <v>24238.75</v>
      </c>
      <c r="C119" s="357">
        <f t="shared" si="88"/>
        <v>9</v>
      </c>
      <c r="D119" s="358" t="str">
        <f t="shared" si="89"/>
        <v>mercury</v>
      </c>
      <c r="E119" s="368">
        <f t="shared" si="90"/>
        <v>1</v>
      </c>
      <c r="F119" s="367" t="str">
        <f t="shared" si="80"/>
        <v>ketu</v>
      </c>
      <c r="G119" s="367">
        <f t="shared" si="93"/>
        <v>8</v>
      </c>
      <c r="H119" s="367" t="str">
        <f t="shared" si="80"/>
        <v>saturn</v>
      </c>
      <c r="I119" s="369">
        <f t="shared" si="94"/>
        <v>24178.75</v>
      </c>
      <c r="J119" s="377">
        <f t="shared" si="91"/>
        <v>60</v>
      </c>
      <c r="K119" s="369">
        <f t="shared" si="97"/>
        <v>24238.75</v>
      </c>
      <c r="L119" s="360">
        <f t="shared" si="95"/>
        <v>98</v>
      </c>
      <c r="O119" s="381"/>
    </row>
    <row r="120" spans="1:15">
      <c r="A120" s="355">
        <f t="shared" si="92"/>
        <v>99</v>
      </c>
      <c r="B120" s="372">
        <f t="shared" si="96"/>
        <v>24290.75</v>
      </c>
      <c r="C120" s="357">
        <f t="shared" si="88"/>
        <v>9</v>
      </c>
      <c r="D120" s="358" t="str">
        <f t="shared" si="89"/>
        <v>mercury</v>
      </c>
      <c r="E120" s="368">
        <f t="shared" si="90"/>
        <v>1</v>
      </c>
      <c r="F120" s="367" t="str">
        <f t="shared" si="80"/>
        <v>ketu</v>
      </c>
      <c r="G120" s="367">
        <f t="shared" si="93"/>
        <v>9</v>
      </c>
      <c r="H120" s="367" t="str">
        <f t="shared" si="80"/>
        <v>mercury</v>
      </c>
      <c r="I120" s="369">
        <f t="shared" si="94"/>
        <v>24238.75</v>
      </c>
      <c r="J120" s="377">
        <f t="shared" si="91"/>
        <v>52</v>
      </c>
      <c r="K120" s="369">
        <f t="shared" si="97"/>
        <v>24290.75</v>
      </c>
      <c r="L120" s="360">
        <f t="shared" si="95"/>
        <v>99</v>
      </c>
      <c r="N120" s="358">
        <f>SUM(J112:J120)</f>
        <v>372</v>
      </c>
      <c r="O120" s="381"/>
    </row>
    <row r="121" spans="1:15">
      <c r="A121" s="399"/>
      <c r="B121" s="386"/>
      <c r="C121" s="387">
        <f>C111</f>
        <v>9</v>
      </c>
      <c r="D121" s="373" t="str">
        <f>D111</f>
        <v>mercury</v>
      </c>
      <c r="E121" s="393">
        <f>IF(E111+1&gt;9,E111+1-9,E111+1)</f>
        <v>2</v>
      </c>
      <c r="F121" s="389" t="str">
        <f t="shared" si="80"/>
        <v>venus</v>
      </c>
      <c r="G121" s="389"/>
      <c r="H121" s="389"/>
      <c r="I121" s="390">
        <f>K111</f>
        <v>24291.75</v>
      </c>
      <c r="J121" s="373">
        <f>ROUND(J$100*VLOOKUP(E121,$A$848:$E$856,5,FALSE),0)</f>
        <v>1056</v>
      </c>
      <c r="K121" s="390">
        <f>I121+J121</f>
        <v>25347.75</v>
      </c>
      <c r="L121" s="400"/>
      <c r="M121" s="373"/>
      <c r="N121" s="373"/>
      <c r="O121" s="381"/>
    </row>
    <row r="122" spans="1:15">
      <c r="A122" s="355">
        <f>A120+1</f>
        <v>100</v>
      </c>
      <c r="B122" s="372">
        <f>K122</f>
        <v>24470.75</v>
      </c>
      <c r="C122" s="357">
        <f t="shared" si="88"/>
        <v>9</v>
      </c>
      <c r="D122" s="358" t="str">
        <f t="shared" si="89"/>
        <v>mercury</v>
      </c>
      <c r="E122" s="368">
        <f t="shared" ref="E122:E130" si="98">E121</f>
        <v>2</v>
      </c>
      <c r="F122" s="367" t="str">
        <f t="shared" si="80"/>
        <v>venus</v>
      </c>
      <c r="G122" s="367">
        <f>E122</f>
        <v>2</v>
      </c>
      <c r="H122" s="367" t="str">
        <f t="shared" si="80"/>
        <v>venus</v>
      </c>
      <c r="I122" s="369">
        <f>K120</f>
        <v>24290.75</v>
      </c>
      <c r="J122" s="377">
        <f t="shared" ref="J122:J130" si="99">ROUND(J$121*VLOOKUP(G122,$A$848:$E$856,5,FALSE),0)</f>
        <v>180</v>
      </c>
      <c r="K122" s="369">
        <f>I122+J122</f>
        <v>24470.75</v>
      </c>
      <c r="L122" s="360">
        <f>L120+1</f>
        <v>100</v>
      </c>
      <c r="O122" s="381"/>
    </row>
    <row r="123" spans="1:15">
      <c r="A123" s="355">
        <f t="shared" ref="A123:A130" si="100">A122+1</f>
        <v>101</v>
      </c>
      <c r="B123" s="372">
        <f>K123</f>
        <v>24523.75</v>
      </c>
      <c r="C123" s="357">
        <f t="shared" si="88"/>
        <v>9</v>
      </c>
      <c r="D123" s="358" t="str">
        <f t="shared" si="89"/>
        <v>mercury</v>
      </c>
      <c r="E123" s="368">
        <f t="shared" si="98"/>
        <v>2</v>
      </c>
      <c r="F123" s="367" t="str">
        <f t="shared" si="80"/>
        <v>venus</v>
      </c>
      <c r="G123" s="367">
        <f t="shared" ref="G123:G130" si="101">IF(G122+1&gt;9,G122+1-9,G122+1)</f>
        <v>3</v>
      </c>
      <c r="H123" s="367" t="str">
        <f t="shared" si="80"/>
        <v>sun</v>
      </c>
      <c r="I123" s="369">
        <f t="shared" ref="I123:I130" si="102">K122</f>
        <v>24470.75</v>
      </c>
      <c r="J123" s="377">
        <f t="shared" si="99"/>
        <v>53</v>
      </c>
      <c r="K123" s="369">
        <f>I123+J123</f>
        <v>24523.75</v>
      </c>
      <c r="L123" s="360">
        <f t="shared" ref="L123:L130" si="103">L122+1</f>
        <v>101</v>
      </c>
      <c r="O123" s="381"/>
    </row>
    <row r="124" spans="1:15">
      <c r="A124" s="355">
        <f t="shared" si="100"/>
        <v>102</v>
      </c>
      <c r="B124" s="372">
        <f t="shared" ref="B124:B130" si="104">K124</f>
        <v>24607.75</v>
      </c>
      <c r="C124" s="357">
        <f t="shared" si="88"/>
        <v>9</v>
      </c>
      <c r="D124" s="358" t="str">
        <f t="shared" si="89"/>
        <v>mercury</v>
      </c>
      <c r="E124" s="368">
        <f t="shared" si="98"/>
        <v>2</v>
      </c>
      <c r="F124" s="367" t="str">
        <f t="shared" si="80"/>
        <v>venus</v>
      </c>
      <c r="G124" s="367">
        <f t="shared" si="101"/>
        <v>4</v>
      </c>
      <c r="H124" s="367" t="str">
        <f t="shared" si="80"/>
        <v>moon</v>
      </c>
      <c r="I124" s="369">
        <f t="shared" si="102"/>
        <v>24523.75</v>
      </c>
      <c r="J124" s="377">
        <f t="shared" si="99"/>
        <v>84</v>
      </c>
      <c r="K124" s="369">
        <f t="shared" ref="K124:K130" si="105">I124+J124</f>
        <v>24607.75</v>
      </c>
      <c r="L124" s="360">
        <f t="shared" si="103"/>
        <v>102</v>
      </c>
      <c r="O124" s="381"/>
    </row>
    <row r="125" spans="1:15">
      <c r="A125" s="355">
        <f t="shared" si="100"/>
        <v>103</v>
      </c>
      <c r="B125" s="372">
        <f t="shared" si="104"/>
        <v>24670.75</v>
      </c>
      <c r="C125" s="357">
        <f t="shared" si="88"/>
        <v>9</v>
      </c>
      <c r="D125" s="358" t="str">
        <f t="shared" si="89"/>
        <v>mercury</v>
      </c>
      <c r="E125" s="368">
        <f t="shared" si="98"/>
        <v>2</v>
      </c>
      <c r="F125" s="367" t="str">
        <f t="shared" si="80"/>
        <v>venus</v>
      </c>
      <c r="G125" s="367">
        <f t="shared" si="101"/>
        <v>5</v>
      </c>
      <c r="H125" s="367" t="str">
        <f t="shared" si="80"/>
        <v>mars</v>
      </c>
      <c r="I125" s="369">
        <f t="shared" si="102"/>
        <v>24607.75</v>
      </c>
      <c r="J125" s="377">
        <f t="shared" si="99"/>
        <v>63</v>
      </c>
      <c r="K125" s="369">
        <f t="shared" si="105"/>
        <v>24670.75</v>
      </c>
      <c r="L125" s="360">
        <f t="shared" si="103"/>
        <v>103</v>
      </c>
      <c r="O125" s="381"/>
    </row>
    <row r="126" spans="1:15">
      <c r="A126" s="355">
        <f t="shared" si="100"/>
        <v>104</v>
      </c>
      <c r="B126" s="372">
        <f t="shared" si="104"/>
        <v>24828.75</v>
      </c>
      <c r="C126" s="357">
        <f t="shared" si="88"/>
        <v>9</v>
      </c>
      <c r="D126" s="358" t="str">
        <f t="shared" si="89"/>
        <v>mercury</v>
      </c>
      <c r="E126" s="368">
        <f t="shared" si="98"/>
        <v>2</v>
      </c>
      <c r="F126" s="367" t="str">
        <f t="shared" si="80"/>
        <v>venus</v>
      </c>
      <c r="G126" s="367">
        <f t="shared" si="101"/>
        <v>6</v>
      </c>
      <c r="H126" s="367" t="str">
        <f t="shared" si="80"/>
        <v>rahu</v>
      </c>
      <c r="I126" s="369">
        <f t="shared" si="102"/>
        <v>24670.75</v>
      </c>
      <c r="J126" s="377">
        <f t="shared" si="99"/>
        <v>158</v>
      </c>
      <c r="K126" s="369">
        <f t="shared" si="105"/>
        <v>24828.75</v>
      </c>
      <c r="L126" s="360">
        <f t="shared" si="103"/>
        <v>104</v>
      </c>
      <c r="O126" s="381"/>
    </row>
    <row r="127" spans="1:15">
      <c r="A127" s="355">
        <f t="shared" si="100"/>
        <v>105</v>
      </c>
      <c r="B127" s="372">
        <f t="shared" si="104"/>
        <v>24965.75</v>
      </c>
      <c r="C127" s="357">
        <f t="shared" si="88"/>
        <v>9</v>
      </c>
      <c r="D127" s="358" t="str">
        <f t="shared" si="89"/>
        <v>mercury</v>
      </c>
      <c r="E127" s="368">
        <f t="shared" si="98"/>
        <v>2</v>
      </c>
      <c r="F127" s="367" t="str">
        <f t="shared" si="80"/>
        <v>venus</v>
      </c>
      <c r="G127" s="367">
        <f t="shared" si="101"/>
        <v>7</v>
      </c>
      <c r="H127" s="367" t="str">
        <f t="shared" si="80"/>
        <v>jupiter</v>
      </c>
      <c r="I127" s="369">
        <f t="shared" si="102"/>
        <v>24828.75</v>
      </c>
      <c r="J127" s="377">
        <f t="shared" si="99"/>
        <v>137</v>
      </c>
      <c r="K127" s="369">
        <f t="shared" si="105"/>
        <v>24965.75</v>
      </c>
      <c r="L127" s="360">
        <f t="shared" si="103"/>
        <v>105</v>
      </c>
      <c r="O127" s="381"/>
    </row>
    <row r="128" spans="1:15">
      <c r="A128" s="355">
        <f t="shared" si="100"/>
        <v>106</v>
      </c>
      <c r="B128" s="372">
        <f t="shared" si="104"/>
        <v>25134.75</v>
      </c>
      <c r="C128" s="357">
        <f t="shared" si="88"/>
        <v>9</v>
      </c>
      <c r="D128" s="358" t="str">
        <f t="shared" si="89"/>
        <v>mercury</v>
      </c>
      <c r="E128" s="368">
        <f t="shared" si="98"/>
        <v>2</v>
      </c>
      <c r="F128" s="367" t="str">
        <f t="shared" si="80"/>
        <v>venus</v>
      </c>
      <c r="G128" s="367">
        <f t="shared" si="101"/>
        <v>8</v>
      </c>
      <c r="H128" s="367" t="str">
        <f t="shared" si="80"/>
        <v>saturn</v>
      </c>
      <c r="I128" s="369">
        <f t="shared" si="102"/>
        <v>24965.75</v>
      </c>
      <c r="J128" s="377">
        <f t="shared" si="99"/>
        <v>169</v>
      </c>
      <c r="K128" s="369">
        <f t="shared" si="105"/>
        <v>25134.75</v>
      </c>
      <c r="L128" s="360">
        <f t="shared" si="103"/>
        <v>106</v>
      </c>
      <c r="O128" s="381"/>
    </row>
    <row r="129" spans="1:15">
      <c r="A129" s="355">
        <f t="shared" si="100"/>
        <v>107</v>
      </c>
      <c r="B129" s="372">
        <f t="shared" si="104"/>
        <v>25282.75</v>
      </c>
      <c r="C129" s="357">
        <f t="shared" si="88"/>
        <v>9</v>
      </c>
      <c r="D129" s="358" t="str">
        <f t="shared" si="89"/>
        <v>mercury</v>
      </c>
      <c r="E129" s="368">
        <f t="shared" si="98"/>
        <v>2</v>
      </c>
      <c r="F129" s="367" t="str">
        <f t="shared" si="80"/>
        <v>venus</v>
      </c>
      <c r="G129" s="367">
        <f t="shared" si="101"/>
        <v>9</v>
      </c>
      <c r="H129" s="367" t="str">
        <f t="shared" si="80"/>
        <v>mercury</v>
      </c>
      <c r="I129" s="369">
        <f t="shared" si="102"/>
        <v>25134.75</v>
      </c>
      <c r="J129" s="377">
        <f t="shared" si="99"/>
        <v>148</v>
      </c>
      <c r="K129" s="369">
        <f t="shared" si="105"/>
        <v>25282.75</v>
      </c>
      <c r="L129" s="360">
        <f t="shared" si="103"/>
        <v>107</v>
      </c>
      <c r="O129" s="381"/>
    </row>
    <row r="130" spans="1:15">
      <c r="A130" s="355">
        <f t="shared" si="100"/>
        <v>108</v>
      </c>
      <c r="B130" s="372">
        <f t="shared" si="104"/>
        <v>25345.75</v>
      </c>
      <c r="C130" s="357">
        <f t="shared" si="88"/>
        <v>9</v>
      </c>
      <c r="D130" s="358" t="str">
        <f t="shared" si="89"/>
        <v>mercury</v>
      </c>
      <c r="E130" s="368">
        <f t="shared" si="98"/>
        <v>2</v>
      </c>
      <c r="F130" s="367" t="str">
        <f t="shared" si="80"/>
        <v>venus</v>
      </c>
      <c r="G130" s="367">
        <f t="shared" si="101"/>
        <v>1</v>
      </c>
      <c r="H130" s="367" t="str">
        <f t="shared" si="80"/>
        <v>ketu</v>
      </c>
      <c r="I130" s="369">
        <f t="shared" si="102"/>
        <v>25282.75</v>
      </c>
      <c r="J130" s="377">
        <f t="shared" si="99"/>
        <v>63</v>
      </c>
      <c r="K130" s="369">
        <f t="shared" si="105"/>
        <v>25345.75</v>
      </c>
      <c r="L130" s="360">
        <f t="shared" si="103"/>
        <v>108</v>
      </c>
      <c r="N130" s="358">
        <f>SUM(J122:J130)</f>
        <v>1055</v>
      </c>
      <c r="O130" s="381"/>
    </row>
    <row r="131" spans="1:15">
      <c r="A131" s="399"/>
      <c r="B131" s="386"/>
      <c r="C131" s="387">
        <f>C121</f>
        <v>9</v>
      </c>
      <c r="D131" s="373" t="str">
        <f>D121</f>
        <v>mercury</v>
      </c>
      <c r="E131" s="393">
        <f>IF(E121+1&gt;9,E121+1-9,E121+1)</f>
        <v>3</v>
      </c>
      <c r="F131" s="389" t="str">
        <f t="shared" si="80"/>
        <v>sun</v>
      </c>
      <c r="G131" s="389"/>
      <c r="H131" s="389"/>
      <c r="I131" s="390">
        <f>K121</f>
        <v>25347.75</v>
      </c>
      <c r="J131" s="373">
        <f>ROUND(J$100*VLOOKUP(E131,$A$848:$E$856,5,FALSE),0)</f>
        <v>310</v>
      </c>
      <c r="K131" s="390">
        <f>I131+J131</f>
        <v>25657.75</v>
      </c>
      <c r="L131" s="400"/>
      <c r="M131" s="373"/>
      <c r="N131" s="373"/>
      <c r="O131" s="381"/>
    </row>
    <row r="132" spans="1:15">
      <c r="A132" s="355">
        <f>A130+1</f>
        <v>109</v>
      </c>
      <c r="B132" s="372">
        <f>K132</f>
        <v>25361.75</v>
      </c>
      <c r="C132" s="357">
        <f t="shared" si="88"/>
        <v>9</v>
      </c>
      <c r="D132" s="358" t="str">
        <f t="shared" si="89"/>
        <v>mercury</v>
      </c>
      <c r="E132" s="368">
        <f t="shared" ref="E132:E140" si="106">E131</f>
        <v>3</v>
      </c>
      <c r="F132" s="367" t="str">
        <f t="shared" si="80"/>
        <v>sun</v>
      </c>
      <c r="G132" s="367">
        <f>E132</f>
        <v>3</v>
      </c>
      <c r="H132" s="367" t="str">
        <f t="shared" si="80"/>
        <v>sun</v>
      </c>
      <c r="I132" s="369">
        <f>K130</f>
        <v>25345.75</v>
      </c>
      <c r="J132" s="377">
        <f>ROUND(J$131*VLOOKUP(G132,$A$848:$E$856,5,FALSE),0)</f>
        <v>16</v>
      </c>
      <c r="K132" s="369">
        <f>I132+J132</f>
        <v>25361.75</v>
      </c>
      <c r="L132" s="360">
        <f>L130+1</f>
        <v>109</v>
      </c>
      <c r="O132" s="381"/>
    </row>
    <row r="133" spans="1:15">
      <c r="A133" s="355">
        <f t="shared" ref="A133:A140" si="107">A132+1</f>
        <v>110</v>
      </c>
      <c r="B133" s="372">
        <f>K133</f>
        <v>25386.75</v>
      </c>
      <c r="C133" s="357">
        <f t="shared" si="88"/>
        <v>9</v>
      </c>
      <c r="D133" s="358" t="str">
        <f t="shared" si="89"/>
        <v>mercury</v>
      </c>
      <c r="E133" s="368">
        <f t="shared" si="106"/>
        <v>3</v>
      </c>
      <c r="F133" s="367" t="str">
        <f t="shared" si="80"/>
        <v>sun</v>
      </c>
      <c r="G133" s="367">
        <f t="shared" ref="G133:G140" si="108">IF(G132+1&gt;9,G132+1-9,G132+1)</f>
        <v>4</v>
      </c>
      <c r="H133" s="367" t="str">
        <f t="shared" si="80"/>
        <v>moon</v>
      </c>
      <c r="I133" s="369">
        <f t="shared" ref="I133:I140" si="109">K132</f>
        <v>25361.75</v>
      </c>
      <c r="J133" s="377">
        <f t="shared" ref="J133:J140" si="110">ROUND(J$131*VLOOKUP(G133,$A$848:$E$856,5,FALSE),0)</f>
        <v>25</v>
      </c>
      <c r="K133" s="369">
        <f>I133+J133</f>
        <v>25386.75</v>
      </c>
      <c r="L133" s="360">
        <f t="shared" ref="L133:L140" si="111">L132+1</f>
        <v>110</v>
      </c>
      <c r="O133" s="381"/>
    </row>
    <row r="134" spans="1:15">
      <c r="A134" s="355">
        <f t="shared" si="107"/>
        <v>111</v>
      </c>
      <c r="B134" s="372">
        <f t="shared" ref="B134:B140" si="112">K134</f>
        <v>25405.75</v>
      </c>
      <c r="C134" s="357">
        <f t="shared" si="88"/>
        <v>9</v>
      </c>
      <c r="D134" s="358" t="str">
        <f t="shared" si="89"/>
        <v>mercury</v>
      </c>
      <c r="E134" s="368">
        <f t="shared" si="106"/>
        <v>3</v>
      </c>
      <c r="F134" s="367" t="str">
        <f t="shared" si="80"/>
        <v>sun</v>
      </c>
      <c r="G134" s="367">
        <f t="shared" si="108"/>
        <v>5</v>
      </c>
      <c r="H134" s="367" t="str">
        <f t="shared" si="80"/>
        <v>mars</v>
      </c>
      <c r="I134" s="369">
        <f t="shared" si="109"/>
        <v>25386.75</v>
      </c>
      <c r="J134" s="377">
        <f t="shared" si="110"/>
        <v>19</v>
      </c>
      <c r="K134" s="369">
        <f t="shared" ref="K134:K140" si="113">I134+J134</f>
        <v>25405.75</v>
      </c>
      <c r="L134" s="360">
        <f t="shared" si="111"/>
        <v>111</v>
      </c>
      <c r="O134" s="381"/>
    </row>
    <row r="135" spans="1:15">
      <c r="A135" s="355">
        <f t="shared" si="107"/>
        <v>112</v>
      </c>
      <c r="B135" s="372">
        <f t="shared" si="112"/>
        <v>25452.75</v>
      </c>
      <c r="C135" s="357">
        <f t="shared" si="88"/>
        <v>9</v>
      </c>
      <c r="D135" s="358" t="str">
        <f t="shared" si="89"/>
        <v>mercury</v>
      </c>
      <c r="E135" s="368">
        <f t="shared" si="106"/>
        <v>3</v>
      </c>
      <c r="F135" s="367" t="str">
        <f t="shared" si="80"/>
        <v>sun</v>
      </c>
      <c r="G135" s="367">
        <f t="shared" si="108"/>
        <v>6</v>
      </c>
      <c r="H135" s="367" t="str">
        <f t="shared" si="80"/>
        <v>rahu</v>
      </c>
      <c r="I135" s="369">
        <f t="shared" si="109"/>
        <v>25405.75</v>
      </c>
      <c r="J135" s="377">
        <f t="shared" si="110"/>
        <v>47</v>
      </c>
      <c r="K135" s="369">
        <f t="shared" si="113"/>
        <v>25452.75</v>
      </c>
      <c r="L135" s="360">
        <f t="shared" si="111"/>
        <v>112</v>
      </c>
      <c r="O135" s="381"/>
    </row>
    <row r="136" spans="1:15">
      <c r="A136" s="355">
        <f t="shared" si="107"/>
        <v>113</v>
      </c>
      <c r="B136" s="372">
        <f t="shared" si="112"/>
        <v>25492.75</v>
      </c>
      <c r="C136" s="357">
        <f t="shared" si="88"/>
        <v>9</v>
      </c>
      <c r="D136" s="358" t="str">
        <f t="shared" si="89"/>
        <v>mercury</v>
      </c>
      <c r="E136" s="368">
        <f t="shared" si="106"/>
        <v>3</v>
      </c>
      <c r="F136" s="367" t="str">
        <f t="shared" si="80"/>
        <v>sun</v>
      </c>
      <c r="G136" s="367">
        <f t="shared" si="108"/>
        <v>7</v>
      </c>
      <c r="H136" s="367" t="str">
        <f t="shared" si="80"/>
        <v>jupiter</v>
      </c>
      <c r="I136" s="369">
        <f t="shared" si="109"/>
        <v>25452.75</v>
      </c>
      <c r="J136" s="377">
        <f t="shared" si="110"/>
        <v>40</v>
      </c>
      <c r="K136" s="369">
        <f t="shared" si="113"/>
        <v>25492.75</v>
      </c>
      <c r="L136" s="360">
        <f t="shared" si="111"/>
        <v>113</v>
      </c>
      <c r="O136" s="381"/>
    </row>
    <row r="137" spans="1:15">
      <c r="A137" s="355">
        <f t="shared" si="107"/>
        <v>114</v>
      </c>
      <c r="B137" s="372">
        <f t="shared" si="112"/>
        <v>25542.75</v>
      </c>
      <c r="C137" s="357">
        <f t="shared" si="88"/>
        <v>9</v>
      </c>
      <c r="D137" s="358" t="str">
        <f t="shared" si="89"/>
        <v>mercury</v>
      </c>
      <c r="E137" s="368">
        <f t="shared" si="106"/>
        <v>3</v>
      </c>
      <c r="F137" s="367" t="str">
        <f t="shared" si="80"/>
        <v>sun</v>
      </c>
      <c r="G137" s="367">
        <f t="shared" si="108"/>
        <v>8</v>
      </c>
      <c r="H137" s="367" t="str">
        <f t="shared" si="80"/>
        <v>saturn</v>
      </c>
      <c r="I137" s="369">
        <f t="shared" si="109"/>
        <v>25492.75</v>
      </c>
      <c r="J137" s="377">
        <f t="shared" si="110"/>
        <v>50</v>
      </c>
      <c r="K137" s="369">
        <f t="shared" si="113"/>
        <v>25542.75</v>
      </c>
      <c r="L137" s="360">
        <f t="shared" si="111"/>
        <v>114</v>
      </c>
      <c r="O137" s="381"/>
    </row>
    <row r="138" spans="1:15">
      <c r="A138" s="355">
        <f t="shared" si="107"/>
        <v>115</v>
      </c>
      <c r="B138" s="372">
        <f t="shared" si="112"/>
        <v>25585.75</v>
      </c>
      <c r="C138" s="357">
        <f t="shared" si="88"/>
        <v>9</v>
      </c>
      <c r="D138" s="358" t="str">
        <f t="shared" si="89"/>
        <v>mercury</v>
      </c>
      <c r="E138" s="368">
        <f t="shared" si="106"/>
        <v>3</v>
      </c>
      <c r="F138" s="367" t="str">
        <f t="shared" si="80"/>
        <v>sun</v>
      </c>
      <c r="G138" s="367">
        <f t="shared" si="108"/>
        <v>9</v>
      </c>
      <c r="H138" s="367" t="str">
        <f t="shared" si="80"/>
        <v>mercury</v>
      </c>
      <c r="I138" s="369">
        <f t="shared" si="109"/>
        <v>25542.75</v>
      </c>
      <c r="J138" s="377">
        <f t="shared" si="110"/>
        <v>43</v>
      </c>
      <c r="K138" s="369">
        <f t="shared" si="113"/>
        <v>25585.75</v>
      </c>
      <c r="L138" s="360">
        <f t="shared" si="111"/>
        <v>115</v>
      </c>
      <c r="O138" s="381"/>
    </row>
    <row r="139" spans="1:15">
      <c r="A139" s="355">
        <f t="shared" si="107"/>
        <v>116</v>
      </c>
      <c r="B139" s="372">
        <f t="shared" si="112"/>
        <v>25604.75</v>
      </c>
      <c r="C139" s="357">
        <f t="shared" si="88"/>
        <v>9</v>
      </c>
      <c r="D139" s="358" t="str">
        <f t="shared" si="89"/>
        <v>mercury</v>
      </c>
      <c r="E139" s="368">
        <f t="shared" si="106"/>
        <v>3</v>
      </c>
      <c r="F139" s="367" t="str">
        <f t="shared" si="80"/>
        <v>sun</v>
      </c>
      <c r="G139" s="367">
        <f t="shared" si="108"/>
        <v>1</v>
      </c>
      <c r="H139" s="367" t="str">
        <f t="shared" si="80"/>
        <v>ketu</v>
      </c>
      <c r="I139" s="369">
        <f t="shared" si="109"/>
        <v>25585.75</v>
      </c>
      <c r="J139" s="377">
        <f t="shared" si="110"/>
        <v>19</v>
      </c>
      <c r="K139" s="369">
        <f t="shared" si="113"/>
        <v>25604.75</v>
      </c>
      <c r="L139" s="360">
        <f t="shared" si="111"/>
        <v>116</v>
      </c>
      <c r="O139" s="381"/>
    </row>
    <row r="140" spans="1:15">
      <c r="A140" s="355">
        <f t="shared" si="107"/>
        <v>117</v>
      </c>
      <c r="B140" s="372">
        <f t="shared" si="112"/>
        <v>25657.75</v>
      </c>
      <c r="C140" s="357">
        <f t="shared" si="88"/>
        <v>9</v>
      </c>
      <c r="D140" s="358" t="str">
        <f t="shared" si="89"/>
        <v>mercury</v>
      </c>
      <c r="E140" s="368">
        <f t="shared" si="106"/>
        <v>3</v>
      </c>
      <c r="F140" s="367" t="str">
        <f t="shared" si="80"/>
        <v>sun</v>
      </c>
      <c r="G140" s="367">
        <f t="shared" si="108"/>
        <v>2</v>
      </c>
      <c r="H140" s="367" t="str">
        <f t="shared" si="80"/>
        <v>venus</v>
      </c>
      <c r="I140" s="369">
        <f t="shared" si="109"/>
        <v>25604.75</v>
      </c>
      <c r="J140" s="377">
        <f t="shared" si="110"/>
        <v>53</v>
      </c>
      <c r="K140" s="369">
        <f t="shared" si="113"/>
        <v>25657.75</v>
      </c>
      <c r="L140" s="360">
        <f t="shared" si="111"/>
        <v>117</v>
      </c>
      <c r="N140" s="358">
        <f>SUM(J132:J140)</f>
        <v>312</v>
      </c>
      <c r="O140" s="381"/>
    </row>
    <row r="141" spans="1:15">
      <c r="A141" s="399"/>
      <c r="B141" s="386"/>
      <c r="C141" s="387">
        <f>C131</f>
        <v>9</v>
      </c>
      <c r="D141" s="373" t="str">
        <f>D131</f>
        <v>mercury</v>
      </c>
      <c r="E141" s="393">
        <f>IF(E131+1&gt;9,E131+1-9,E131+1)</f>
        <v>4</v>
      </c>
      <c r="F141" s="389" t="str">
        <f t="shared" si="80"/>
        <v>moon</v>
      </c>
      <c r="G141" s="389"/>
      <c r="H141" s="389"/>
      <c r="I141" s="390">
        <f>K131</f>
        <v>25657.75</v>
      </c>
      <c r="J141" s="373">
        <f>ROUND(J$100*VLOOKUP(E141,$A$848:$E$856,5,FALSE),0)</f>
        <v>497</v>
      </c>
      <c r="K141" s="390">
        <f>I141+J141</f>
        <v>26154.75</v>
      </c>
      <c r="L141" s="400"/>
      <c r="M141" s="373"/>
      <c r="N141" s="373"/>
      <c r="O141" s="381"/>
    </row>
    <row r="142" spans="1:15">
      <c r="A142" s="355">
        <f>A140+1</f>
        <v>118</v>
      </c>
      <c r="B142" s="372">
        <f>K142</f>
        <v>25697.75</v>
      </c>
      <c r="C142" s="357">
        <f t="shared" si="88"/>
        <v>9</v>
      </c>
      <c r="D142" s="358" t="str">
        <f t="shared" si="89"/>
        <v>mercury</v>
      </c>
      <c r="E142" s="368">
        <f t="shared" ref="E142:E150" si="114">E141</f>
        <v>4</v>
      </c>
      <c r="F142" s="367" t="str">
        <f t="shared" si="80"/>
        <v>moon</v>
      </c>
      <c r="G142" s="367">
        <f>E142</f>
        <v>4</v>
      </c>
      <c r="H142" s="367" t="str">
        <f t="shared" si="80"/>
        <v>moon</v>
      </c>
      <c r="I142" s="369">
        <f>K140</f>
        <v>25657.75</v>
      </c>
      <c r="J142" s="377">
        <f t="shared" ref="J142:J150" si="115">ROUND(J$141*VLOOKUP(G142,$A$848:$E$856,5,FALSE),0)</f>
        <v>40</v>
      </c>
      <c r="K142" s="369">
        <f>I142+J142</f>
        <v>25697.75</v>
      </c>
      <c r="L142" s="360">
        <f>L140+1</f>
        <v>118</v>
      </c>
      <c r="O142" s="381"/>
    </row>
    <row r="143" spans="1:15">
      <c r="A143" s="355">
        <f t="shared" ref="A143:A150" si="116">A142+1</f>
        <v>119</v>
      </c>
      <c r="B143" s="372">
        <f>K143</f>
        <v>25727.75</v>
      </c>
      <c r="C143" s="357">
        <f t="shared" si="88"/>
        <v>9</v>
      </c>
      <c r="D143" s="358" t="str">
        <f t="shared" si="89"/>
        <v>mercury</v>
      </c>
      <c r="E143" s="368">
        <f t="shared" si="114"/>
        <v>4</v>
      </c>
      <c r="F143" s="367" t="str">
        <f t="shared" si="80"/>
        <v>moon</v>
      </c>
      <c r="G143" s="367">
        <f t="shared" ref="G143:G150" si="117">IF(G142+1&gt;9,G142+1-9,G142+1)</f>
        <v>5</v>
      </c>
      <c r="H143" s="367" t="str">
        <f t="shared" si="80"/>
        <v>mars</v>
      </c>
      <c r="I143" s="369">
        <f t="shared" ref="I143:I150" si="118">K142</f>
        <v>25697.75</v>
      </c>
      <c r="J143" s="377">
        <f t="shared" si="115"/>
        <v>30</v>
      </c>
      <c r="K143" s="369">
        <f>I143+J143</f>
        <v>25727.75</v>
      </c>
      <c r="L143" s="360">
        <f t="shared" ref="L143:L150" si="119">L142+1</f>
        <v>119</v>
      </c>
      <c r="O143" s="381"/>
    </row>
    <row r="144" spans="1:15">
      <c r="A144" s="355">
        <f t="shared" si="116"/>
        <v>120</v>
      </c>
      <c r="B144" s="372">
        <f t="shared" ref="B144:B150" si="120">K144</f>
        <v>25802.75</v>
      </c>
      <c r="C144" s="357">
        <f t="shared" si="88"/>
        <v>9</v>
      </c>
      <c r="D144" s="358" t="str">
        <f t="shared" si="89"/>
        <v>mercury</v>
      </c>
      <c r="E144" s="368">
        <f t="shared" si="114"/>
        <v>4</v>
      </c>
      <c r="F144" s="367" t="str">
        <f t="shared" si="80"/>
        <v>moon</v>
      </c>
      <c r="G144" s="367">
        <f t="shared" si="117"/>
        <v>6</v>
      </c>
      <c r="H144" s="367" t="str">
        <f t="shared" si="80"/>
        <v>rahu</v>
      </c>
      <c r="I144" s="369">
        <f t="shared" si="118"/>
        <v>25727.75</v>
      </c>
      <c r="J144" s="377">
        <f t="shared" si="115"/>
        <v>75</v>
      </c>
      <c r="K144" s="369">
        <f t="shared" ref="K144:K150" si="121">I144+J144</f>
        <v>25802.75</v>
      </c>
      <c r="L144" s="360">
        <f t="shared" si="119"/>
        <v>120</v>
      </c>
      <c r="O144" s="381"/>
    </row>
    <row r="145" spans="1:15">
      <c r="A145" s="355">
        <f t="shared" si="116"/>
        <v>121</v>
      </c>
      <c r="B145" s="372">
        <f t="shared" si="120"/>
        <v>25867.75</v>
      </c>
      <c r="C145" s="357">
        <f t="shared" si="88"/>
        <v>9</v>
      </c>
      <c r="D145" s="358" t="str">
        <f t="shared" si="89"/>
        <v>mercury</v>
      </c>
      <c r="E145" s="368">
        <f t="shared" si="114"/>
        <v>4</v>
      </c>
      <c r="F145" s="367" t="str">
        <f t="shared" si="80"/>
        <v>moon</v>
      </c>
      <c r="G145" s="367">
        <f t="shared" si="117"/>
        <v>7</v>
      </c>
      <c r="H145" s="367" t="str">
        <f t="shared" si="80"/>
        <v>jupiter</v>
      </c>
      <c r="I145" s="369">
        <f t="shared" si="118"/>
        <v>25802.75</v>
      </c>
      <c r="J145" s="377">
        <f t="shared" si="115"/>
        <v>65</v>
      </c>
      <c r="K145" s="369">
        <f t="shared" si="121"/>
        <v>25867.75</v>
      </c>
      <c r="L145" s="360">
        <f t="shared" si="119"/>
        <v>121</v>
      </c>
      <c r="O145" s="381"/>
    </row>
    <row r="146" spans="1:15">
      <c r="A146" s="355">
        <f t="shared" si="116"/>
        <v>122</v>
      </c>
      <c r="B146" s="372">
        <f t="shared" si="120"/>
        <v>25947.75</v>
      </c>
      <c r="C146" s="357">
        <f t="shared" si="88"/>
        <v>9</v>
      </c>
      <c r="D146" s="358" t="str">
        <f t="shared" si="89"/>
        <v>mercury</v>
      </c>
      <c r="E146" s="368">
        <f t="shared" si="114"/>
        <v>4</v>
      </c>
      <c r="F146" s="367" t="str">
        <f t="shared" si="80"/>
        <v>moon</v>
      </c>
      <c r="G146" s="367">
        <f t="shared" si="117"/>
        <v>8</v>
      </c>
      <c r="H146" s="367" t="str">
        <f t="shared" si="80"/>
        <v>saturn</v>
      </c>
      <c r="I146" s="369">
        <f t="shared" si="118"/>
        <v>25867.75</v>
      </c>
      <c r="J146" s="377">
        <f t="shared" si="115"/>
        <v>80</v>
      </c>
      <c r="K146" s="369">
        <f t="shared" si="121"/>
        <v>25947.75</v>
      </c>
      <c r="L146" s="360">
        <f t="shared" si="119"/>
        <v>122</v>
      </c>
      <c r="O146" s="381"/>
    </row>
    <row r="147" spans="1:15">
      <c r="A147" s="355">
        <f t="shared" si="116"/>
        <v>123</v>
      </c>
      <c r="B147" s="372">
        <f t="shared" si="120"/>
        <v>26017.75</v>
      </c>
      <c r="C147" s="357">
        <f t="shared" si="88"/>
        <v>9</v>
      </c>
      <c r="D147" s="358" t="str">
        <f t="shared" si="89"/>
        <v>mercury</v>
      </c>
      <c r="E147" s="368">
        <f t="shared" si="114"/>
        <v>4</v>
      </c>
      <c r="F147" s="367" t="str">
        <f t="shared" si="80"/>
        <v>moon</v>
      </c>
      <c r="G147" s="367">
        <f t="shared" si="117"/>
        <v>9</v>
      </c>
      <c r="H147" s="367" t="str">
        <f t="shared" si="80"/>
        <v>mercury</v>
      </c>
      <c r="I147" s="369">
        <f t="shared" si="118"/>
        <v>25947.75</v>
      </c>
      <c r="J147" s="377">
        <f t="shared" si="115"/>
        <v>70</v>
      </c>
      <c r="K147" s="369">
        <f t="shared" si="121"/>
        <v>26017.75</v>
      </c>
      <c r="L147" s="360">
        <f t="shared" si="119"/>
        <v>123</v>
      </c>
      <c r="O147" s="381"/>
    </row>
    <row r="148" spans="1:15">
      <c r="A148" s="355">
        <f t="shared" si="116"/>
        <v>124</v>
      </c>
      <c r="B148" s="372">
        <f t="shared" si="120"/>
        <v>26047.75</v>
      </c>
      <c r="C148" s="357">
        <f t="shared" si="88"/>
        <v>9</v>
      </c>
      <c r="D148" s="358" t="str">
        <f t="shared" si="89"/>
        <v>mercury</v>
      </c>
      <c r="E148" s="368">
        <f t="shared" si="114"/>
        <v>4</v>
      </c>
      <c r="F148" s="367" t="str">
        <f t="shared" si="80"/>
        <v>moon</v>
      </c>
      <c r="G148" s="367">
        <f t="shared" si="117"/>
        <v>1</v>
      </c>
      <c r="H148" s="367" t="str">
        <f t="shared" si="80"/>
        <v>ketu</v>
      </c>
      <c r="I148" s="369">
        <f t="shared" si="118"/>
        <v>26017.75</v>
      </c>
      <c r="J148" s="377">
        <f t="shared" si="115"/>
        <v>30</v>
      </c>
      <c r="K148" s="369">
        <f t="shared" si="121"/>
        <v>26047.75</v>
      </c>
      <c r="L148" s="360">
        <f t="shared" si="119"/>
        <v>124</v>
      </c>
      <c r="O148" s="381"/>
    </row>
    <row r="149" spans="1:15">
      <c r="A149" s="355">
        <f t="shared" si="116"/>
        <v>125</v>
      </c>
      <c r="B149" s="372">
        <f t="shared" si="120"/>
        <v>26131.75</v>
      </c>
      <c r="C149" s="357">
        <f t="shared" si="88"/>
        <v>9</v>
      </c>
      <c r="D149" s="358" t="str">
        <f t="shared" si="89"/>
        <v>mercury</v>
      </c>
      <c r="E149" s="368">
        <f t="shared" si="114"/>
        <v>4</v>
      </c>
      <c r="F149" s="367" t="str">
        <f t="shared" si="80"/>
        <v>moon</v>
      </c>
      <c r="G149" s="367">
        <f t="shared" si="117"/>
        <v>2</v>
      </c>
      <c r="H149" s="367" t="str">
        <f t="shared" si="80"/>
        <v>venus</v>
      </c>
      <c r="I149" s="369">
        <f t="shared" si="118"/>
        <v>26047.75</v>
      </c>
      <c r="J149" s="377">
        <f t="shared" si="115"/>
        <v>84</v>
      </c>
      <c r="K149" s="369">
        <f t="shared" si="121"/>
        <v>26131.75</v>
      </c>
      <c r="L149" s="360">
        <f t="shared" si="119"/>
        <v>125</v>
      </c>
      <c r="O149" s="381"/>
    </row>
    <row r="150" spans="1:15">
      <c r="A150" s="355">
        <f t="shared" si="116"/>
        <v>126</v>
      </c>
      <c r="B150" s="372">
        <f t="shared" si="120"/>
        <v>26156.75</v>
      </c>
      <c r="C150" s="357">
        <f t="shared" si="88"/>
        <v>9</v>
      </c>
      <c r="D150" s="358" t="str">
        <f t="shared" si="89"/>
        <v>mercury</v>
      </c>
      <c r="E150" s="368">
        <f t="shared" si="114"/>
        <v>4</v>
      </c>
      <c r="F150" s="367" t="str">
        <f t="shared" si="80"/>
        <v>moon</v>
      </c>
      <c r="G150" s="367">
        <f t="shared" si="117"/>
        <v>3</v>
      </c>
      <c r="H150" s="367" t="str">
        <f t="shared" si="80"/>
        <v>sun</v>
      </c>
      <c r="I150" s="369">
        <f t="shared" si="118"/>
        <v>26131.75</v>
      </c>
      <c r="J150" s="377">
        <f t="shared" si="115"/>
        <v>25</v>
      </c>
      <c r="K150" s="369">
        <f t="shared" si="121"/>
        <v>26156.75</v>
      </c>
      <c r="L150" s="360">
        <f t="shared" si="119"/>
        <v>126</v>
      </c>
      <c r="N150" s="358">
        <f>SUM(J142:J150)</f>
        <v>499</v>
      </c>
      <c r="O150" s="381"/>
    </row>
    <row r="151" spans="1:15">
      <c r="A151" s="399"/>
      <c r="B151" s="386"/>
      <c r="C151" s="387">
        <f>C141</f>
        <v>9</v>
      </c>
      <c r="D151" s="373" t="str">
        <f>D141</f>
        <v>mercury</v>
      </c>
      <c r="E151" s="393">
        <f>IF(E141+1&gt;9,E141+1-9,E141+1)</f>
        <v>5</v>
      </c>
      <c r="F151" s="389" t="str">
        <f t="shared" si="80"/>
        <v>mars</v>
      </c>
      <c r="G151" s="389"/>
      <c r="H151" s="389"/>
      <c r="I151" s="390">
        <f>K141</f>
        <v>26154.75</v>
      </c>
      <c r="J151" s="373">
        <f>ROUND(J$100*VLOOKUP(E151,$A$848:$E$856,5,FALSE),0)</f>
        <v>373</v>
      </c>
      <c r="K151" s="390">
        <f>I151+J151</f>
        <v>26527.75</v>
      </c>
      <c r="L151" s="400"/>
      <c r="M151" s="373"/>
      <c r="N151" s="373"/>
      <c r="O151" s="381"/>
    </row>
    <row r="152" spans="1:15">
      <c r="A152" s="355">
        <f>A150+1</f>
        <v>127</v>
      </c>
      <c r="B152" s="372">
        <f>K152</f>
        <v>26178.75</v>
      </c>
      <c r="C152" s="357">
        <f t="shared" si="88"/>
        <v>9</v>
      </c>
      <c r="D152" s="358" t="str">
        <f t="shared" si="89"/>
        <v>mercury</v>
      </c>
      <c r="E152" s="368">
        <f t="shared" ref="E152:E160" si="122">E151</f>
        <v>5</v>
      </c>
      <c r="F152" s="367" t="str">
        <f t="shared" si="80"/>
        <v>mars</v>
      </c>
      <c r="G152" s="367">
        <f>E152</f>
        <v>5</v>
      </c>
      <c r="H152" s="367" t="str">
        <f t="shared" si="80"/>
        <v>mars</v>
      </c>
      <c r="I152" s="369">
        <f>K150</f>
        <v>26156.75</v>
      </c>
      <c r="J152" s="377">
        <f t="shared" ref="J152:J160" si="123">ROUND(J$151*VLOOKUP(G152,$A$848:$E$856,5,FALSE),0)</f>
        <v>22</v>
      </c>
      <c r="K152" s="369">
        <f>I152+J152</f>
        <v>26178.75</v>
      </c>
      <c r="L152" s="360">
        <f>L150+1</f>
        <v>127</v>
      </c>
      <c r="O152" s="381"/>
    </row>
    <row r="153" spans="1:15">
      <c r="A153" s="355">
        <f t="shared" ref="A153:A160" si="124">A152+1</f>
        <v>128</v>
      </c>
      <c r="B153" s="372">
        <f>K153</f>
        <v>26234.75</v>
      </c>
      <c r="C153" s="357">
        <f t="shared" si="88"/>
        <v>9</v>
      </c>
      <c r="D153" s="358" t="str">
        <f t="shared" si="89"/>
        <v>mercury</v>
      </c>
      <c r="E153" s="368">
        <f t="shared" si="122"/>
        <v>5</v>
      </c>
      <c r="F153" s="367" t="str">
        <f t="shared" si="80"/>
        <v>mars</v>
      </c>
      <c r="G153" s="367">
        <f t="shared" ref="G153:G160" si="125">IF(G152+1&gt;9,G152+1-9,G152+1)</f>
        <v>6</v>
      </c>
      <c r="H153" s="367" t="str">
        <f t="shared" si="80"/>
        <v>rahu</v>
      </c>
      <c r="I153" s="369">
        <f t="shared" ref="I153:I160" si="126">K152</f>
        <v>26178.75</v>
      </c>
      <c r="J153" s="377">
        <f t="shared" si="123"/>
        <v>56</v>
      </c>
      <c r="K153" s="369">
        <f>I153+J153</f>
        <v>26234.75</v>
      </c>
      <c r="L153" s="360">
        <f t="shared" ref="L153:L160" si="127">L152+1</f>
        <v>128</v>
      </c>
      <c r="O153" s="381"/>
    </row>
    <row r="154" spans="1:15">
      <c r="A154" s="355">
        <f t="shared" si="124"/>
        <v>129</v>
      </c>
      <c r="B154" s="372">
        <f t="shared" ref="B154:B160" si="128">K154</f>
        <v>26282.75</v>
      </c>
      <c r="C154" s="357">
        <f t="shared" si="88"/>
        <v>9</v>
      </c>
      <c r="D154" s="358" t="str">
        <f t="shared" si="89"/>
        <v>mercury</v>
      </c>
      <c r="E154" s="368">
        <f t="shared" si="122"/>
        <v>5</v>
      </c>
      <c r="F154" s="367" t="str">
        <f t="shared" si="80"/>
        <v>mars</v>
      </c>
      <c r="G154" s="367">
        <f t="shared" si="125"/>
        <v>7</v>
      </c>
      <c r="H154" s="367" t="str">
        <f t="shared" si="80"/>
        <v>jupiter</v>
      </c>
      <c r="I154" s="369">
        <f t="shared" si="126"/>
        <v>26234.75</v>
      </c>
      <c r="J154" s="377">
        <f t="shared" si="123"/>
        <v>48</v>
      </c>
      <c r="K154" s="369">
        <f t="shared" ref="K154:K160" si="129">I154+J154</f>
        <v>26282.75</v>
      </c>
      <c r="L154" s="360">
        <f t="shared" si="127"/>
        <v>129</v>
      </c>
      <c r="O154" s="381"/>
    </row>
    <row r="155" spans="1:15">
      <c r="A155" s="355">
        <f t="shared" si="124"/>
        <v>130</v>
      </c>
      <c r="B155" s="372">
        <f t="shared" si="128"/>
        <v>26342.75</v>
      </c>
      <c r="C155" s="357">
        <f t="shared" si="88"/>
        <v>9</v>
      </c>
      <c r="D155" s="358" t="str">
        <f t="shared" si="89"/>
        <v>mercury</v>
      </c>
      <c r="E155" s="368">
        <f t="shared" si="122"/>
        <v>5</v>
      </c>
      <c r="F155" s="367" t="str">
        <f t="shared" si="80"/>
        <v>mars</v>
      </c>
      <c r="G155" s="367">
        <f t="shared" si="125"/>
        <v>8</v>
      </c>
      <c r="H155" s="367" t="str">
        <f t="shared" si="80"/>
        <v>saturn</v>
      </c>
      <c r="I155" s="369">
        <f t="shared" si="126"/>
        <v>26282.75</v>
      </c>
      <c r="J155" s="377">
        <f t="shared" si="123"/>
        <v>60</v>
      </c>
      <c r="K155" s="369">
        <f t="shared" si="129"/>
        <v>26342.75</v>
      </c>
      <c r="L155" s="360">
        <f t="shared" si="127"/>
        <v>130</v>
      </c>
      <c r="O155" s="381"/>
    </row>
    <row r="156" spans="1:15">
      <c r="A156" s="355">
        <f t="shared" si="124"/>
        <v>131</v>
      </c>
      <c r="B156" s="372">
        <f t="shared" si="128"/>
        <v>26394.75</v>
      </c>
      <c r="C156" s="357">
        <f t="shared" si="88"/>
        <v>9</v>
      </c>
      <c r="D156" s="358" t="str">
        <f t="shared" si="89"/>
        <v>mercury</v>
      </c>
      <c r="E156" s="368">
        <f t="shared" si="122"/>
        <v>5</v>
      </c>
      <c r="F156" s="367" t="str">
        <f t="shared" si="80"/>
        <v>mars</v>
      </c>
      <c r="G156" s="367">
        <f t="shared" si="125"/>
        <v>9</v>
      </c>
      <c r="H156" s="367" t="str">
        <f t="shared" si="80"/>
        <v>mercury</v>
      </c>
      <c r="I156" s="369">
        <f t="shared" si="126"/>
        <v>26342.75</v>
      </c>
      <c r="J156" s="377">
        <f t="shared" si="123"/>
        <v>52</v>
      </c>
      <c r="K156" s="369">
        <f t="shared" si="129"/>
        <v>26394.75</v>
      </c>
      <c r="L156" s="360">
        <f t="shared" si="127"/>
        <v>131</v>
      </c>
      <c r="O156" s="381"/>
    </row>
    <row r="157" spans="1:15">
      <c r="A157" s="355">
        <f t="shared" si="124"/>
        <v>132</v>
      </c>
      <c r="B157" s="372">
        <f t="shared" si="128"/>
        <v>26416.75</v>
      </c>
      <c r="C157" s="357">
        <f t="shared" si="88"/>
        <v>9</v>
      </c>
      <c r="D157" s="358" t="str">
        <f t="shared" si="89"/>
        <v>mercury</v>
      </c>
      <c r="E157" s="368">
        <f t="shared" si="122"/>
        <v>5</v>
      </c>
      <c r="F157" s="367" t="str">
        <f t="shared" si="80"/>
        <v>mars</v>
      </c>
      <c r="G157" s="367">
        <f t="shared" si="125"/>
        <v>1</v>
      </c>
      <c r="H157" s="367" t="str">
        <f t="shared" si="80"/>
        <v>ketu</v>
      </c>
      <c r="I157" s="369">
        <f t="shared" si="126"/>
        <v>26394.75</v>
      </c>
      <c r="J157" s="377">
        <f t="shared" si="123"/>
        <v>22</v>
      </c>
      <c r="K157" s="369">
        <f t="shared" si="129"/>
        <v>26416.75</v>
      </c>
      <c r="L157" s="360">
        <f t="shared" si="127"/>
        <v>132</v>
      </c>
      <c r="O157" s="381"/>
    </row>
    <row r="158" spans="1:15">
      <c r="A158" s="355">
        <f t="shared" si="124"/>
        <v>133</v>
      </c>
      <c r="B158" s="372">
        <f t="shared" si="128"/>
        <v>26479.75</v>
      </c>
      <c r="C158" s="357">
        <f t="shared" si="88"/>
        <v>9</v>
      </c>
      <c r="D158" s="358" t="str">
        <f t="shared" si="89"/>
        <v>mercury</v>
      </c>
      <c r="E158" s="368">
        <f t="shared" si="122"/>
        <v>5</v>
      </c>
      <c r="F158" s="367" t="str">
        <f t="shared" si="80"/>
        <v>mars</v>
      </c>
      <c r="G158" s="367">
        <f t="shared" si="125"/>
        <v>2</v>
      </c>
      <c r="H158" s="367" t="str">
        <f t="shared" si="80"/>
        <v>venus</v>
      </c>
      <c r="I158" s="369">
        <f t="shared" si="126"/>
        <v>26416.75</v>
      </c>
      <c r="J158" s="377">
        <f t="shared" si="123"/>
        <v>63</v>
      </c>
      <c r="K158" s="369">
        <f t="shared" si="129"/>
        <v>26479.75</v>
      </c>
      <c r="L158" s="360">
        <f t="shared" si="127"/>
        <v>133</v>
      </c>
      <c r="O158" s="381"/>
    </row>
    <row r="159" spans="1:15">
      <c r="A159" s="355">
        <f t="shared" si="124"/>
        <v>134</v>
      </c>
      <c r="B159" s="372">
        <f t="shared" si="128"/>
        <v>26498.75</v>
      </c>
      <c r="C159" s="357">
        <f t="shared" si="88"/>
        <v>9</v>
      </c>
      <c r="D159" s="358" t="str">
        <f t="shared" si="89"/>
        <v>mercury</v>
      </c>
      <c r="E159" s="368">
        <f t="shared" si="122"/>
        <v>5</v>
      </c>
      <c r="F159" s="367" t="str">
        <f t="shared" si="80"/>
        <v>mars</v>
      </c>
      <c r="G159" s="367">
        <f t="shared" si="125"/>
        <v>3</v>
      </c>
      <c r="H159" s="367" t="str">
        <f t="shared" si="80"/>
        <v>sun</v>
      </c>
      <c r="I159" s="369">
        <f t="shared" si="126"/>
        <v>26479.75</v>
      </c>
      <c r="J159" s="377">
        <f t="shared" si="123"/>
        <v>19</v>
      </c>
      <c r="K159" s="369">
        <f t="shared" si="129"/>
        <v>26498.75</v>
      </c>
      <c r="L159" s="360">
        <f t="shared" si="127"/>
        <v>134</v>
      </c>
      <c r="O159" s="381"/>
    </row>
    <row r="160" spans="1:15">
      <c r="A160" s="355">
        <f t="shared" si="124"/>
        <v>135</v>
      </c>
      <c r="B160" s="372">
        <f t="shared" si="128"/>
        <v>26528.75</v>
      </c>
      <c r="C160" s="357">
        <f t="shared" si="88"/>
        <v>9</v>
      </c>
      <c r="D160" s="358" t="str">
        <f t="shared" si="89"/>
        <v>mercury</v>
      </c>
      <c r="E160" s="368">
        <f t="shared" si="122"/>
        <v>5</v>
      </c>
      <c r="F160" s="367" t="str">
        <f t="shared" si="80"/>
        <v>mars</v>
      </c>
      <c r="G160" s="367">
        <f t="shared" si="125"/>
        <v>4</v>
      </c>
      <c r="H160" s="367" t="str">
        <f t="shared" si="80"/>
        <v>moon</v>
      </c>
      <c r="I160" s="369">
        <f t="shared" si="126"/>
        <v>26498.75</v>
      </c>
      <c r="J160" s="377">
        <f t="shared" si="123"/>
        <v>30</v>
      </c>
      <c r="K160" s="369">
        <f t="shared" si="129"/>
        <v>26528.75</v>
      </c>
      <c r="L160" s="360">
        <f t="shared" si="127"/>
        <v>135</v>
      </c>
      <c r="N160" s="358">
        <f>SUM(J152:J160)</f>
        <v>372</v>
      </c>
      <c r="O160" s="381"/>
    </row>
    <row r="161" spans="1:15">
      <c r="A161" s="399"/>
      <c r="B161" s="386"/>
      <c r="C161" s="387">
        <f>C151</f>
        <v>9</v>
      </c>
      <c r="D161" s="373" t="str">
        <f>D151</f>
        <v>mercury</v>
      </c>
      <c r="E161" s="393">
        <f>IF(E151+1&gt;9,E151+1-9,E151+1)</f>
        <v>6</v>
      </c>
      <c r="F161" s="389" t="str">
        <f t="shared" si="80"/>
        <v>rahu</v>
      </c>
      <c r="G161" s="389"/>
      <c r="H161" s="389"/>
      <c r="I161" s="390">
        <f>K151</f>
        <v>26527.75</v>
      </c>
      <c r="J161" s="373">
        <f>ROUND(J$100*VLOOKUP(E161,$A$848:$E$856,5,FALSE),0)</f>
        <v>931</v>
      </c>
      <c r="K161" s="390">
        <f>I161+J161</f>
        <v>27458.75</v>
      </c>
      <c r="L161" s="400"/>
      <c r="M161" s="373"/>
      <c r="N161" s="373"/>
      <c r="O161" s="381"/>
    </row>
    <row r="162" spans="1:15">
      <c r="A162" s="355">
        <f>A160+1</f>
        <v>136</v>
      </c>
      <c r="B162" s="372">
        <f>K162</f>
        <v>26668.75</v>
      </c>
      <c r="C162" s="357">
        <f t="shared" si="88"/>
        <v>9</v>
      </c>
      <c r="D162" s="358" t="str">
        <f t="shared" si="89"/>
        <v>mercury</v>
      </c>
      <c r="E162" s="368">
        <f t="shared" ref="E162:E170" si="130">E161</f>
        <v>6</v>
      </c>
      <c r="F162" s="367" t="str">
        <f t="shared" si="80"/>
        <v>rahu</v>
      </c>
      <c r="G162" s="367">
        <f>E162</f>
        <v>6</v>
      </c>
      <c r="H162" s="367" t="str">
        <f t="shared" si="80"/>
        <v>rahu</v>
      </c>
      <c r="I162" s="369">
        <f>K160</f>
        <v>26528.75</v>
      </c>
      <c r="J162" s="377">
        <f t="shared" ref="J162:J170" si="131">ROUND(J$161*VLOOKUP(G162,$A$848:$E$856,5,FALSE),0)</f>
        <v>140</v>
      </c>
      <c r="K162" s="369">
        <f>I162+J162</f>
        <v>26668.75</v>
      </c>
      <c r="L162" s="360">
        <f>L160+1</f>
        <v>136</v>
      </c>
      <c r="O162" s="381"/>
    </row>
    <row r="163" spans="1:15">
      <c r="A163" s="355">
        <f t="shared" ref="A163:A170" si="132">A162+1</f>
        <v>137</v>
      </c>
      <c r="B163" s="372">
        <f>K163</f>
        <v>26789.75</v>
      </c>
      <c r="C163" s="357">
        <f t="shared" si="88"/>
        <v>9</v>
      </c>
      <c r="D163" s="358" t="str">
        <f t="shared" si="89"/>
        <v>mercury</v>
      </c>
      <c r="E163" s="368">
        <f t="shared" si="130"/>
        <v>6</v>
      </c>
      <c r="F163" s="367" t="str">
        <f t="shared" si="80"/>
        <v>rahu</v>
      </c>
      <c r="G163" s="367">
        <f t="shared" ref="G163:G170" si="133">IF(G162+1&gt;9,G162+1-9,G162+1)</f>
        <v>7</v>
      </c>
      <c r="H163" s="367" t="str">
        <f t="shared" si="80"/>
        <v>jupiter</v>
      </c>
      <c r="I163" s="369">
        <f t="shared" ref="I163:I170" si="134">K162</f>
        <v>26668.75</v>
      </c>
      <c r="J163" s="377">
        <f t="shared" si="131"/>
        <v>121</v>
      </c>
      <c r="K163" s="369">
        <f>I163+J163</f>
        <v>26789.75</v>
      </c>
      <c r="L163" s="360">
        <f t="shared" ref="L163:L170" si="135">L162+1</f>
        <v>137</v>
      </c>
      <c r="O163" s="381"/>
    </row>
    <row r="164" spans="1:15">
      <c r="A164" s="355">
        <f t="shared" si="132"/>
        <v>138</v>
      </c>
      <c r="B164" s="372">
        <f t="shared" ref="B164:B170" si="136">K164</f>
        <v>26938.75</v>
      </c>
      <c r="C164" s="357">
        <f t="shared" si="88"/>
        <v>9</v>
      </c>
      <c r="D164" s="358" t="str">
        <f t="shared" si="89"/>
        <v>mercury</v>
      </c>
      <c r="E164" s="368">
        <f t="shared" si="130"/>
        <v>6</v>
      </c>
      <c r="F164" s="367" t="str">
        <f t="shared" si="80"/>
        <v>rahu</v>
      </c>
      <c r="G164" s="367">
        <f t="shared" si="133"/>
        <v>8</v>
      </c>
      <c r="H164" s="367" t="str">
        <f t="shared" si="80"/>
        <v>saturn</v>
      </c>
      <c r="I164" s="369">
        <f t="shared" si="134"/>
        <v>26789.75</v>
      </c>
      <c r="J164" s="377">
        <f t="shared" si="131"/>
        <v>149</v>
      </c>
      <c r="K164" s="369">
        <f t="shared" ref="K164:K170" si="137">I164+J164</f>
        <v>26938.75</v>
      </c>
      <c r="L164" s="360">
        <f t="shared" si="135"/>
        <v>138</v>
      </c>
      <c r="O164" s="381"/>
    </row>
    <row r="165" spans="1:15">
      <c r="A165" s="355">
        <f t="shared" si="132"/>
        <v>139</v>
      </c>
      <c r="B165" s="372">
        <f t="shared" si="136"/>
        <v>27068.75</v>
      </c>
      <c r="C165" s="357">
        <f t="shared" si="88"/>
        <v>9</v>
      </c>
      <c r="D165" s="358" t="str">
        <f t="shared" si="89"/>
        <v>mercury</v>
      </c>
      <c r="E165" s="368">
        <f t="shared" si="130"/>
        <v>6</v>
      </c>
      <c r="F165" s="367" t="str">
        <f t="shared" si="80"/>
        <v>rahu</v>
      </c>
      <c r="G165" s="367">
        <f t="shared" si="133"/>
        <v>9</v>
      </c>
      <c r="H165" s="367" t="str">
        <f t="shared" si="80"/>
        <v>mercury</v>
      </c>
      <c r="I165" s="369">
        <f t="shared" si="134"/>
        <v>26938.75</v>
      </c>
      <c r="J165" s="377">
        <f t="shared" si="131"/>
        <v>130</v>
      </c>
      <c r="K165" s="369">
        <f t="shared" si="137"/>
        <v>27068.75</v>
      </c>
      <c r="L165" s="360">
        <f t="shared" si="135"/>
        <v>139</v>
      </c>
      <c r="O165" s="381"/>
    </row>
    <row r="166" spans="1:15">
      <c r="A166" s="355">
        <f t="shared" si="132"/>
        <v>140</v>
      </c>
      <c r="B166" s="372">
        <f t="shared" si="136"/>
        <v>27124.75</v>
      </c>
      <c r="C166" s="357">
        <f t="shared" si="88"/>
        <v>9</v>
      </c>
      <c r="D166" s="358" t="str">
        <f t="shared" si="89"/>
        <v>mercury</v>
      </c>
      <c r="E166" s="368">
        <f t="shared" si="130"/>
        <v>6</v>
      </c>
      <c r="F166" s="367" t="str">
        <f t="shared" si="80"/>
        <v>rahu</v>
      </c>
      <c r="G166" s="367">
        <f t="shared" si="133"/>
        <v>1</v>
      </c>
      <c r="H166" s="367" t="str">
        <f t="shared" si="80"/>
        <v>ketu</v>
      </c>
      <c r="I166" s="369">
        <f t="shared" si="134"/>
        <v>27068.75</v>
      </c>
      <c r="J166" s="377">
        <f t="shared" si="131"/>
        <v>56</v>
      </c>
      <c r="K166" s="369">
        <f t="shared" si="137"/>
        <v>27124.75</v>
      </c>
      <c r="L166" s="360">
        <f t="shared" si="135"/>
        <v>140</v>
      </c>
      <c r="O166" s="381"/>
    </row>
    <row r="167" spans="1:15">
      <c r="A167" s="355">
        <f t="shared" si="132"/>
        <v>141</v>
      </c>
      <c r="B167" s="372">
        <f t="shared" si="136"/>
        <v>27282.75</v>
      </c>
      <c r="C167" s="357">
        <f t="shared" si="88"/>
        <v>9</v>
      </c>
      <c r="D167" s="358" t="str">
        <f t="shared" si="89"/>
        <v>mercury</v>
      </c>
      <c r="E167" s="368">
        <f t="shared" si="130"/>
        <v>6</v>
      </c>
      <c r="F167" s="367" t="str">
        <f t="shared" si="80"/>
        <v>rahu</v>
      </c>
      <c r="G167" s="367">
        <f t="shared" si="133"/>
        <v>2</v>
      </c>
      <c r="H167" s="367" t="str">
        <f t="shared" si="80"/>
        <v>venus</v>
      </c>
      <c r="I167" s="369">
        <f t="shared" si="134"/>
        <v>27124.75</v>
      </c>
      <c r="J167" s="377">
        <f t="shared" si="131"/>
        <v>158</v>
      </c>
      <c r="K167" s="369">
        <f t="shared" si="137"/>
        <v>27282.75</v>
      </c>
      <c r="L167" s="360">
        <f t="shared" si="135"/>
        <v>141</v>
      </c>
      <c r="O167" s="381"/>
    </row>
    <row r="168" spans="1:15">
      <c r="A168" s="355">
        <f t="shared" si="132"/>
        <v>142</v>
      </c>
      <c r="B168" s="372">
        <f t="shared" si="136"/>
        <v>27329.75</v>
      </c>
      <c r="C168" s="357">
        <f t="shared" si="88"/>
        <v>9</v>
      </c>
      <c r="D168" s="358" t="str">
        <f t="shared" si="89"/>
        <v>mercury</v>
      </c>
      <c r="E168" s="368">
        <f t="shared" si="130"/>
        <v>6</v>
      </c>
      <c r="F168" s="367" t="str">
        <f t="shared" si="80"/>
        <v>rahu</v>
      </c>
      <c r="G168" s="367">
        <f t="shared" si="133"/>
        <v>3</v>
      </c>
      <c r="H168" s="367" t="str">
        <f t="shared" si="80"/>
        <v>sun</v>
      </c>
      <c r="I168" s="369">
        <f t="shared" si="134"/>
        <v>27282.75</v>
      </c>
      <c r="J168" s="377">
        <f t="shared" si="131"/>
        <v>47</v>
      </c>
      <c r="K168" s="369">
        <f t="shared" si="137"/>
        <v>27329.75</v>
      </c>
      <c r="L168" s="360">
        <f t="shared" si="135"/>
        <v>142</v>
      </c>
      <c r="O168" s="381"/>
    </row>
    <row r="169" spans="1:15">
      <c r="A169" s="355">
        <f t="shared" si="132"/>
        <v>143</v>
      </c>
      <c r="B169" s="372">
        <f t="shared" si="136"/>
        <v>27403.75</v>
      </c>
      <c r="C169" s="357">
        <f t="shared" si="88"/>
        <v>9</v>
      </c>
      <c r="D169" s="358" t="str">
        <f t="shared" si="89"/>
        <v>mercury</v>
      </c>
      <c r="E169" s="368">
        <f t="shared" si="130"/>
        <v>6</v>
      </c>
      <c r="F169" s="367" t="str">
        <f t="shared" si="80"/>
        <v>rahu</v>
      </c>
      <c r="G169" s="367">
        <f t="shared" si="133"/>
        <v>4</v>
      </c>
      <c r="H169" s="367" t="str">
        <f t="shared" si="80"/>
        <v>moon</v>
      </c>
      <c r="I169" s="369">
        <f t="shared" si="134"/>
        <v>27329.75</v>
      </c>
      <c r="J169" s="377">
        <f t="shared" si="131"/>
        <v>74</v>
      </c>
      <c r="K169" s="369">
        <f t="shared" si="137"/>
        <v>27403.75</v>
      </c>
      <c r="L169" s="360">
        <f t="shared" si="135"/>
        <v>143</v>
      </c>
      <c r="O169" s="381"/>
    </row>
    <row r="170" spans="1:15">
      <c r="A170" s="355">
        <f t="shared" si="132"/>
        <v>144</v>
      </c>
      <c r="B170" s="372">
        <f t="shared" si="136"/>
        <v>27459.75</v>
      </c>
      <c r="C170" s="357">
        <f t="shared" si="88"/>
        <v>9</v>
      </c>
      <c r="D170" s="358" t="str">
        <f t="shared" si="89"/>
        <v>mercury</v>
      </c>
      <c r="E170" s="368">
        <f t="shared" si="130"/>
        <v>6</v>
      </c>
      <c r="F170" s="367" t="str">
        <f t="shared" si="80"/>
        <v>rahu</v>
      </c>
      <c r="G170" s="367">
        <f t="shared" si="133"/>
        <v>5</v>
      </c>
      <c r="H170" s="367" t="str">
        <f t="shared" si="80"/>
        <v>mars</v>
      </c>
      <c r="I170" s="369">
        <f t="shared" si="134"/>
        <v>27403.75</v>
      </c>
      <c r="J170" s="377">
        <f t="shared" si="131"/>
        <v>56</v>
      </c>
      <c r="K170" s="369">
        <f t="shared" si="137"/>
        <v>27459.75</v>
      </c>
      <c r="L170" s="360">
        <f t="shared" si="135"/>
        <v>144</v>
      </c>
      <c r="N170" s="358">
        <f>SUM(J162:J170)</f>
        <v>931</v>
      </c>
      <c r="O170" s="381"/>
    </row>
    <row r="171" spans="1:15">
      <c r="A171" s="399"/>
      <c r="B171" s="386"/>
      <c r="C171" s="387">
        <f>C161</f>
        <v>9</v>
      </c>
      <c r="D171" s="373" t="str">
        <f>D161</f>
        <v>mercury</v>
      </c>
      <c r="E171" s="393">
        <f>IF(E161+1&gt;9,E161+1-9,E161+1)</f>
        <v>7</v>
      </c>
      <c r="F171" s="389" t="str">
        <f t="shared" si="80"/>
        <v>jupiter</v>
      </c>
      <c r="G171" s="389"/>
      <c r="H171" s="389"/>
      <c r="I171" s="390">
        <f>K161</f>
        <v>27458.75</v>
      </c>
      <c r="J171" s="373">
        <f>ROUND(J$100*VLOOKUP(E171,$A$848:$E$856,5,FALSE),0)</f>
        <v>807</v>
      </c>
      <c r="K171" s="390">
        <f>I171+J171</f>
        <v>28265.75</v>
      </c>
      <c r="L171" s="400"/>
      <c r="M171" s="373"/>
      <c r="N171" s="373"/>
      <c r="O171" s="381"/>
    </row>
    <row r="172" spans="1:15">
      <c r="A172" s="355">
        <f>A170+1</f>
        <v>145</v>
      </c>
      <c r="B172" s="372">
        <f>K172</f>
        <v>27564.75</v>
      </c>
      <c r="C172" s="357">
        <f t="shared" si="88"/>
        <v>9</v>
      </c>
      <c r="D172" s="358" t="str">
        <f t="shared" si="89"/>
        <v>mercury</v>
      </c>
      <c r="E172" s="368">
        <f t="shared" ref="E172:E180" si="138">E171</f>
        <v>7</v>
      </c>
      <c r="F172" s="367" t="str">
        <f t="shared" si="80"/>
        <v>jupiter</v>
      </c>
      <c r="G172" s="367">
        <f>E172</f>
        <v>7</v>
      </c>
      <c r="H172" s="367" t="str">
        <f t="shared" si="80"/>
        <v>jupiter</v>
      </c>
      <c r="I172" s="369">
        <f>K170</f>
        <v>27459.75</v>
      </c>
      <c r="J172" s="377">
        <f t="shared" ref="J172:J180" si="139">ROUND(J$171*VLOOKUP(G172,$A$848:$E$856,5,FALSE),0)</f>
        <v>105</v>
      </c>
      <c r="K172" s="369">
        <f>I172+J172</f>
        <v>27564.75</v>
      </c>
      <c r="L172" s="360">
        <f>L170+1</f>
        <v>145</v>
      </c>
      <c r="O172" s="381"/>
    </row>
    <row r="173" spans="1:15">
      <c r="A173" s="355">
        <f t="shared" ref="A173:A180" si="140">A172+1</f>
        <v>146</v>
      </c>
      <c r="B173" s="372">
        <f>K173</f>
        <v>27693.75</v>
      </c>
      <c r="C173" s="357">
        <f t="shared" si="88"/>
        <v>9</v>
      </c>
      <c r="D173" s="358" t="str">
        <f t="shared" si="89"/>
        <v>mercury</v>
      </c>
      <c r="E173" s="368">
        <f t="shared" si="138"/>
        <v>7</v>
      </c>
      <c r="F173" s="367" t="str">
        <f t="shared" si="80"/>
        <v>jupiter</v>
      </c>
      <c r="G173" s="367">
        <f t="shared" ref="G173:G180" si="141">IF(G172+1&gt;9,G172+1-9,G172+1)</f>
        <v>8</v>
      </c>
      <c r="H173" s="367" t="str">
        <f t="shared" si="80"/>
        <v>saturn</v>
      </c>
      <c r="I173" s="369">
        <f t="shared" ref="I173:I180" si="142">K172</f>
        <v>27564.75</v>
      </c>
      <c r="J173" s="377">
        <f t="shared" si="139"/>
        <v>129</v>
      </c>
      <c r="K173" s="369">
        <f>I173+J173</f>
        <v>27693.75</v>
      </c>
      <c r="L173" s="360">
        <f t="shared" ref="L173:L180" si="143">L172+1</f>
        <v>146</v>
      </c>
      <c r="O173" s="381"/>
    </row>
    <row r="174" spans="1:15">
      <c r="A174" s="355">
        <f t="shared" si="140"/>
        <v>147</v>
      </c>
      <c r="B174" s="372">
        <f t="shared" ref="B174:B180" si="144">K174</f>
        <v>27806.75</v>
      </c>
      <c r="C174" s="357">
        <f t="shared" si="88"/>
        <v>9</v>
      </c>
      <c r="D174" s="358" t="str">
        <f t="shared" si="89"/>
        <v>mercury</v>
      </c>
      <c r="E174" s="368">
        <f t="shared" si="138"/>
        <v>7</v>
      </c>
      <c r="F174" s="367" t="str">
        <f t="shared" si="80"/>
        <v>jupiter</v>
      </c>
      <c r="G174" s="367">
        <f t="shared" si="141"/>
        <v>9</v>
      </c>
      <c r="H174" s="367" t="str">
        <f t="shared" si="80"/>
        <v>mercury</v>
      </c>
      <c r="I174" s="369">
        <f t="shared" si="142"/>
        <v>27693.75</v>
      </c>
      <c r="J174" s="377">
        <f t="shared" si="139"/>
        <v>113</v>
      </c>
      <c r="K174" s="369">
        <f t="shared" ref="K174:K180" si="145">I174+J174</f>
        <v>27806.75</v>
      </c>
      <c r="L174" s="360">
        <f t="shared" si="143"/>
        <v>147</v>
      </c>
      <c r="O174" s="381"/>
    </row>
    <row r="175" spans="1:15">
      <c r="A175" s="355">
        <f t="shared" si="140"/>
        <v>148</v>
      </c>
      <c r="B175" s="372">
        <f t="shared" si="144"/>
        <v>27854.75</v>
      </c>
      <c r="C175" s="357">
        <f t="shared" si="88"/>
        <v>9</v>
      </c>
      <c r="D175" s="358" t="str">
        <f t="shared" si="89"/>
        <v>mercury</v>
      </c>
      <c r="E175" s="368">
        <f t="shared" si="138"/>
        <v>7</v>
      </c>
      <c r="F175" s="367" t="str">
        <f t="shared" si="80"/>
        <v>jupiter</v>
      </c>
      <c r="G175" s="367">
        <f t="shared" si="141"/>
        <v>1</v>
      </c>
      <c r="H175" s="367" t="str">
        <f t="shared" si="80"/>
        <v>ketu</v>
      </c>
      <c r="I175" s="369">
        <f t="shared" si="142"/>
        <v>27806.75</v>
      </c>
      <c r="J175" s="377">
        <f t="shared" si="139"/>
        <v>48</v>
      </c>
      <c r="K175" s="369">
        <f t="shared" si="145"/>
        <v>27854.75</v>
      </c>
      <c r="L175" s="360">
        <f t="shared" si="143"/>
        <v>148</v>
      </c>
      <c r="O175" s="381"/>
    </row>
    <row r="176" spans="1:15">
      <c r="A176" s="355">
        <f t="shared" si="140"/>
        <v>149</v>
      </c>
      <c r="B176" s="372">
        <f t="shared" si="144"/>
        <v>27991.75</v>
      </c>
      <c r="C176" s="357">
        <f t="shared" si="88"/>
        <v>9</v>
      </c>
      <c r="D176" s="358" t="str">
        <f t="shared" si="89"/>
        <v>mercury</v>
      </c>
      <c r="E176" s="368">
        <f t="shared" si="138"/>
        <v>7</v>
      </c>
      <c r="F176" s="367" t="str">
        <f t="shared" si="80"/>
        <v>jupiter</v>
      </c>
      <c r="G176" s="367">
        <f t="shared" si="141"/>
        <v>2</v>
      </c>
      <c r="H176" s="367" t="str">
        <f t="shared" si="80"/>
        <v>venus</v>
      </c>
      <c r="I176" s="369">
        <f t="shared" si="142"/>
        <v>27854.75</v>
      </c>
      <c r="J176" s="377">
        <f t="shared" si="139"/>
        <v>137</v>
      </c>
      <c r="K176" s="369">
        <f t="shared" si="145"/>
        <v>27991.75</v>
      </c>
      <c r="L176" s="360">
        <f t="shared" si="143"/>
        <v>149</v>
      </c>
      <c r="O176" s="381"/>
    </row>
    <row r="177" spans="1:16">
      <c r="A177" s="355">
        <f t="shared" si="140"/>
        <v>150</v>
      </c>
      <c r="B177" s="372">
        <f t="shared" si="144"/>
        <v>28031.75</v>
      </c>
      <c r="C177" s="357">
        <f t="shared" si="88"/>
        <v>9</v>
      </c>
      <c r="D177" s="358" t="str">
        <f t="shared" si="89"/>
        <v>mercury</v>
      </c>
      <c r="E177" s="368">
        <f t="shared" si="138"/>
        <v>7</v>
      </c>
      <c r="F177" s="367" t="str">
        <f t="shared" si="80"/>
        <v>jupiter</v>
      </c>
      <c r="G177" s="367">
        <f t="shared" si="141"/>
        <v>3</v>
      </c>
      <c r="H177" s="367" t="str">
        <f t="shared" si="80"/>
        <v>sun</v>
      </c>
      <c r="I177" s="369">
        <f t="shared" si="142"/>
        <v>27991.75</v>
      </c>
      <c r="J177" s="377">
        <f t="shared" si="139"/>
        <v>40</v>
      </c>
      <c r="K177" s="369">
        <f t="shared" si="145"/>
        <v>28031.75</v>
      </c>
      <c r="L177" s="360">
        <f t="shared" si="143"/>
        <v>150</v>
      </c>
      <c r="O177" s="381"/>
    </row>
    <row r="178" spans="1:16">
      <c r="A178" s="355">
        <f t="shared" si="140"/>
        <v>151</v>
      </c>
      <c r="B178" s="372">
        <f t="shared" si="144"/>
        <v>28096.75</v>
      </c>
      <c r="C178" s="357">
        <f t="shared" si="88"/>
        <v>9</v>
      </c>
      <c r="D178" s="358" t="str">
        <f t="shared" si="89"/>
        <v>mercury</v>
      </c>
      <c r="E178" s="368">
        <f t="shared" si="138"/>
        <v>7</v>
      </c>
      <c r="F178" s="367" t="str">
        <f t="shared" si="80"/>
        <v>jupiter</v>
      </c>
      <c r="G178" s="367">
        <f t="shared" si="141"/>
        <v>4</v>
      </c>
      <c r="H178" s="367" t="str">
        <f t="shared" si="80"/>
        <v>moon</v>
      </c>
      <c r="I178" s="369">
        <f t="shared" si="142"/>
        <v>28031.75</v>
      </c>
      <c r="J178" s="377">
        <f t="shared" si="139"/>
        <v>65</v>
      </c>
      <c r="K178" s="369">
        <f t="shared" si="145"/>
        <v>28096.75</v>
      </c>
      <c r="L178" s="360">
        <f t="shared" si="143"/>
        <v>151</v>
      </c>
      <c r="O178" s="381"/>
    </row>
    <row r="179" spans="1:16">
      <c r="A179" s="355">
        <f t="shared" si="140"/>
        <v>152</v>
      </c>
      <c r="B179" s="372">
        <f t="shared" si="144"/>
        <v>28144.75</v>
      </c>
      <c r="C179" s="357">
        <f t="shared" si="88"/>
        <v>9</v>
      </c>
      <c r="D179" s="358" t="str">
        <f t="shared" si="89"/>
        <v>mercury</v>
      </c>
      <c r="E179" s="368">
        <f t="shared" si="138"/>
        <v>7</v>
      </c>
      <c r="F179" s="367" t="str">
        <f t="shared" si="80"/>
        <v>jupiter</v>
      </c>
      <c r="G179" s="367">
        <f t="shared" si="141"/>
        <v>5</v>
      </c>
      <c r="H179" s="367" t="str">
        <f t="shared" si="80"/>
        <v>mars</v>
      </c>
      <c r="I179" s="369">
        <f t="shared" si="142"/>
        <v>28096.75</v>
      </c>
      <c r="J179" s="377">
        <f t="shared" si="139"/>
        <v>48</v>
      </c>
      <c r="K179" s="369">
        <f t="shared" si="145"/>
        <v>28144.75</v>
      </c>
      <c r="L179" s="360">
        <f t="shared" si="143"/>
        <v>152</v>
      </c>
      <c r="O179" s="381"/>
    </row>
    <row r="180" spans="1:16">
      <c r="A180" s="355">
        <f t="shared" si="140"/>
        <v>153</v>
      </c>
      <c r="B180" s="372">
        <f t="shared" si="144"/>
        <v>28265.75</v>
      </c>
      <c r="C180" s="357">
        <f t="shared" si="88"/>
        <v>9</v>
      </c>
      <c r="D180" s="358" t="str">
        <f t="shared" si="89"/>
        <v>mercury</v>
      </c>
      <c r="E180" s="368">
        <f t="shared" si="138"/>
        <v>7</v>
      </c>
      <c r="F180" s="367" t="str">
        <f t="shared" si="80"/>
        <v>jupiter</v>
      </c>
      <c r="G180" s="367">
        <f t="shared" si="141"/>
        <v>6</v>
      </c>
      <c r="H180" s="367" t="str">
        <f t="shared" si="80"/>
        <v>rahu</v>
      </c>
      <c r="I180" s="369">
        <f t="shared" si="142"/>
        <v>28144.75</v>
      </c>
      <c r="J180" s="377">
        <f t="shared" si="139"/>
        <v>121</v>
      </c>
      <c r="K180" s="369">
        <f t="shared" si="145"/>
        <v>28265.75</v>
      </c>
      <c r="L180" s="360">
        <f t="shared" si="143"/>
        <v>153</v>
      </c>
      <c r="N180" s="358">
        <f>SUM(J172:J180)</f>
        <v>806</v>
      </c>
      <c r="O180" s="381"/>
    </row>
    <row r="181" spans="1:16">
      <c r="A181" s="399"/>
      <c r="B181" s="386"/>
      <c r="C181" s="387">
        <f>C171</f>
        <v>9</v>
      </c>
      <c r="D181" s="373" t="str">
        <f>D171</f>
        <v>mercury</v>
      </c>
      <c r="E181" s="393">
        <f>IF(E171+1&gt;9,E171+1-9,E171+1)</f>
        <v>8</v>
      </c>
      <c r="F181" s="389" t="str">
        <f t="shared" si="80"/>
        <v>saturn</v>
      </c>
      <c r="G181" s="389"/>
      <c r="H181" s="389"/>
      <c r="I181" s="390">
        <f>K171</f>
        <v>28265.75</v>
      </c>
      <c r="J181" s="373">
        <f>ROUND(J$100*VLOOKUP(E181,$A$848:$E$856,5,FALSE),0)</f>
        <v>993</v>
      </c>
      <c r="K181" s="390">
        <f>I181+J181</f>
        <v>29258.75</v>
      </c>
      <c r="L181" s="400"/>
      <c r="M181" s="390"/>
      <c r="N181" s="373"/>
      <c r="O181" s="381"/>
    </row>
    <row r="182" spans="1:16">
      <c r="A182" s="355">
        <f>A180+1</f>
        <v>154</v>
      </c>
      <c r="B182" s="372">
        <f>K182</f>
        <v>28424.75</v>
      </c>
      <c r="C182" s="357">
        <f t="shared" si="88"/>
        <v>9</v>
      </c>
      <c r="D182" s="358" t="str">
        <f t="shared" si="89"/>
        <v>mercury</v>
      </c>
      <c r="E182" s="368">
        <f t="shared" ref="E182:E190" si="146">E181</f>
        <v>8</v>
      </c>
      <c r="F182" s="367" t="str">
        <f t="shared" si="80"/>
        <v>saturn</v>
      </c>
      <c r="G182" s="367">
        <f>E182</f>
        <v>8</v>
      </c>
      <c r="H182" s="367" t="str">
        <f t="shared" si="80"/>
        <v>saturn</v>
      </c>
      <c r="I182" s="369">
        <f>K180</f>
        <v>28265.75</v>
      </c>
      <c r="J182" s="377">
        <f t="shared" ref="J182:J190" si="147">ROUND(J$181*VLOOKUP(G182,$A$848:$E$856,5,FALSE),0)</f>
        <v>159</v>
      </c>
      <c r="K182" s="369">
        <f>I182+J182</f>
        <v>28424.75</v>
      </c>
      <c r="L182" s="360">
        <f>L180+1</f>
        <v>154</v>
      </c>
      <c r="M182" s="369"/>
      <c r="O182" s="381"/>
    </row>
    <row r="183" spans="1:16">
      <c r="A183" s="355">
        <f t="shared" ref="A183:A190" si="148">A182+1</f>
        <v>155</v>
      </c>
      <c r="B183" s="372">
        <f>K183</f>
        <v>28563.75</v>
      </c>
      <c r="C183" s="357">
        <f t="shared" si="88"/>
        <v>9</v>
      </c>
      <c r="D183" s="358" t="str">
        <f t="shared" si="89"/>
        <v>mercury</v>
      </c>
      <c r="E183" s="368">
        <f t="shared" si="146"/>
        <v>8</v>
      </c>
      <c r="F183" s="367" t="str">
        <f t="shared" si="80"/>
        <v>saturn</v>
      </c>
      <c r="G183" s="367">
        <f t="shared" ref="G183:G190" si="149">IF(G182+1&gt;9,G182+1-9,G182+1)</f>
        <v>9</v>
      </c>
      <c r="H183" s="367" t="str">
        <f t="shared" si="80"/>
        <v>mercury</v>
      </c>
      <c r="I183" s="369">
        <f t="shared" ref="I183:I190" si="150">K182</f>
        <v>28424.75</v>
      </c>
      <c r="J183" s="377">
        <f t="shared" si="147"/>
        <v>139</v>
      </c>
      <c r="K183" s="369">
        <f>I183+J183</f>
        <v>28563.75</v>
      </c>
      <c r="L183" s="360">
        <f t="shared" ref="L183:L190" si="151">L182+1</f>
        <v>155</v>
      </c>
      <c r="M183" s="369"/>
      <c r="O183" s="381"/>
    </row>
    <row r="184" spans="1:16">
      <c r="A184" s="355">
        <f t="shared" si="148"/>
        <v>156</v>
      </c>
      <c r="B184" s="372">
        <f t="shared" ref="B184:B190" si="152">K184</f>
        <v>28623.75</v>
      </c>
      <c r="C184" s="357">
        <f t="shared" si="88"/>
        <v>9</v>
      </c>
      <c r="D184" s="358" t="str">
        <f t="shared" si="89"/>
        <v>mercury</v>
      </c>
      <c r="E184" s="368">
        <f t="shared" si="146"/>
        <v>8</v>
      </c>
      <c r="F184" s="367" t="str">
        <f t="shared" si="80"/>
        <v>saturn</v>
      </c>
      <c r="G184" s="367">
        <f t="shared" si="149"/>
        <v>1</v>
      </c>
      <c r="H184" s="367" t="str">
        <f t="shared" si="80"/>
        <v>ketu</v>
      </c>
      <c r="I184" s="369">
        <f t="shared" si="150"/>
        <v>28563.75</v>
      </c>
      <c r="J184" s="377">
        <f t="shared" si="147"/>
        <v>60</v>
      </c>
      <c r="K184" s="369">
        <f t="shared" ref="K184:K190" si="153">I184+J184</f>
        <v>28623.75</v>
      </c>
      <c r="L184" s="360">
        <f t="shared" si="151"/>
        <v>156</v>
      </c>
      <c r="M184" s="369"/>
      <c r="O184" s="381"/>
    </row>
    <row r="185" spans="1:16">
      <c r="A185" s="355">
        <f t="shared" si="148"/>
        <v>157</v>
      </c>
      <c r="B185" s="372">
        <f t="shared" si="152"/>
        <v>28792.75</v>
      </c>
      <c r="C185" s="357">
        <f t="shared" si="88"/>
        <v>9</v>
      </c>
      <c r="D185" s="358" t="str">
        <f t="shared" si="89"/>
        <v>mercury</v>
      </c>
      <c r="E185" s="368">
        <f t="shared" si="146"/>
        <v>8</v>
      </c>
      <c r="F185" s="367" t="str">
        <f t="shared" si="80"/>
        <v>saturn</v>
      </c>
      <c r="G185" s="367">
        <f t="shared" si="149"/>
        <v>2</v>
      </c>
      <c r="H185" s="367" t="str">
        <f t="shared" si="80"/>
        <v>venus</v>
      </c>
      <c r="I185" s="369">
        <f t="shared" si="150"/>
        <v>28623.75</v>
      </c>
      <c r="J185" s="377">
        <f t="shared" si="147"/>
        <v>169</v>
      </c>
      <c r="K185" s="369">
        <f t="shared" si="153"/>
        <v>28792.75</v>
      </c>
      <c r="L185" s="360">
        <f t="shared" si="151"/>
        <v>157</v>
      </c>
      <c r="M185" s="369"/>
      <c r="O185" s="381"/>
    </row>
    <row r="186" spans="1:16">
      <c r="A186" s="355">
        <f t="shared" si="148"/>
        <v>158</v>
      </c>
      <c r="B186" s="372">
        <f t="shared" si="152"/>
        <v>28842.75</v>
      </c>
      <c r="C186" s="357">
        <f t="shared" si="88"/>
        <v>9</v>
      </c>
      <c r="D186" s="358" t="str">
        <f t="shared" si="89"/>
        <v>mercury</v>
      </c>
      <c r="E186" s="368">
        <f t="shared" si="146"/>
        <v>8</v>
      </c>
      <c r="F186" s="367" t="str">
        <f t="shared" si="80"/>
        <v>saturn</v>
      </c>
      <c r="G186" s="367">
        <f t="shared" si="149"/>
        <v>3</v>
      </c>
      <c r="H186" s="367" t="str">
        <f t="shared" si="80"/>
        <v>sun</v>
      </c>
      <c r="I186" s="369">
        <f t="shared" si="150"/>
        <v>28792.75</v>
      </c>
      <c r="J186" s="377">
        <f t="shared" si="147"/>
        <v>50</v>
      </c>
      <c r="K186" s="369">
        <f t="shared" si="153"/>
        <v>28842.75</v>
      </c>
      <c r="L186" s="360">
        <f t="shared" si="151"/>
        <v>158</v>
      </c>
      <c r="M186" s="369"/>
      <c r="O186" s="381"/>
    </row>
    <row r="187" spans="1:16">
      <c r="A187" s="355">
        <f t="shared" si="148"/>
        <v>159</v>
      </c>
      <c r="B187" s="372">
        <f t="shared" si="152"/>
        <v>28921.75</v>
      </c>
      <c r="C187" s="357">
        <f t="shared" si="88"/>
        <v>9</v>
      </c>
      <c r="D187" s="358" t="str">
        <f t="shared" si="89"/>
        <v>mercury</v>
      </c>
      <c r="E187" s="368">
        <f t="shared" si="146"/>
        <v>8</v>
      </c>
      <c r="F187" s="367" t="str">
        <f t="shared" si="80"/>
        <v>saturn</v>
      </c>
      <c r="G187" s="367">
        <f t="shared" si="149"/>
        <v>4</v>
      </c>
      <c r="H187" s="367" t="str">
        <f t="shared" si="80"/>
        <v>moon</v>
      </c>
      <c r="I187" s="369">
        <f t="shared" si="150"/>
        <v>28842.75</v>
      </c>
      <c r="J187" s="377">
        <f t="shared" si="147"/>
        <v>79</v>
      </c>
      <c r="K187" s="369">
        <f t="shared" si="153"/>
        <v>28921.75</v>
      </c>
      <c r="L187" s="360">
        <f t="shared" si="151"/>
        <v>159</v>
      </c>
      <c r="M187" s="369"/>
      <c r="O187" s="381"/>
    </row>
    <row r="188" spans="1:16">
      <c r="A188" s="355">
        <f t="shared" si="148"/>
        <v>160</v>
      </c>
      <c r="B188" s="372">
        <f t="shared" si="152"/>
        <v>28981.75</v>
      </c>
      <c r="C188" s="357">
        <f t="shared" si="88"/>
        <v>9</v>
      </c>
      <c r="D188" s="358" t="str">
        <f t="shared" si="89"/>
        <v>mercury</v>
      </c>
      <c r="E188" s="368">
        <f t="shared" si="146"/>
        <v>8</v>
      </c>
      <c r="F188" s="367" t="str">
        <f t="shared" si="80"/>
        <v>saturn</v>
      </c>
      <c r="G188" s="367">
        <f t="shared" si="149"/>
        <v>5</v>
      </c>
      <c r="H188" s="367" t="str">
        <f t="shared" si="80"/>
        <v>mars</v>
      </c>
      <c r="I188" s="369">
        <f t="shared" si="150"/>
        <v>28921.75</v>
      </c>
      <c r="J188" s="377">
        <f t="shared" si="147"/>
        <v>60</v>
      </c>
      <c r="K188" s="369">
        <f t="shared" si="153"/>
        <v>28981.75</v>
      </c>
      <c r="L188" s="360">
        <f t="shared" si="151"/>
        <v>160</v>
      </c>
      <c r="M188" s="369"/>
      <c r="O188" s="381"/>
    </row>
    <row r="189" spans="1:16">
      <c r="A189" s="355">
        <f t="shared" si="148"/>
        <v>161</v>
      </c>
      <c r="B189" s="372">
        <f t="shared" si="152"/>
        <v>29130.75</v>
      </c>
      <c r="C189" s="357">
        <f t="shared" si="88"/>
        <v>9</v>
      </c>
      <c r="D189" s="358" t="str">
        <f t="shared" si="89"/>
        <v>mercury</v>
      </c>
      <c r="E189" s="368">
        <f t="shared" si="146"/>
        <v>8</v>
      </c>
      <c r="F189" s="367" t="str">
        <f t="shared" si="80"/>
        <v>saturn</v>
      </c>
      <c r="G189" s="367">
        <f t="shared" si="149"/>
        <v>6</v>
      </c>
      <c r="H189" s="367" t="str">
        <f t="shared" si="80"/>
        <v>rahu</v>
      </c>
      <c r="I189" s="369">
        <f t="shared" si="150"/>
        <v>28981.75</v>
      </c>
      <c r="J189" s="377">
        <f t="shared" si="147"/>
        <v>149</v>
      </c>
      <c r="K189" s="369">
        <f t="shared" si="153"/>
        <v>29130.75</v>
      </c>
      <c r="L189" s="360">
        <f t="shared" si="151"/>
        <v>161</v>
      </c>
      <c r="M189" s="369"/>
      <c r="O189" s="381"/>
    </row>
    <row r="190" spans="1:16" ht="13.8" thickBot="1">
      <c r="A190" s="355">
        <f t="shared" si="148"/>
        <v>162</v>
      </c>
      <c r="B190" s="372">
        <f t="shared" si="152"/>
        <v>29259.75</v>
      </c>
      <c r="C190" s="357">
        <f t="shared" si="88"/>
        <v>9</v>
      </c>
      <c r="D190" s="358" t="str">
        <f t="shared" si="89"/>
        <v>mercury</v>
      </c>
      <c r="E190" s="368">
        <f t="shared" si="146"/>
        <v>8</v>
      </c>
      <c r="F190" s="367" t="str">
        <f t="shared" si="80"/>
        <v>saturn</v>
      </c>
      <c r="G190" s="367">
        <f t="shared" si="149"/>
        <v>7</v>
      </c>
      <c r="H190" s="367" t="str">
        <f t="shared" si="80"/>
        <v>jupiter</v>
      </c>
      <c r="I190" s="369">
        <f t="shared" si="150"/>
        <v>29130.75</v>
      </c>
      <c r="J190" s="377">
        <f t="shared" si="147"/>
        <v>129</v>
      </c>
      <c r="K190" s="369">
        <f t="shared" si="153"/>
        <v>29259.75</v>
      </c>
      <c r="L190" s="360">
        <f t="shared" si="151"/>
        <v>162</v>
      </c>
      <c r="M190" s="369"/>
      <c r="N190" s="358">
        <f>SUM(J182:J190)</f>
        <v>994</v>
      </c>
      <c r="O190" s="413" t="s">
        <v>554</v>
      </c>
      <c r="P190" s="413"/>
    </row>
    <row r="191" spans="1:16">
      <c r="A191" s="404"/>
      <c r="B191" s="405"/>
      <c r="C191" s="406">
        <f>IF(C181+1&gt;9,C181+1-9,C181+1)</f>
        <v>1</v>
      </c>
      <c r="D191" s="407" t="str">
        <f>VLOOKUP(C191,$A$848:$B$856,2,FALSE)</f>
        <v>ketu</v>
      </c>
      <c r="E191" s="408"/>
      <c r="F191" s="383"/>
      <c r="G191" s="383"/>
      <c r="H191" s="383"/>
      <c r="I191" s="410">
        <f>K100</f>
        <v>29259</v>
      </c>
      <c r="J191" s="370">
        <f>VLOOKUP(C191,$A$848:$D$856,4,FALSE)</f>
        <v>2556.75</v>
      </c>
      <c r="K191" s="376">
        <f>I191+J191</f>
        <v>31815.75</v>
      </c>
      <c r="L191" s="409"/>
      <c r="M191" s="376">
        <f>K181</f>
        <v>29258.75</v>
      </c>
      <c r="N191" s="370">
        <f>N190+N180+N170+N160+N150+N140+N130+N120+N110</f>
        <v>6210</v>
      </c>
      <c r="O191" s="413">
        <f>J100-N191</f>
        <v>-0.75</v>
      </c>
      <c r="P191" s="413">
        <f>K190-I191</f>
        <v>0.75</v>
      </c>
    </row>
    <row r="192" spans="1:16">
      <c r="A192" s="399"/>
      <c r="B192" s="386"/>
      <c r="C192" s="387">
        <f t="shared" ref="C192:C201" si="154">C191</f>
        <v>1</v>
      </c>
      <c r="D192" s="373" t="str">
        <f t="shared" ref="D192:D201" si="155">D191</f>
        <v>ketu</v>
      </c>
      <c r="E192" s="388">
        <f t="shared" ref="E192:E201" si="156">C191</f>
        <v>1</v>
      </c>
      <c r="F192" s="389" t="str">
        <f t="shared" ref="F192:F223" si="157">VLOOKUP(E192,$A$848:$B$856,2,FALSE)</f>
        <v>ketu</v>
      </c>
      <c r="G192" s="389"/>
      <c r="H192" s="389"/>
      <c r="I192" s="402">
        <f>I191</f>
        <v>29259</v>
      </c>
      <c r="J192" s="373">
        <f>ROUND(J$191*VLOOKUP(E192,$A$848:$E$856,5,FALSE),0)</f>
        <v>153</v>
      </c>
      <c r="K192" s="390">
        <f>I192+J192</f>
        <v>29412</v>
      </c>
      <c r="L192" s="400"/>
      <c r="M192" s="373"/>
      <c r="N192" s="373"/>
      <c r="O192" s="381"/>
    </row>
    <row r="193" spans="1:15" ht="13.8" thickBot="1">
      <c r="A193" s="355">
        <f>A190+1</f>
        <v>163</v>
      </c>
      <c r="B193" s="372">
        <f t="shared" ref="B193:B201" si="158">K193</f>
        <v>29268</v>
      </c>
      <c r="C193" s="357">
        <f t="shared" si="154"/>
        <v>1</v>
      </c>
      <c r="D193" s="358" t="str">
        <f t="shared" si="155"/>
        <v>ketu</v>
      </c>
      <c r="E193" s="359">
        <f t="shared" si="156"/>
        <v>1</v>
      </c>
      <c r="F193" s="367" t="str">
        <f t="shared" si="157"/>
        <v>ketu</v>
      </c>
      <c r="G193" s="367">
        <f>E193</f>
        <v>1</v>
      </c>
      <c r="H193" s="367" t="str">
        <f t="shared" ref="H193:H201" si="159">VLOOKUP(G193,$A$848:$B$856,2,FALSE)</f>
        <v>ketu</v>
      </c>
      <c r="I193" s="403">
        <f>I191</f>
        <v>29259</v>
      </c>
      <c r="J193" s="377">
        <f t="shared" ref="J193:J201" si="160">ROUND(J$192*VLOOKUP(G193,$A$848:$E$856,5,FALSE),0)</f>
        <v>9</v>
      </c>
      <c r="K193" s="369">
        <f>I193+J193</f>
        <v>29268</v>
      </c>
      <c r="L193" s="360">
        <f>L190+1</f>
        <v>163</v>
      </c>
      <c r="O193" s="381"/>
    </row>
    <row r="194" spans="1:15">
      <c r="A194" s="355">
        <f t="shared" ref="A194:A201" si="161">A193+1</f>
        <v>164</v>
      </c>
      <c r="B194" s="372">
        <f t="shared" si="158"/>
        <v>29294</v>
      </c>
      <c r="C194" s="357">
        <f t="shared" si="154"/>
        <v>1</v>
      </c>
      <c r="D194" s="358" t="str">
        <f t="shared" si="155"/>
        <v>ketu</v>
      </c>
      <c r="E194" s="359">
        <f t="shared" si="156"/>
        <v>1</v>
      </c>
      <c r="F194" s="367" t="str">
        <f t="shared" si="157"/>
        <v>ketu</v>
      </c>
      <c r="G194" s="367">
        <f t="shared" ref="G194:G201" si="162">IF(G193+1&gt;9,G193+1-9,G193+1)</f>
        <v>2</v>
      </c>
      <c r="H194" s="367" t="str">
        <f t="shared" si="159"/>
        <v>venus</v>
      </c>
      <c r="I194" s="369">
        <f t="shared" ref="I194:I201" si="163">K193</f>
        <v>29268</v>
      </c>
      <c r="J194" s="377">
        <f t="shared" si="160"/>
        <v>26</v>
      </c>
      <c r="K194" s="369">
        <f>I194+J194</f>
        <v>29294</v>
      </c>
      <c r="L194" s="360">
        <f t="shared" ref="L194:L201" si="164">L193+1</f>
        <v>164</v>
      </c>
      <c r="O194" s="381"/>
    </row>
    <row r="195" spans="1:15">
      <c r="A195" s="355">
        <f t="shared" si="161"/>
        <v>165</v>
      </c>
      <c r="B195" s="372">
        <f t="shared" si="158"/>
        <v>29302</v>
      </c>
      <c r="C195" s="357">
        <f t="shared" si="154"/>
        <v>1</v>
      </c>
      <c r="D195" s="358" t="str">
        <f t="shared" si="155"/>
        <v>ketu</v>
      </c>
      <c r="E195" s="359">
        <f t="shared" si="156"/>
        <v>1</v>
      </c>
      <c r="F195" s="367" t="str">
        <f t="shared" si="157"/>
        <v>ketu</v>
      </c>
      <c r="G195" s="367">
        <f t="shared" si="162"/>
        <v>3</v>
      </c>
      <c r="H195" s="367" t="str">
        <f t="shared" si="159"/>
        <v>sun</v>
      </c>
      <c r="I195" s="369">
        <f t="shared" si="163"/>
        <v>29294</v>
      </c>
      <c r="J195" s="377">
        <f t="shared" si="160"/>
        <v>8</v>
      </c>
      <c r="K195" s="369">
        <f t="shared" ref="K195:K201" si="165">I195+J195</f>
        <v>29302</v>
      </c>
      <c r="L195" s="360">
        <f t="shared" si="164"/>
        <v>165</v>
      </c>
      <c r="O195" s="381"/>
    </row>
    <row r="196" spans="1:15">
      <c r="A196" s="355">
        <f t="shared" si="161"/>
        <v>166</v>
      </c>
      <c r="B196" s="372">
        <f t="shared" si="158"/>
        <v>29314</v>
      </c>
      <c r="C196" s="357">
        <f t="shared" si="154"/>
        <v>1</v>
      </c>
      <c r="D196" s="358" t="str">
        <f t="shared" si="155"/>
        <v>ketu</v>
      </c>
      <c r="E196" s="359">
        <f t="shared" si="156"/>
        <v>1</v>
      </c>
      <c r="F196" s="367" t="str">
        <f t="shared" si="157"/>
        <v>ketu</v>
      </c>
      <c r="G196" s="367">
        <f t="shared" si="162"/>
        <v>4</v>
      </c>
      <c r="H196" s="367" t="str">
        <f t="shared" si="159"/>
        <v>moon</v>
      </c>
      <c r="I196" s="369">
        <f t="shared" si="163"/>
        <v>29302</v>
      </c>
      <c r="J196" s="377">
        <f t="shared" si="160"/>
        <v>12</v>
      </c>
      <c r="K196" s="369">
        <f t="shared" si="165"/>
        <v>29314</v>
      </c>
      <c r="L196" s="360">
        <f t="shared" si="164"/>
        <v>166</v>
      </c>
      <c r="O196" s="381"/>
    </row>
    <row r="197" spans="1:15">
      <c r="A197" s="355">
        <f t="shared" si="161"/>
        <v>167</v>
      </c>
      <c r="B197" s="372">
        <f t="shared" si="158"/>
        <v>29323</v>
      </c>
      <c r="C197" s="357">
        <f t="shared" si="154"/>
        <v>1</v>
      </c>
      <c r="D197" s="358" t="str">
        <f t="shared" si="155"/>
        <v>ketu</v>
      </c>
      <c r="E197" s="359">
        <f t="shared" si="156"/>
        <v>1</v>
      </c>
      <c r="F197" s="367" t="str">
        <f t="shared" si="157"/>
        <v>ketu</v>
      </c>
      <c r="G197" s="367">
        <f t="shared" si="162"/>
        <v>5</v>
      </c>
      <c r="H197" s="367" t="str">
        <f t="shared" si="159"/>
        <v>mars</v>
      </c>
      <c r="I197" s="369">
        <f t="shared" si="163"/>
        <v>29314</v>
      </c>
      <c r="J197" s="377">
        <f t="shared" si="160"/>
        <v>9</v>
      </c>
      <c r="K197" s="369">
        <f t="shared" si="165"/>
        <v>29323</v>
      </c>
      <c r="L197" s="360">
        <f t="shared" si="164"/>
        <v>167</v>
      </c>
      <c r="O197" s="381"/>
    </row>
    <row r="198" spans="1:15">
      <c r="A198" s="355">
        <f t="shared" si="161"/>
        <v>168</v>
      </c>
      <c r="B198" s="372">
        <f t="shared" si="158"/>
        <v>29346</v>
      </c>
      <c r="C198" s="357">
        <f t="shared" si="154"/>
        <v>1</v>
      </c>
      <c r="D198" s="358" t="str">
        <f t="shared" si="155"/>
        <v>ketu</v>
      </c>
      <c r="E198" s="359">
        <f t="shared" si="156"/>
        <v>1</v>
      </c>
      <c r="F198" s="367" t="str">
        <f t="shared" si="157"/>
        <v>ketu</v>
      </c>
      <c r="G198" s="367">
        <f t="shared" si="162"/>
        <v>6</v>
      </c>
      <c r="H198" s="367" t="str">
        <f t="shared" si="159"/>
        <v>rahu</v>
      </c>
      <c r="I198" s="369">
        <f t="shared" si="163"/>
        <v>29323</v>
      </c>
      <c r="J198" s="377">
        <f t="shared" si="160"/>
        <v>23</v>
      </c>
      <c r="K198" s="369">
        <f t="shared" si="165"/>
        <v>29346</v>
      </c>
      <c r="L198" s="360">
        <f t="shared" si="164"/>
        <v>168</v>
      </c>
      <c r="O198" s="381"/>
    </row>
    <row r="199" spans="1:15">
      <c r="A199" s="355">
        <f t="shared" si="161"/>
        <v>169</v>
      </c>
      <c r="B199" s="372">
        <f t="shared" si="158"/>
        <v>29366</v>
      </c>
      <c r="C199" s="357">
        <f t="shared" si="154"/>
        <v>1</v>
      </c>
      <c r="D199" s="358" t="str">
        <f t="shared" si="155"/>
        <v>ketu</v>
      </c>
      <c r="E199" s="359">
        <f t="shared" si="156"/>
        <v>1</v>
      </c>
      <c r="F199" s="367" t="str">
        <f t="shared" si="157"/>
        <v>ketu</v>
      </c>
      <c r="G199" s="367">
        <f t="shared" si="162"/>
        <v>7</v>
      </c>
      <c r="H199" s="367" t="str">
        <f t="shared" si="159"/>
        <v>jupiter</v>
      </c>
      <c r="I199" s="369">
        <f t="shared" si="163"/>
        <v>29346</v>
      </c>
      <c r="J199" s="377">
        <f t="shared" si="160"/>
        <v>20</v>
      </c>
      <c r="K199" s="369">
        <f t="shared" si="165"/>
        <v>29366</v>
      </c>
      <c r="L199" s="360">
        <f t="shared" si="164"/>
        <v>169</v>
      </c>
      <c r="O199" s="381"/>
    </row>
    <row r="200" spans="1:15">
      <c r="A200" s="355">
        <f t="shared" si="161"/>
        <v>170</v>
      </c>
      <c r="B200" s="372">
        <f t="shared" si="158"/>
        <v>29390</v>
      </c>
      <c r="C200" s="357">
        <f t="shared" si="154"/>
        <v>1</v>
      </c>
      <c r="D200" s="358" t="str">
        <f t="shared" si="155"/>
        <v>ketu</v>
      </c>
      <c r="E200" s="359">
        <f t="shared" si="156"/>
        <v>1</v>
      </c>
      <c r="F200" s="367" t="str">
        <f t="shared" si="157"/>
        <v>ketu</v>
      </c>
      <c r="G200" s="367">
        <f t="shared" si="162"/>
        <v>8</v>
      </c>
      <c r="H200" s="367" t="str">
        <f t="shared" si="159"/>
        <v>saturn</v>
      </c>
      <c r="I200" s="369">
        <f t="shared" si="163"/>
        <v>29366</v>
      </c>
      <c r="J200" s="377">
        <f t="shared" si="160"/>
        <v>24</v>
      </c>
      <c r="K200" s="369">
        <f t="shared" si="165"/>
        <v>29390</v>
      </c>
      <c r="L200" s="360">
        <f t="shared" si="164"/>
        <v>170</v>
      </c>
      <c r="O200" s="381"/>
    </row>
    <row r="201" spans="1:15">
      <c r="A201" s="355">
        <f t="shared" si="161"/>
        <v>171</v>
      </c>
      <c r="B201" s="372">
        <f t="shared" si="158"/>
        <v>29411</v>
      </c>
      <c r="C201" s="357">
        <f t="shared" si="154"/>
        <v>1</v>
      </c>
      <c r="D201" s="358" t="str">
        <f t="shared" si="155"/>
        <v>ketu</v>
      </c>
      <c r="E201" s="359">
        <f t="shared" si="156"/>
        <v>1</v>
      </c>
      <c r="F201" s="367" t="str">
        <f t="shared" si="157"/>
        <v>ketu</v>
      </c>
      <c r="G201" s="367">
        <f t="shared" si="162"/>
        <v>9</v>
      </c>
      <c r="H201" s="367" t="str">
        <f t="shared" si="159"/>
        <v>mercury</v>
      </c>
      <c r="I201" s="369">
        <f t="shared" si="163"/>
        <v>29390</v>
      </c>
      <c r="J201" s="377">
        <f t="shared" si="160"/>
        <v>21</v>
      </c>
      <c r="K201" s="369">
        <f t="shared" si="165"/>
        <v>29411</v>
      </c>
      <c r="L201" s="360">
        <f t="shared" si="164"/>
        <v>171</v>
      </c>
      <c r="N201" s="358">
        <f>SUM(J193:J201)</f>
        <v>152</v>
      </c>
      <c r="O201" s="381"/>
    </row>
    <row r="202" spans="1:15">
      <c r="A202" s="399"/>
      <c r="B202" s="386"/>
      <c r="C202" s="387">
        <f>C192</f>
        <v>1</v>
      </c>
      <c r="D202" s="373" t="str">
        <f>D192</f>
        <v>ketu</v>
      </c>
      <c r="E202" s="393">
        <f>IF(E192+1&gt;9,E192+1-9,E192+1)</f>
        <v>2</v>
      </c>
      <c r="F202" s="389" t="str">
        <f t="shared" si="157"/>
        <v>venus</v>
      </c>
      <c r="G202" s="389"/>
      <c r="H202" s="389"/>
      <c r="I202" s="390">
        <f>K192</f>
        <v>29412</v>
      </c>
      <c r="J202" s="373">
        <f>ROUND(J$191*VLOOKUP(E202,$A$848:$E$856,5,FALSE),0)</f>
        <v>435</v>
      </c>
      <c r="K202" s="390">
        <f>I202+J202</f>
        <v>29847</v>
      </c>
      <c r="L202" s="400"/>
      <c r="M202" s="373"/>
      <c r="N202" s="373"/>
      <c r="O202" s="381"/>
    </row>
    <row r="203" spans="1:15">
      <c r="A203" s="355">
        <f>A201+1</f>
        <v>172</v>
      </c>
      <c r="B203" s="372">
        <f>K203</f>
        <v>29485</v>
      </c>
      <c r="C203" s="357">
        <f t="shared" ref="C203:C281" si="166">C202</f>
        <v>1</v>
      </c>
      <c r="D203" s="358" t="str">
        <f t="shared" ref="D203:D281" si="167">D202</f>
        <v>ketu</v>
      </c>
      <c r="E203" s="368">
        <f t="shared" ref="E203:E211" si="168">E202</f>
        <v>2</v>
      </c>
      <c r="F203" s="367" t="str">
        <f t="shared" si="157"/>
        <v>venus</v>
      </c>
      <c r="G203" s="367">
        <f>E203</f>
        <v>2</v>
      </c>
      <c r="H203" s="367" t="str">
        <f t="shared" ref="H203:H211" si="169">VLOOKUP(G203,$A$848:$B$856,2,FALSE)</f>
        <v>venus</v>
      </c>
      <c r="I203" s="369">
        <f>K201</f>
        <v>29411</v>
      </c>
      <c r="J203" s="377">
        <f t="shared" ref="J203:J211" si="170">ROUND(J$202*VLOOKUP(G203,$A$848:$E$856,5,FALSE),0)</f>
        <v>74</v>
      </c>
      <c r="K203" s="369">
        <f>I203+J203</f>
        <v>29485</v>
      </c>
      <c r="L203" s="360">
        <f>L201+1</f>
        <v>172</v>
      </c>
      <c r="O203" s="381"/>
    </row>
    <row r="204" spans="1:15">
      <c r="A204" s="355">
        <f t="shared" ref="A204:A211" si="171">A203+1</f>
        <v>173</v>
      </c>
      <c r="B204" s="372">
        <f>K204</f>
        <v>29507</v>
      </c>
      <c r="C204" s="357">
        <f t="shared" si="166"/>
        <v>1</v>
      </c>
      <c r="D204" s="358" t="str">
        <f t="shared" si="167"/>
        <v>ketu</v>
      </c>
      <c r="E204" s="368">
        <f t="shared" si="168"/>
        <v>2</v>
      </c>
      <c r="F204" s="367" t="str">
        <f t="shared" si="157"/>
        <v>venus</v>
      </c>
      <c r="G204" s="367">
        <f t="shared" ref="G204:G211" si="172">IF(G203+1&gt;9,G203+1-9,G203+1)</f>
        <v>3</v>
      </c>
      <c r="H204" s="367" t="str">
        <f t="shared" si="169"/>
        <v>sun</v>
      </c>
      <c r="I204" s="369">
        <f t="shared" ref="I204:I211" si="173">K203</f>
        <v>29485</v>
      </c>
      <c r="J204" s="377">
        <f t="shared" si="170"/>
        <v>22</v>
      </c>
      <c r="K204" s="369">
        <f>I204+J204</f>
        <v>29507</v>
      </c>
      <c r="L204" s="360">
        <f t="shared" ref="L204:L211" si="174">L203+1</f>
        <v>173</v>
      </c>
      <c r="O204" s="381"/>
    </row>
    <row r="205" spans="1:15">
      <c r="A205" s="355">
        <f t="shared" si="171"/>
        <v>174</v>
      </c>
      <c r="B205" s="372">
        <f t="shared" ref="B205:B211" si="175">K205</f>
        <v>29542</v>
      </c>
      <c r="C205" s="357">
        <f t="shared" si="166"/>
        <v>1</v>
      </c>
      <c r="D205" s="358" t="str">
        <f t="shared" si="167"/>
        <v>ketu</v>
      </c>
      <c r="E205" s="368">
        <f t="shared" si="168"/>
        <v>2</v>
      </c>
      <c r="F205" s="367" t="str">
        <f t="shared" si="157"/>
        <v>venus</v>
      </c>
      <c r="G205" s="367">
        <f t="shared" si="172"/>
        <v>4</v>
      </c>
      <c r="H205" s="367" t="str">
        <f t="shared" si="169"/>
        <v>moon</v>
      </c>
      <c r="I205" s="369">
        <f t="shared" si="173"/>
        <v>29507</v>
      </c>
      <c r="J205" s="377">
        <f t="shared" si="170"/>
        <v>35</v>
      </c>
      <c r="K205" s="369">
        <f t="shared" ref="K205:K211" si="176">I205+J205</f>
        <v>29542</v>
      </c>
      <c r="L205" s="360">
        <f t="shared" si="174"/>
        <v>174</v>
      </c>
      <c r="O205" s="381"/>
    </row>
    <row r="206" spans="1:15">
      <c r="A206" s="355">
        <f t="shared" si="171"/>
        <v>175</v>
      </c>
      <c r="B206" s="372">
        <f t="shared" si="175"/>
        <v>29568</v>
      </c>
      <c r="C206" s="357">
        <f t="shared" si="166"/>
        <v>1</v>
      </c>
      <c r="D206" s="358" t="str">
        <f t="shared" si="167"/>
        <v>ketu</v>
      </c>
      <c r="E206" s="368">
        <f t="shared" si="168"/>
        <v>2</v>
      </c>
      <c r="F206" s="367" t="str">
        <f t="shared" si="157"/>
        <v>venus</v>
      </c>
      <c r="G206" s="367">
        <f t="shared" si="172"/>
        <v>5</v>
      </c>
      <c r="H206" s="367" t="str">
        <f t="shared" si="169"/>
        <v>mars</v>
      </c>
      <c r="I206" s="369">
        <f t="shared" si="173"/>
        <v>29542</v>
      </c>
      <c r="J206" s="377">
        <f t="shared" si="170"/>
        <v>26</v>
      </c>
      <c r="K206" s="369">
        <f t="shared" si="176"/>
        <v>29568</v>
      </c>
      <c r="L206" s="360">
        <f t="shared" si="174"/>
        <v>175</v>
      </c>
      <c r="O206" s="381"/>
    </row>
    <row r="207" spans="1:15">
      <c r="A207" s="355">
        <f t="shared" si="171"/>
        <v>176</v>
      </c>
      <c r="B207" s="372">
        <f t="shared" si="175"/>
        <v>29633</v>
      </c>
      <c r="C207" s="357">
        <f t="shared" si="166"/>
        <v>1</v>
      </c>
      <c r="D207" s="358" t="str">
        <f t="shared" si="167"/>
        <v>ketu</v>
      </c>
      <c r="E207" s="368">
        <f t="shared" si="168"/>
        <v>2</v>
      </c>
      <c r="F207" s="367" t="str">
        <f t="shared" si="157"/>
        <v>venus</v>
      </c>
      <c r="G207" s="367">
        <f t="shared" si="172"/>
        <v>6</v>
      </c>
      <c r="H207" s="367" t="str">
        <f t="shared" si="169"/>
        <v>rahu</v>
      </c>
      <c r="I207" s="369">
        <f t="shared" si="173"/>
        <v>29568</v>
      </c>
      <c r="J207" s="377">
        <f t="shared" si="170"/>
        <v>65</v>
      </c>
      <c r="K207" s="369">
        <f t="shared" si="176"/>
        <v>29633</v>
      </c>
      <c r="L207" s="360">
        <f t="shared" si="174"/>
        <v>176</v>
      </c>
      <c r="O207" s="381"/>
    </row>
    <row r="208" spans="1:15">
      <c r="A208" s="355">
        <f t="shared" si="171"/>
        <v>177</v>
      </c>
      <c r="B208" s="372">
        <f t="shared" si="175"/>
        <v>29690</v>
      </c>
      <c r="C208" s="357">
        <f t="shared" si="166"/>
        <v>1</v>
      </c>
      <c r="D208" s="358" t="str">
        <f t="shared" si="167"/>
        <v>ketu</v>
      </c>
      <c r="E208" s="368">
        <f t="shared" si="168"/>
        <v>2</v>
      </c>
      <c r="F208" s="367" t="str">
        <f t="shared" si="157"/>
        <v>venus</v>
      </c>
      <c r="G208" s="367">
        <f t="shared" si="172"/>
        <v>7</v>
      </c>
      <c r="H208" s="367" t="str">
        <f t="shared" si="169"/>
        <v>jupiter</v>
      </c>
      <c r="I208" s="369">
        <f t="shared" si="173"/>
        <v>29633</v>
      </c>
      <c r="J208" s="377">
        <f t="shared" si="170"/>
        <v>57</v>
      </c>
      <c r="K208" s="369">
        <f t="shared" si="176"/>
        <v>29690</v>
      </c>
      <c r="L208" s="360">
        <f t="shared" si="174"/>
        <v>177</v>
      </c>
      <c r="O208" s="381"/>
    </row>
    <row r="209" spans="1:15">
      <c r="A209" s="355">
        <f t="shared" si="171"/>
        <v>178</v>
      </c>
      <c r="B209" s="372">
        <f t="shared" si="175"/>
        <v>29760</v>
      </c>
      <c r="C209" s="357">
        <f t="shared" si="166"/>
        <v>1</v>
      </c>
      <c r="D209" s="358" t="str">
        <f t="shared" si="167"/>
        <v>ketu</v>
      </c>
      <c r="E209" s="368">
        <f t="shared" si="168"/>
        <v>2</v>
      </c>
      <c r="F209" s="367" t="str">
        <f t="shared" si="157"/>
        <v>venus</v>
      </c>
      <c r="G209" s="367">
        <f t="shared" si="172"/>
        <v>8</v>
      </c>
      <c r="H209" s="367" t="str">
        <f t="shared" si="169"/>
        <v>saturn</v>
      </c>
      <c r="I209" s="369">
        <f t="shared" si="173"/>
        <v>29690</v>
      </c>
      <c r="J209" s="377">
        <f t="shared" si="170"/>
        <v>70</v>
      </c>
      <c r="K209" s="369">
        <f t="shared" si="176"/>
        <v>29760</v>
      </c>
      <c r="L209" s="360">
        <f t="shared" si="174"/>
        <v>178</v>
      </c>
      <c r="O209" s="381"/>
    </row>
    <row r="210" spans="1:15">
      <c r="A210" s="355">
        <f t="shared" si="171"/>
        <v>179</v>
      </c>
      <c r="B210" s="372">
        <f t="shared" si="175"/>
        <v>29821</v>
      </c>
      <c r="C210" s="357">
        <f t="shared" si="166"/>
        <v>1</v>
      </c>
      <c r="D210" s="358" t="str">
        <f t="shared" si="167"/>
        <v>ketu</v>
      </c>
      <c r="E210" s="368">
        <f t="shared" si="168"/>
        <v>2</v>
      </c>
      <c r="F210" s="367" t="str">
        <f t="shared" si="157"/>
        <v>venus</v>
      </c>
      <c r="G210" s="367">
        <f t="shared" si="172"/>
        <v>9</v>
      </c>
      <c r="H210" s="367" t="str">
        <f t="shared" si="169"/>
        <v>mercury</v>
      </c>
      <c r="I210" s="369">
        <f t="shared" si="173"/>
        <v>29760</v>
      </c>
      <c r="J210" s="377">
        <f t="shared" si="170"/>
        <v>61</v>
      </c>
      <c r="K210" s="369">
        <f t="shared" si="176"/>
        <v>29821</v>
      </c>
      <c r="L210" s="360">
        <f t="shared" si="174"/>
        <v>179</v>
      </c>
      <c r="O210" s="381"/>
    </row>
    <row r="211" spans="1:15">
      <c r="A211" s="355">
        <f t="shared" si="171"/>
        <v>180</v>
      </c>
      <c r="B211" s="372">
        <f t="shared" si="175"/>
        <v>29847</v>
      </c>
      <c r="C211" s="357">
        <f t="shared" si="166"/>
        <v>1</v>
      </c>
      <c r="D211" s="358" t="str">
        <f t="shared" si="167"/>
        <v>ketu</v>
      </c>
      <c r="E211" s="368">
        <f t="shared" si="168"/>
        <v>2</v>
      </c>
      <c r="F211" s="367" t="str">
        <f t="shared" si="157"/>
        <v>venus</v>
      </c>
      <c r="G211" s="367">
        <f t="shared" si="172"/>
        <v>1</v>
      </c>
      <c r="H211" s="367" t="str">
        <f t="shared" si="169"/>
        <v>ketu</v>
      </c>
      <c r="I211" s="369">
        <f t="shared" si="173"/>
        <v>29821</v>
      </c>
      <c r="J211" s="377">
        <f t="shared" si="170"/>
        <v>26</v>
      </c>
      <c r="K211" s="369">
        <f t="shared" si="176"/>
        <v>29847</v>
      </c>
      <c r="L211" s="360">
        <f t="shared" si="174"/>
        <v>180</v>
      </c>
      <c r="N211" s="358">
        <f>SUM(J203:J211)</f>
        <v>436</v>
      </c>
      <c r="O211" s="381"/>
    </row>
    <row r="212" spans="1:15">
      <c r="A212" s="399"/>
      <c r="B212" s="386"/>
      <c r="C212" s="387">
        <f>C202</f>
        <v>1</v>
      </c>
      <c r="D212" s="373" t="str">
        <f>D202</f>
        <v>ketu</v>
      </c>
      <c r="E212" s="393">
        <f>IF(E202+1&gt;9,E202+1-9,E202+1)</f>
        <v>3</v>
      </c>
      <c r="F212" s="389" t="str">
        <f t="shared" si="157"/>
        <v>sun</v>
      </c>
      <c r="G212" s="389"/>
      <c r="H212" s="389"/>
      <c r="I212" s="390">
        <f>K202</f>
        <v>29847</v>
      </c>
      <c r="J212" s="373">
        <f>ROUND(J$191*VLOOKUP(E212,$A$848:$E$856,5,FALSE),0)</f>
        <v>128</v>
      </c>
      <c r="K212" s="390">
        <f>I212+J212</f>
        <v>29975</v>
      </c>
      <c r="L212" s="400"/>
      <c r="M212" s="373"/>
      <c r="N212" s="373"/>
      <c r="O212" s="381"/>
    </row>
    <row r="213" spans="1:15">
      <c r="A213" s="355">
        <f>A211+1</f>
        <v>181</v>
      </c>
      <c r="B213" s="372">
        <f>K213</f>
        <v>29853</v>
      </c>
      <c r="C213" s="357">
        <f t="shared" si="166"/>
        <v>1</v>
      </c>
      <c r="D213" s="358" t="str">
        <f t="shared" si="167"/>
        <v>ketu</v>
      </c>
      <c r="E213" s="368">
        <f t="shared" ref="E213:E221" si="177">E212</f>
        <v>3</v>
      </c>
      <c r="F213" s="367" t="str">
        <f t="shared" si="157"/>
        <v>sun</v>
      </c>
      <c r="G213" s="367">
        <f>E213</f>
        <v>3</v>
      </c>
      <c r="H213" s="367" t="str">
        <f t="shared" ref="H213:H221" si="178">VLOOKUP(G213,$A$848:$B$856,2,FALSE)</f>
        <v>sun</v>
      </c>
      <c r="I213" s="369">
        <f>K211</f>
        <v>29847</v>
      </c>
      <c r="J213" s="377">
        <f t="shared" ref="J213:J221" si="179">ROUND(J$212*VLOOKUP(G213,$A$848:$E$856,5,FALSE),0)</f>
        <v>6</v>
      </c>
      <c r="K213" s="369">
        <f>I213+J213</f>
        <v>29853</v>
      </c>
      <c r="L213" s="360">
        <f>L211+1</f>
        <v>181</v>
      </c>
      <c r="O213" s="381"/>
    </row>
    <row r="214" spans="1:15">
      <c r="A214" s="355">
        <f t="shared" ref="A214:A221" si="180">A213+1</f>
        <v>182</v>
      </c>
      <c r="B214" s="372">
        <f>K214</f>
        <v>29863</v>
      </c>
      <c r="C214" s="357">
        <f t="shared" si="166"/>
        <v>1</v>
      </c>
      <c r="D214" s="358" t="str">
        <f t="shared" si="167"/>
        <v>ketu</v>
      </c>
      <c r="E214" s="368">
        <f t="shared" si="177"/>
        <v>3</v>
      </c>
      <c r="F214" s="367" t="str">
        <f t="shared" si="157"/>
        <v>sun</v>
      </c>
      <c r="G214" s="367">
        <f t="shared" ref="G214:G221" si="181">IF(G213+1&gt;9,G213+1-9,G213+1)</f>
        <v>4</v>
      </c>
      <c r="H214" s="367" t="str">
        <f t="shared" si="178"/>
        <v>moon</v>
      </c>
      <c r="I214" s="369">
        <f t="shared" ref="I214:I221" si="182">K213</f>
        <v>29853</v>
      </c>
      <c r="J214" s="377">
        <f t="shared" si="179"/>
        <v>10</v>
      </c>
      <c r="K214" s="369">
        <f>I214+J214</f>
        <v>29863</v>
      </c>
      <c r="L214" s="360">
        <f t="shared" ref="L214:L221" si="183">L213+1</f>
        <v>182</v>
      </c>
      <c r="O214" s="381"/>
    </row>
    <row r="215" spans="1:15">
      <c r="A215" s="355">
        <f t="shared" si="180"/>
        <v>183</v>
      </c>
      <c r="B215" s="372">
        <f t="shared" ref="B215:B221" si="184">K215</f>
        <v>29871</v>
      </c>
      <c r="C215" s="357">
        <f t="shared" si="166"/>
        <v>1</v>
      </c>
      <c r="D215" s="358" t="str">
        <f t="shared" si="167"/>
        <v>ketu</v>
      </c>
      <c r="E215" s="368">
        <f t="shared" si="177"/>
        <v>3</v>
      </c>
      <c r="F215" s="367" t="str">
        <f t="shared" si="157"/>
        <v>sun</v>
      </c>
      <c r="G215" s="367">
        <f t="shared" si="181"/>
        <v>5</v>
      </c>
      <c r="H215" s="367" t="str">
        <f t="shared" si="178"/>
        <v>mars</v>
      </c>
      <c r="I215" s="369">
        <f t="shared" si="182"/>
        <v>29863</v>
      </c>
      <c r="J215" s="377">
        <f t="shared" si="179"/>
        <v>8</v>
      </c>
      <c r="K215" s="369">
        <f t="shared" ref="K215:K221" si="185">I215+J215</f>
        <v>29871</v>
      </c>
      <c r="L215" s="360">
        <f t="shared" si="183"/>
        <v>183</v>
      </c>
      <c r="O215" s="381"/>
    </row>
    <row r="216" spans="1:15">
      <c r="A216" s="355">
        <f t="shared" si="180"/>
        <v>184</v>
      </c>
      <c r="B216" s="372">
        <f t="shared" si="184"/>
        <v>29890</v>
      </c>
      <c r="C216" s="357">
        <f t="shared" si="166"/>
        <v>1</v>
      </c>
      <c r="D216" s="358" t="str">
        <f t="shared" si="167"/>
        <v>ketu</v>
      </c>
      <c r="E216" s="368">
        <f t="shared" si="177"/>
        <v>3</v>
      </c>
      <c r="F216" s="367" t="str">
        <f t="shared" si="157"/>
        <v>sun</v>
      </c>
      <c r="G216" s="367">
        <f t="shared" si="181"/>
        <v>6</v>
      </c>
      <c r="H216" s="367" t="str">
        <f t="shared" si="178"/>
        <v>rahu</v>
      </c>
      <c r="I216" s="369">
        <f t="shared" si="182"/>
        <v>29871</v>
      </c>
      <c r="J216" s="377">
        <f t="shared" si="179"/>
        <v>19</v>
      </c>
      <c r="K216" s="369">
        <f t="shared" si="185"/>
        <v>29890</v>
      </c>
      <c r="L216" s="360">
        <f t="shared" si="183"/>
        <v>184</v>
      </c>
      <c r="O216" s="381"/>
    </row>
    <row r="217" spans="1:15">
      <c r="A217" s="355">
        <f t="shared" si="180"/>
        <v>185</v>
      </c>
      <c r="B217" s="372">
        <f t="shared" si="184"/>
        <v>29907</v>
      </c>
      <c r="C217" s="357">
        <f t="shared" si="166"/>
        <v>1</v>
      </c>
      <c r="D217" s="358" t="str">
        <f t="shared" si="167"/>
        <v>ketu</v>
      </c>
      <c r="E217" s="368">
        <f t="shared" si="177"/>
        <v>3</v>
      </c>
      <c r="F217" s="367" t="str">
        <f t="shared" si="157"/>
        <v>sun</v>
      </c>
      <c r="G217" s="367">
        <f t="shared" si="181"/>
        <v>7</v>
      </c>
      <c r="H217" s="367" t="str">
        <f t="shared" si="178"/>
        <v>jupiter</v>
      </c>
      <c r="I217" s="369">
        <f t="shared" si="182"/>
        <v>29890</v>
      </c>
      <c r="J217" s="377">
        <f t="shared" si="179"/>
        <v>17</v>
      </c>
      <c r="K217" s="369">
        <f t="shared" si="185"/>
        <v>29907</v>
      </c>
      <c r="L217" s="360">
        <f t="shared" si="183"/>
        <v>185</v>
      </c>
      <c r="O217" s="381"/>
    </row>
    <row r="218" spans="1:15">
      <c r="A218" s="355">
        <f t="shared" si="180"/>
        <v>186</v>
      </c>
      <c r="B218" s="372">
        <f t="shared" si="184"/>
        <v>29927</v>
      </c>
      <c r="C218" s="357">
        <f t="shared" si="166"/>
        <v>1</v>
      </c>
      <c r="D218" s="358" t="str">
        <f t="shared" si="167"/>
        <v>ketu</v>
      </c>
      <c r="E218" s="368">
        <f t="shared" si="177"/>
        <v>3</v>
      </c>
      <c r="F218" s="367" t="str">
        <f t="shared" si="157"/>
        <v>sun</v>
      </c>
      <c r="G218" s="367">
        <f t="shared" si="181"/>
        <v>8</v>
      </c>
      <c r="H218" s="367" t="str">
        <f t="shared" si="178"/>
        <v>saturn</v>
      </c>
      <c r="I218" s="369">
        <f t="shared" si="182"/>
        <v>29907</v>
      </c>
      <c r="J218" s="377">
        <f t="shared" si="179"/>
        <v>20</v>
      </c>
      <c r="K218" s="369">
        <f t="shared" si="185"/>
        <v>29927</v>
      </c>
      <c r="L218" s="360">
        <f t="shared" si="183"/>
        <v>186</v>
      </c>
      <c r="O218" s="381"/>
    </row>
    <row r="219" spans="1:15">
      <c r="A219" s="355">
        <f t="shared" si="180"/>
        <v>187</v>
      </c>
      <c r="B219" s="372">
        <f t="shared" si="184"/>
        <v>29945</v>
      </c>
      <c r="C219" s="357">
        <f t="shared" si="166"/>
        <v>1</v>
      </c>
      <c r="D219" s="358" t="str">
        <f t="shared" si="167"/>
        <v>ketu</v>
      </c>
      <c r="E219" s="368">
        <f t="shared" si="177"/>
        <v>3</v>
      </c>
      <c r="F219" s="367" t="str">
        <f t="shared" si="157"/>
        <v>sun</v>
      </c>
      <c r="G219" s="367">
        <f t="shared" si="181"/>
        <v>9</v>
      </c>
      <c r="H219" s="367" t="str">
        <f t="shared" si="178"/>
        <v>mercury</v>
      </c>
      <c r="I219" s="369">
        <f t="shared" si="182"/>
        <v>29927</v>
      </c>
      <c r="J219" s="377">
        <f t="shared" si="179"/>
        <v>18</v>
      </c>
      <c r="K219" s="369">
        <f t="shared" si="185"/>
        <v>29945</v>
      </c>
      <c r="L219" s="360">
        <f t="shared" si="183"/>
        <v>187</v>
      </c>
      <c r="O219" s="381"/>
    </row>
    <row r="220" spans="1:15">
      <c r="A220" s="355">
        <f t="shared" si="180"/>
        <v>188</v>
      </c>
      <c r="B220" s="372">
        <f t="shared" si="184"/>
        <v>29953</v>
      </c>
      <c r="C220" s="357">
        <f t="shared" si="166"/>
        <v>1</v>
      </c>
      <c r="D220" s="358" t="str">
        <f t="shared" si="167"/>
        <v>ketu</v>
      </c>
      <c r="E220" s="368">
        <f t="shared" si="177"/>
        <v>3</v>
      </c>
      <c r="F220" s="367" t="str">
        <f t="shared" si="157"/>
        <v>sun</v>
      </c>
      <c r="G220" s="367">
        <f t="shared" si="181"/>
        <v>1</v>
      </c>
      <c r="H220" s="367" t="str">
        <f t="shared" si="178"/>
        <v>ketu</v>
      </c>
      <c r="I220" s="369">
        <f t="shared" si="182"/>
        <v>29945</v>
      </c>
      <c r="J220" s="377">
        <f t="shared" si="179"/>
        <v>8</v>
      </c>
      <c r="K220" s="369">
        <f t="shared" si="185"/>
        <v>29953</v>
      </c>
      <c r="L220" s="360">
        <f t="shared" si="183"/>
        <v>188</v>
      </c>
      <c r="O220" s="381"/>
    </row>
    <row r="221" spans="1:15">
      <c r="A221" s="355">
        <f t="shared" si="180"/>
        <v>189</v>
      </c>
      <c r="B221" s="372">
        <f t="shared" si="184"/>
        <v>29975</v>
      </c>
      <c r="C221" s="357">
        <f t="shared" si="166"/>
        <v>1</v>
      </c>
      <c r="D221" s="358" t="str">
        <f t="shared" si="167"/>
        <v>ketu</v>
      </c>
      <c r="E221" s="368">
        <f t="shared" si="177"/>
        <v>3</v>
      </c>
      <c r="F221" s="367" t="str">
        <f t="shared" si="157"/>
        <v>sun</v>
      </c>
      <c r="G221" s="367">
        <f t="shared" si="181"/>
        <v>2</v>
      </c>
      <c r="H221" s="367" t="str">
        <f t="shared" si="178"/>
        <v>venus</v>
      </c>
      <c r="I221" s="369">
        <f t="shared" si="182"/>
        <v>29953</v>
      </c>
      <c r="J221" s="377">
        <f t="shared" si="179"/>
        <v>22</v>
      </c>
      <c r="K221" s="369">
        <f t="shared" si="185"/>
        <v>29975</v>
      </c>
      <c r="L221" s="360">
        <f t="shared" si="183"/>
        <v>189</v>
      </c>
      <c r="N221" s="358">
        <f>SUM(J213:J221)</f>
        <v>128</v>
      </c>
      <c r="O221" s="381"/>
    </row>
    <row r="222" spans="1:15">
      <c r="A222" s="399"/>
      <c r="B222" s="386"/>
      <c r="C222" s="387">
        <f>C212</f>
        <v>1</v>
      </c>
      <c r="D222" s="373" t="str">
        <f>D212</f>
        <v>ketu</v>
      </c>
      <c r="E222" s="393">
        <f>IF(E212+1&gt;9,E212+1-9,E212+1)</f>
        <v>4</v>
      </c>
      <c r="F222" s="389" t="str">
        <f t="shared" si="157"/>
        <v>moon</v>
      </c>
      <c r="G222" s="389"/>
      <c r="H222" s="389"/>
      <c r="I222" s="390">
        <f>K212</f>
        <v>29975</v>
      </c>
      <c r="J222" s="373">
        <f>ROUND(J$191*VLOOKUP(E222,$A$848:$E$856,5,FALSE),0)</f>
        <v>205</v>
      </c>
      <c r="K222" s="390">
        <f>I222+J222</f>
        <v>30180</v>
      </c>
      <c r="L222" s="400"/>
      <c r="M222" s="373"/>
      <c r="N222" s="373"/>
      <c r="O222" s="381"/>
    </row>
    <row r="223" spans="1:15">
      <c r="A223" s="355">
        <f>A221+1</f>
        <v>190</v>
      </c>
      <c r="B223" s="372">
        <f>K223</f>
        <v>29991</v>
      </c>
      <c r="C223" s="357">
        <f t="shared" si="166"/>
        <v>1</v>
      </c>
      <c r="D223" s="358" t="str">
        <f t="shared" si="167"/>
        <v>ketu</v>
      </c>
      <c r="E223" s="368">
        <f t="shared" ref="E223:E231" si="186">E222</f>
        <v>4</v>
      </c>
      <c r="F223" s="367" t="str">
        <f t="shared" si="157"/>
        <v>moon</v>
      </c>
      <c r="G223" s="367">
        <f>E223</f>
        <v>4</v>
      </c>
      <c r="H223" s="367" t="str">
        <f t="shared" ref="H223:H231" si="187">VLOOKUP(G223,$A$848:$B$856,2,FALSE)</f>
        <v>moon</v>
      </c>
      <c r="I223" s="369">
        <f>K221</f>
        <v>29975</v>
      </c>
      <c r="J223" s="377">
        <f t="shared" ref="J223:J231" si="188">ROUND(J$222*VLOOKUP(G223,$A$848:$E$856,5,FALSE),0)</f>
        <v>16</v>
      </c>
      <c r="K223" s="369">
        <f>I223+J223</f>
        <v>29991</v>
      </c>
      <c r="L223" s="360">
        <f>L221+1</f>
        <v>190</v>
      </c>
      <c r="O223" s="381"/>
    </row>
    <row r="224" spans="1:15">
      <c r="A224" s="355">
        <f t="shared" ref="A224:A231" si="189">A223+1</f>
        <v>191</v>
      </c>
      <c r="B224" s="372">
        <f>K224</f>
        <v>30003</v>
      </c>
      <c r="C224" s="357">
        <f t="shared" si="166"/>
        <v>1</v>
      </c>
      <c r="D224" s="358" t="str">
        <f t="shared" si="167"/>
        <v>ketu</v>
      </c>
      <c r="E224" s="368">
        <f t="shared" si="186"/>
        <v>4</v>
      </c>
      <c r="F224" s="367" t="str">
        <f t="shared" ref="F224:F255" si="190">VLOOKUP(E224,$A$848:$B$856,2,FALSE)</f>
        <v>moon</v>
      </c>
      <c r="G224" s="367">
        <f t="shared" ref="G224:G231" si="191">IF(G223+1&gt;9,G223+1-9,G223+1)</f>
        <v>5</v>
      </c>
      <c r="H224" s="367" t="str">
        <f t="shared" si="187"/>
        <v>mars</v>
      </c>
      <c r="I224" s="369">
        <f t="shared" ref="I224:I231" si="192">K223</f>
        <v>29991</v>
      </c>
      <c r="J224" s="377">
        <f t="shared" si="188"/>
        <v>12</v>
      </c>
      <c r="K224" s="369">
        <f>I224+J224</f>
        <v>30003</v>
      </c>
      <c r="L224" s="360">
        <f t="shared" ref="L224:L231" si="193">L223+1</f>
        <v>191</v>
      </c>
      <c r="O224" s="381"/>
    </row>
    <row r="225" spans="1:15">
      <c r="A225" s="355">
        <f t="shared" si="189"/>
        <v>192</v>
      </c>
      <c r="B225" s="372">
        <f t="shared" ref="B225:B231" si="194">K225</f>
        <v>30034</v>
      </c>
      <c r="C225" s="357">
        <f t="shared" si="166"/>
        <v>1</v>
      </c>
      <c r="D225" s="358" t="str">
        <f t="shared" si="167"/>
        <v>ketu</v>
      </c>
      <c r="E225" s="368">
        <f t="shared" si="186"/>
        <v>4</v>
      </c>
      <c r="F225" s="367" t="str">
        <f t="shared" si="190"/>
        <v>moon</v>
      </c>
      <c r="G225" s="367">
        <f t="shared" si="191"/>
        <v>6</v>
      </c>
      <c r="H225" s="367" t="str">
        <f t="shared" si="187"/>
        <v>rahu</v>
      </c>
      <c r="I225" s="369">
        <f t="shared" si="192"/>
        <v>30003</v>
      </c>
      <c r="J225" s="377">
        <f t="shared" si="188"/>
        <v>31</v>
      </c>
      <c r="K225" s="369">
        <f t="shared" ref="K225:K231" si="195">I225+J225</f>
        <v>30034</v>
      </c>
      <c r="L225" s="360">
        <f t="shared" si="193"/>
        <v>192</v>
      </c>
      <c r="O225" s="381"/>
    </row>
    <row r="226" spans="1:15">
      <c r="A226" s="355">
        <f t="shared" si="189"/>
        <v>193</v>
      </c>
      <c r="B226" s="372">
        <f t="shared" si="194"/>
        <v>30061</v>
      </c>
      <c r="C226" s="357">
        <f t="shared" si="166"/>
        <v>1</v>
      </c>
      <c r="D226" s="358" t="str">
        <f t="shared" si="167"/>
        <v>ketu</v>
      </c>
      <c r="E226" s="368">
        <f t="shared" si="186"/>
        <v>4</v>
      </c>
      <c r="F226" s="367" t="str">
        <f t="shared" si="190"/>
        <v>moon</v>
      </c>
      <c r="G226" s="367">
        <f t="shared" si="191"/>
        <v>7</v>
      </c>
      <c r="H226" s="367" t="str">
        <f t="shared" si="187"/>
        <v>jupiter</v>
      </c>
      <c r="I226" s="369">
        <f t="shared" si="192"/>
        <v>30034</v>
      </c>
      <c r="J226" s="377">
        <f t="shared" si="188"/>
        <v>27</v>
      </c>
      <c r="K226" s="369">
        <f t="shared" si="195"/>
        <v>30061</v>
      </c>
      <c r="L226" s="360">
        <f t="shared" si="193"/>
        <v>193</v>
      </c>
      <c r="O226" s="381"/>
    </row>
    <row r="227" spans="1:15">
      <c r="A227" s="355">
        <f t="shared" si="189"/>
        <v>194</v>
      </c>
      <c r="B227" s="372">
        <f t="shared" si="194"/>
        <v>30094</v>
      </c>
      <c r="C227" s="357">
        <f t="shared" si="166"/>
        <v>1</v>
      </c>
      <c r="D227" s="358" t="str">
        <f t="shared" si="167"/>
        <v>ketu</v>
      </c>
      <c r="E227" s="368">
        <f t="shared" si="186"/>
        <v>4</v>
      </c>
      <c r="F227" s="367" t="str">
        <f t="shared" si="190"/>
        <v>moon</v>
      </c>
      <c r="G227" s="367">
        <f t="shared" si="191"/>
        <v>8</v>
      </c>
      <c r="H227" s="367" t="str">
        <f t="shared" si="187"/>
        <v>saturn</v>
      </c>
      <c r="I227" s="369">
        <f t="shared" si="192"/>
        <v>30061</v>
      </c>
      <c r="J227" s="377">
        <f t="shared" si="188"/>
        <v>33</v>
      </c>
      <c r="K227" s="369">
        <f t="shared" si="195"/>
        <v>30094</v>
      </c>
      <c r="L227" s="360">
        <f t="shared" si="193"/>
        <v>194</v>
      </c>
      <c r="O227" s="381"/>
    </row>
    <row r="228" spans="1:15">
      <c r="A228" s="355">
        <f t="shared" si="189"/>
        <v>195</v>
      </c>
      <c r="B228" s="372">
        <f t="shared" si="194"/>
        <v>30123</v>
      </c>
      <c r="C228" s="357">
        <f t="shared" si="166"/>
        <v>1</v>
      </c>
      <c r="D228" s="358" t="str">
        <f t="shared" si="167"/>
        <v>ketu</v>
      </c>
      <c r="E228" s="368">
        <f t="shared" si="186"/>
        <v>4</v>
      </c>
      <c r="F228" s="367" t="str">
        <f t="shared" si="190"/>
        <v>moon</v>
      </c>
      <c r="G228" s="367">
        <f t="shared" si="191"/>
        <v>9</v>
      </c>
      <c r="H228" s="367" t="str">
        <f t="shared" si="187"/>
        <v>mercury</v>
      </c>
      <c r="I228" s="369">
        <f t="shared" si="192"/>
        <v>30094</v>
      </c>
      <c r="J228" s="377">
        <f t="shared" si="188"/>
        <v>29</v>
      </c>
      <c r="K228" s="369">
        <f t="shared" si="195"/>
        <v>30123</v>
      </c>
      <c r="L228" s="360">
        <f t="shared" si="193"/>
        <v>195</v>
      </c>
      <c r="O228" s="381"/>
    </row>
    <row r="229" spans="1:15">
      <c r="A229" s="355">
        <f t="shared" si="189"/>
        <v>196</v>
      </c>
      <c r="B229" s="372">
        <f t="shared" si="194"/>
        <v>30135</v>
      </c>
      <c r="C229" s="357">
        <f t="shared" si="166"/>
        <v>1</v>
      </c>
      <c r="D229" s="358" t="str">
        <f t="shared" si="167"/>
        <v>ketu</v>
      </c>
      <c r="E229" s="368">
        <f t="shared" si="186"/>
        <v>4</v>
      </c>
      <c r="F229" s="367" t="str">
        <f t="shared" si="190"/>
        <v>moon</v>
      </c>
      <c r="G229" s="367">
        <f t="shared" si="191"/>
        <v>1</v>
      </c>
      <c r="H229" s="367" t="str">
        <f t="shared" si="187"/>
        <v>ketu</v>
      </c>
      <c r="I229" s="369">
        <f t="shared" si="192"/>
        <v>30123</v>
      </c>
      <c r="J229" s="377">
        <f t="shared" si="188"/>
        <v>12</v>
      </c>
      <c r="K229" s="369">
        <f t="shared" si="195"/>
        <v>30135</v>
      </c>
      <c r="L229" s="360">
        <f t="shared" si="193"/>
        <v>196</v>
      </c>
      <c r="O229" s="381"/>
    </row>
    <row r="230" spans="1:15">
      <c r="A230" s="355">
        <f t="shared" si="189"/>
        <v>197</v>
      </c>
      <c r="B230" s="372">
        <f t="shared" si="194"/>
        <v>30170</v>
      </c>
      <c r="C230" s="357">
        <f t="shared" si="166"/>
        <v>1</v>
      </c>
      <c r="D230" s="358" t="str">
        <f t="shared" si="167"/>
        <v>ketu</v>
      </c>
      <c r="E230" s="368">
        <f t="shared" si="186"/>
        <v>4</v>
      </c>
      <c r="F230" s="367" t="str">
        <f t="shared" si="190"/>
        <v>moon</v>
      </c>
      <c r="G230" s="367">
        <f t="shared" si="191"/>
        <v>2</v>
      </c>
      <c r="H230" s="367" t="str">
        <f t="shared" si="187"/>
        <v>venus</v>
      </c>
      <c r="I230" s="369">
        <f t="shared" si="192"/>
        <v>30135</v>
      </c>
      <c r="J230" s="377">
        <f t="shared" si="188"/>
        <v>35</v>
      </c>
      <c r="K230" s="369">
        <f t="shared" si="195"/>
        <v>30170</v>
      </c>
      <c r="L230" s="360">
        <f t="shared" si="193"/>
        <v>197</v>
      </c>
      <c r="O230" s="381"/>
    </row>
    <row r="231" spans="1:15">
      <c r="A231" s="355">
        <f t="shared" si="189"/>
        <v>198</v>
      </c>
      <c r="B231" s="372">
        <f t="shared" si="194"/>
        <v>30180</v>
      </c>
      <c r="C231" s="357">
        <f t="shared" si="166"/>
        <v>1</v>
      </c>
      <c r="D231" s="358" t="str">
        <f t="shared" si="167"/>
        <v>ketu</v>
      </c>
      <c r="E231" s="368">
        <f t="shared" si="186"/>
        <v>4</v>
      </c>
      <c r="F231" s="367" t="str">
        <f t="shared" si="190"/>
        <v>moon</v>
      </c>
      <c r="G231" s="367">
        <f t="shared" si="191"/>
        <v>3</v>
      </c>
      <c r="H231" s="367" t="str">
        <f t="shared" si="187"/>
        <v>sun</v>
      </c>
      <c r="I231" s="369">
        <f t="shared" si="192"/>
        <v>30170</v>
      </c>
      <c r="J231" s="377">
        <f t="shared" si="188"/>
        <v>10</v>
      </c>
      <c r="K231" s="369">
        <f t="shared" si="195"/>
        <v>30180</v>
      </c>
      <c r="L231" s="360">
        <f t="shared" si="193"/>
        <v>198</v>
      </c>
      <c r="N231" s="358">
        <f>SUM(J223:J231)</f>
        <v>205</v>
      </c>
      <c r="O231" s="381"/>
    </row>
    <row r="232" spans="1:15">
      <c r="A232" s="399"/>
      <c r="B232" s="386"/>
      <c r="C232" s="387">
        <f>C222</f>
        <v>1</v>
      </c>
      <c r="D232" s="373" t="str">
        <f>D222</f>
        <v>ketu</v>
      </c>
      <c r="E232" s="393">
        <f>IF(E222+1&gt;9,E222+1-9,E222+1)</f>
        <v>5</v>
      </c>
      <c r="F232" s="389" t="str">
        <f t="shared" si="190"/>
        <v>mars</v>
      </c>
      <c r="G232" s="389"/>
      <c r="H232" s="389"/>
      <c r="I232" s="390">
        <f>K222</f>
        <v>30180</v>
      </c>
      <c r="J232" s="373">
        <f>ROUND(J$191*VLOOKUP(E232,$A$848:$E$856,5,FALSE),0)</f>
        <v>153</v>
      </c>
      <c r="K232" s="390">
        <f>I232+J232</f>
        <v>30333</v>
      </c>
      <c r="L232" s="400"/>
      <c r="M232" s="373"/>
      <c r="N232" s="373"/>
      <c r="O232" s="381"/>
    </row>
    <row r="233" spans="1:15">
      <c r="A233" s="355">
        <f>A231+1</f>
        <v>199</v>
      </c>
      <c r="B233" s="372">
        <f>K233</f>
        <v>30189</v>
      </c>
      <c r="C233" s="357">
        <f t="shared" si="166"/>
        <v>1</v>
      </c>
      <c r="D233" s="358" t="str">
        <f t="shared" si="167"/>
        <v>ketu</v>
      </c>
      <c r="E233" s="368">
        <f t="shared" ref="E233:E241" si="196">E232</f>
        <v>5</v>
      </c>
      <c r="F233" s="367" t="str">
        <f t="shared" si="190"/>
        <v>mars</v>
      </c>
      <c r="G233" s="367">
        <f>E233</f>
        <v>5</v>
      </c>
      <c r="H233" s="367" t="str">
        <f t="shared" ref="H233:H241" si="197">VLOOKUP(G233,$A$848:$B$856,2,FALSE)</f>
        <v>mars</v>
      </c>
      <c r="I233" s="369">
        <f>K231</f>
        <v>30180</v>
      </c>
      <c r="J233" s="377">
        <f t="shared" ref="J233:J241" si="198">ROUND(J$232*VLOOKUP(G233,$A$848:$E$856,5,FALSE),0)</f>
        <v>9</v>
      </c>
      <c r="K233" s="369">
        <f>I233+J233</f>
        <v>30189</v>
      </c>
      <c r="L233" s="360">
        <f>L231+1</f>
        <v>199</v>
      </c>
      <c r="O233" s="381"/>
    </row>
    <row r="234" spans="1:15">
      <c r="A234" s="355">
        <f t="shared" ref="A234:A241" si="199">A233+1</f>
        <v>200</v>
      </c>
      <c r="B234" s="372">
        <f>K234</f>
        <v>30212</v>
      </c>
      <c r="C234" s="357">
        <f t="shared" si="166"/>
        <v>1</v>
      </c>
      <c r="D234" s="358" t="str">
        <f t="shared" si="167"/>
        <v>ketu</v>
      </c>
      <c r="E234" s="368">
        <f t="shared" si="196"/>
        <v>5</v>
      </c>
      <c r="F234" s="367" t="str">
        <f t="shared" si="190"/>
        <v>mars</v>
      </c>
      <c r="G234" s="367">
        <f t="shared" ref="G234:G241" si="200">IF(G233+1&gt;9,G233+1-9,G233+1)</f>
        <v>6</v>
      </c>
      <c r="H234" s="367" t="str">
        <f t="shared" si="197"/>
        <v>rahu</v>
      </c>
      <c r="I234" s="369">
        <f t="shared" ref="I234:I241" si="201">K233</f>
        <v>30189</v>
      </c>
      <c r="J234" s="377">
        <f t="shared" si="198"/>
        <v>23</v>
      </c>
      <c r="K234" s="369">
        <f>I234+J234</f>
        <v>30212</v>
      </c>
      <c r="L234" s="360">
        <f t="shared" ref="L234:L241" si="202">L233+1</f>
        <v>200</v>
      </c>
      <c r="O234" s="381"/>
    </row>
    <row r="235" spans="1:15">
      <c r="A235" s="355">
        <f t="shared" si="199"/>
        <v>201</v>
      </c>
      <c r="B235" s="372">
        <f t="shared" ref="B235:B241" si="203">K235</f>
        <v>30232</v>
      </c>
      <c r="C235" s="357">
        <f t="shared" si="166"/>
        <v>1</v>
      </c>
      <c r="D235" s="358" t="str">
        <f t="shared" si="167"/>
        <v>ketu</v>
      </c>
      <c r="E235" s="368">
        <f t="shared" si="196"/>
        <v>5</v>
      </c>
      <c r="F235" s="367" t="str">
        <f t="shared" si="190"/>
        <v>mars</v>
      </c>
      <c r="G235" s="367">
        <f t="shared" si="200"/>
        <v>7</v>
      </c>
      <c r="H235" s="367" t="str">
        <f t="shared" si="197"/>
        <v>jupiter</v>
      </c>
      <c r="I235" s="369">
        <f t="shared" si="201"/>
        <v>30212</v>
      </c>
      <c r="J235" s="377">
        <f t="shared" si="198"/>
        <v>20</v>
      </c>
      <c r="K235" s="369">
        <f t="shared" ref="K235:K241" si="204">I235+J235</f>
        <v>30232</v>
      </c>
      <c r="L235" s="360">
        <f t="shared" si="202"/>
        <v>201</v>
      </c>
      <c r="O235" s="381"/>
    </row>
    <row r="236" spans="1:15">
      <c r="A236" s="355">
        <f t="shared" si="199"/>
        <v>202</v>
      </c>
      <c r="B236" s="372">
        <f t="shared" si="203"/>
        <v>30256</v>
      </c>
      <c r="C236" s="357">
        <f t="shared" si="166"/>
        <v>1</v>
      </c>
      <c r="D236" s="358" t="str">
        <f t="shared" si="167"/>
        <v>ketu</v>
      </c>
      <c r="E236" s="368">
        <f t="shared" si="196"/>
        <v>5</v>
      </c>
      <c r="F236" s="367" t="str">
        <f t="shared" si="190"/>
        <v>mars</v>
      </c>
      <c r="G236" s="367">
        <f t="shared" si="200"/>
        <v>8</v>
      </c>
      <c r="H236" s="367" t="str">
        <f t="shared" si="197"/>
        <v>saturn</v>
      </c>
      <c r="I236" s="369">
        <f t="shared" si="201"/>
        <v>30232</v>
      </c>
      <c r="J236" s="377">
        <f t="shared" si="198"/>
        <v>24</v>
      </c>
      <c r="K236" s="369">
        <f t="shared" si="204"/>
        <v>30256</v>
      </c>
      <c r="L236" s="360">
        <f t="shared" si="202"/>
        <v>202</v>
      </c>
      <c r="O236" s="381"/>
    </row>
    <row r="237" spans="1:15">
      <c r="A237" s="355">
        <f t="shared" si="199"/>
        <v>203</v>
      </c>
      <c r="B237" s="372">
        <f t="shared" si="203"/>
        <v>30277</v>
      </c>
      <c r="C237" s="357">
        <f t="shared" si="166"/>
        <v>1</v>
      </c>
      <c r="D237" s="358" t="str">
        <f t="shared" si="167"/>
        <v>ketu</v>
      </c>
      <c r="E237" s="368">
        <f t="shared" si="196"/>
        <v>5</v>
      </c>
      <c r="F237" s="367" t="str">
        <f t="shared" si="190"/>
        <v>mars</v>
      </c>
      <c r="G237" s="367">
        <f t="shared" si="200"/>
        <v>9</v>
      </c>
      <c r="H237" s="367" t="str">
        <f t="shared" si="197"/>
        <v>mercury</v>
      </c>
      <c r="I237" s="369">
        <f t="shared" si="201"/>
        <v>30256</v>
      </c>
      <c r="J237" s="377">
        <f t="shared" si="198"/>
        <v>21</v>
      </c>
      <c r="K237" s="369">
        <f t="shared" si="204"/>
        <v>30277</v>
      </c>
      <c r="L237" s="360">
        <f t="shared" si="202"/>
        <v>203</v>
      </c>
      <c r="O237" s="381"/>
    </row>
    <row r="238" spans="1:15">
      <c r="A238" s="355">
        <f t="shared" si="199"/>
        <v>204</v>
      </c>
      <c r="B238" s="372">
        <f t="shared" si="203"/>
        <v>30286</v>
      </c>
      <c r="C238" s="357">
        <f t="shared" si="166"/>
        <v>1</v>
      </c>
      <c r="D238" s="358" t="str">
        <f t="shared" si="167"/>
        <v>ketu</v>
      </c>
      <c r="E238" s="368">
        <f t="shared" si="196"/>
        <v>5</v>
      </c>
      <c r="F238" s="367" t="str">
        <f t="shared" si="190"/>
        <v>mars</v>
      </c>
      <c r="G238" s="367">
        <f t="shared" si="200"/>
        <v>1</v>
      </c>
      <c r="H238" s="367" t="str">
        <f t="shared" si="197"/>
        <v>ketu</v>
      </c>
      <c r="I238" s="369">
        <f t="shared" si="201"/>
        <v>30277</v>
      </c>
      <c r="J238" s="377">
        <f t="shared" si="198"/>
        <v>9</v>
      </c>
      <c r="K238" s="369">
        <f t="shared" si="204"/>
        <v>30286</v>
      </c>
      <c r="L238" s="360">
        <f t="shared" si="202"/>
        <v>204</v>
      </c>
      <c r="O238" s="381"/>
    </row>
    <row r="239" spans="1:15">
      <c r="A239" s="355">
        <f t="shared" si="199"/>
        <v>205</v>
      </c>
      <c r="B239" s="372">
        <f t="shared" si="203"/>
        <v>30312</v>
      </c>
      <c r="C239" s="357">
        <f t="shared" si="166"/>
        <v>1</v>
      </c>
      <c r="D239" s="358" t="str">
        <f t="shared" si="167"/>
        <v>ketu</v>
      </c>
      <c r="E239" s="368">
        <f t="shared" si="196"/>
        <v>5</v>
      </c>
      <c r="F239" s="367" t="str">
        <f t="shared" si="190"/>
        <v>mars</v>
      </c>
      <c r="G239" s="367">
        <f t="shared" si="200"/>
        <v>2</v>
      </c>
      <c r="H239" s="367" t="str">
        <f t="shared" si="197"/>
        <v>venus</v>
      </c>
      <c r="I239" s="369">
        <f t="shared" si="201"/>
        <v>30286</v>
      </c>
      <c r="J239" s="377">
        <f t="shared" si="198"/>
        <v>26</v>
      </c>
      <c r="K239" s="369">
        <f t="shared" si="204"/>
        <v>30312</v>
      </c>
      <c r="L239" s="360">
        <f t="shared" si="202"/>
        <v>205</v>
      </c>
      <c r="O239" s="381"/>
    </row>
    <row r="240" spans="1:15">
      <c r="A240" s="355">
        <f t="shared" si="199"/>
        <v>206</v>
      </c>
      <c r="B240" s="372">
        <f t="shared" si="203"/>
        <v>30320</v>
      </c>
      <c r="C240" s="357">
        <f t="shared" si="166"/>
        <v>1</v>
      </c>
      <c r="D240" s="358" t="str">
        <f t="shared" si="167"/>
        <v>ketu</v>
      </c>
      <c r="E240" s="368">
        <f t="shared" si="196"/>
        <v>5</v>
      </c>
      <c r="F240" s="367" t="str">
        <f t="shared" si="190"/>
        <v>mars</v>
      </c>
      <c r="G240" s="367">
        <f t="shared" si="200"/>
        <v>3</v>
      </c>
      <c r="H240" s="367" t="str">
        <f t="shared" si="197"/>
        <v>sun</v>
      </c>
      <c r="I240" s="369">
        <f t="shared" si="201"/>
        <v>30312</v>
      </c>
      <c r="J240" s="377">
        <f t="shared" si="198"/>
        <v>8</v>
      </c>
      <c r="K240" s="369">
        <f t="shared" si="204"/>
        <v>30320</v>
      </c>
      <c r="L240" s="360">
        <f t="shared" si="202"/>
        <v>206</v>
      </c>
      <c r="O240" s="381"/>
    </row>
    <row r="241" spans="1:15">
      <c r="A241" s="355">
        <f t="shared" si="199"/>
        <v>207</v>
      </c>
      <c r="B241" s="372">
        <f t="shared" si="203"/>
        <v>30332</v>
      </c>
      <c r="C241" s="357">
        <f t="shared" si="166"/>
        <v>1</v>
      </c>
      <c r="D241" s="358" t="str">
        <f t="shared" si="167"/>
        <v>ketu</v>
      </c>
      <c r="E241" s="368">
        <f t="shared" si="196"/>
        <v>5</v>
      </c>
      <c r="F241" s="367" t="str">
        <f t="shared" si="190"/>
        <v>mars</v>
      </c>
      <c r="G241" s="367">
        <f t="shared" si="200"/>
        <v>4</v>
      </c>
      <c r="H241" s="367" t="str">
        <f t="shared" si="197"/>
        <v>moon</v>
      </c>
      <c r="I241" s="369">
        <f t="shared" si="201"/>
        <v>30320</v>
      </c>
      <c r="J241" s="377">
        <f t="shared" si="198"/>
        <v>12</v>
      </c>
      <c r="K241" s="369">
        <f t="shared" si="204"/>
        <v>30332</v>
      </c>
      <c r="L241" s="360">
        <f t="shared" si="202"/>
        <v>207</v>
      </c>
      <c r="N241" s="358">
        <f>SUM(J233:J241)</f>
        <v>152</v>
      </c>
      <c r="O241" s="381"/>
    </row>
    <row r="242" spans="1:15">
      <c r="A242" s="399"/>
      <c r="B242" s="386"/>
      <c r="C242" s="387">
        <f>C232</f>
        <v>1</v>
      </c>
      <c r="D242" s="373" t="str">
        <f>D232</f>
        <v>ketu</v>
      </c>
      <c r="E242" s="393">
        <f>IF(E232+1&gt;9,E232+1-9,E232+1)</f>
        <v>6</v>
      </c>
      <c r="F242" s="389" t="str">
        <f t="shared" si="190"/>
        <v>rahu</v>
      </c>
      <c r="G242" s="389"/>
      <c r="H242" s="389"/>
      <c r="I242" s="390">
        <f>K232</f>
        <v>30333</v>
      </c>
      <c r="J242" s="373">
        <f>ROUND(J$191*VLOOKUP(E242,$A$848:$E$856,5,FALSE),0)</f>
        <v>384</v>
      </c>
      <c r="K242" s="390">
        <f>I242+J242</f>
        <v>30717</v>
      </c>
      <c r="L242" s="400"/>
      <c r="M242" s="373"/>
      <c r="N242" s="373"/>
      <c r="O242" s="381"/>
    </row>
    <row r="243" spans="1:15">
      <c r="A243" s="355">
        <f>A241+1</f>
        <v>208</v>
      </c>
      <c r="B243" s="372">
        <f>K243</f>
        <v>30390</v>
      </c>
      <c r="C243" s="357">
        <f t="shared" si="166"/>
        <v>1</v>
      </c>
      <c r="D243" s="358" t="str">
        <f t="shared" si="167"/>
        <v>ketu</v>
      </c>
      <c r="E243" s="368">
        <f t="shared" ref="E243:E251" si="205">E242</f>
        <v>6</v>
      </c>
      <c r="F243" s="367" t="str">
        <f t="shared" si="190"/>
        <v>rahu</v>
      </c>
      <c r="G243" s="367">
        <f>E243</f>
        <v>6</v>
      </c>
      <c r="H243" s="367" t="str">
        <f t="shared" ref="H243:H251" si="206">VLOOKUP(G243,$A$848:$B$856,2,FALSE)</f>
        <v>rahu</v>
      </c>
      <c r="I243" s="369">
        <f>K241</f>
        <v>30332</v>
      </c>
      <c r="J243" s="377">
        <f t="shared" ref="J243:J251" si="207">ROUND(J$242*VLOOKUP(G243,$A$848:$E$856,5,FALSE),0)</f>
        <v>58</v>
      </c>
      <c r="K243" s="369">
        <f>I243+J243</f>
        <v>30390</v>
      </c>
      <c r="L243" s="360">
        <f>L241+1</f>
        <v>208</v>
      </c>
      <c r="O243" s="381"/>
    </row>
    <row r="244" spans="1:15">
      <c r="A244" s="355">
        <f t="shared" ref="A244:A251" si="208">A243+1</f>
        <v>209</v>
      </c>
      <c r="B244" s="372">
        <f>K244</f>
        <v>30440</v>
      </c>
      <c r="C244" s="357">
        <f t="shared" si="166"/>
        <v>1</v>
      </c>
      <c r="D244" s="358" t="str">
        <f t="shared" si="167"/>
        <v>ketu</v>
      </c>
      <c r="E244" s="368">
        <f t="shared" si="205"/>
        <v>6</v>
      </c>
      <c r="F244" s="367" t="str">
        <f t="shared" si="190"/>
        <v>rahu</v>
      </c>
      <c r="G244" s="367">
        <f t="shared" ref="G244:G251" si="209">IF(G243+1&gt;9,G243+1-9,G243+1)</f>
        <v>7</v>
      </c>
      <c r="H244" s="367" t="str">
        <f t="shared" si="206"/>
        <v>jupiter</v>
      </c>
      <c r="I244" s="369">
        <f t="shared" ref="I244:I251" si="210">K243</f>
        <v>30390</v>
      </c>
      <c r="J244" s="377">
        <f t="shared" si="207"/>
        <v>50</v>
      </c>
      <c r="K244" s="369">
        <f>I244+J244</f>
        <v>30440</v>
      </c>
      <c r="L244" s="360">
        <f t="shared" ref="L244:L251" si="211">L243+1</f>
        <v>209</v>
      </c>
      <c r="O244" s="381"/>
    </row>
    <row r="245" spans="1:15">
      <c r="A245" s="355">
        <f t="shared" si="208"/>
        <v>210</v>
      </c>
      <c r="B245" s="372">
        <f t="shared" ref="B245:B251" si="212">K245</f>
        <v>30501</v>
      </c>
      <c r="C245" s="357">
        <f t="shared" si="166"/>
        <v>1</v>
      </c>
      <c r="D245" s="358" t="str">
        <f t="shared" si="167"/>
        <v>ketu</v>
      </c>
      <c r="E245" s="368">
        <f t="shared" si="205"/>
        <v>6</v>
      </c>
      <c r="F245" s="367" t="str">
        <f t="shared" si="190"/>
        <v>rahu</v>
      </c>
      <c r="G245" s="367">
        <f t="shared" si="209"/>
        <v>8</v>
      </c>
      <c r="H245" s="367" t="str">
        <f t="shared" si="206"/>
        <v>saturn</v>
      </c>
      <c r="I245" s="369">
        <f t="shared" si="210"/>
        <v>30440</v>
      </c>
      <c r="J245" s="377">
        <f t="shared" si="207"/>
        <v>61</v>
      </c>
      <c r="K245" s="369">
        <f t="shared" ref="K245:K251" si="213">I245+J245</f>
        <v>30501</v>
      </c>
      <c r="L245" s="360">
        <f t="shared" si="211"/>
        <v>210</v>
      </c>
      <c r="O245" s="381"/>
    </row>
    <row r="246" spans="1:15">
      <c r="A246" s="355">
        <f t="shared" si="208"/>
        <v>211</v>
      </c>
      <c r="B246" s="372">
        <f t="shared" si="212"/>
        <v>30555</v>
      </c>
      <c r="C246" s="357">
        <f t="shared" si="166"/>
        <v>1</v>
      </c>
      <c r="D246" s="358" t="str">
        <f t="shared" si="167"/>
        <v>ketu</v>
      </c>
      <c r="E246" s="368">
        <f t="shared" si="205"/>
        <v>6</v>
      </c>
      <c r="F246" s="367" t="str">
        <f t="shared" si="190"/>
        <v>rahu</v>
      </c>
      <c r="G246" s="367">
        <f t="shared" si="209"/>
        <v>9</v>
      </c>
      <c r="H246" s="367" t="str">
        <f t="shared" si="206"/>
        <v>mercury</v>
      </c>
      <c r="I246" s="369">
        <f t="shared" si="210"/>
        <v>30501</v>
      </c>
      <c r="J246" s="377">
        <f t="shared" si="207"/>
        <v>54</v>
      </c>
      <c r="K246" s="369">
        <f t="shared" si="213"/>
        <v>30555</v>
      </c>
      <c r="L246" s="360">
        <f t="shared" si="211"/>
        <v>211</v>
      </c>
      <c r="O246" s="381"/>
    </row>
    <row r="247" spans="1:15">
      <c r="A247" s="355">
        <f t="shared" si="208"/>
        <v>212</v>
      </c>
      <c r="B247" s="372">
        <f t="shared" si="212"/>
        <v>30578</v>
      </c>
      <c r="C247" s="357">
        <f t="shared" si="166"/>
        <v>1</v>
      </c>
      <c r="D247" s="358" t="str">
        <f t="shared" si="167"/>
        <v>ketu</v>
      </c>
      <c r="E247" s="368">
        <f t="shared" si="205"/>
        <v>6</v>
      </c>
      <c r="F247" s="367" t="str">
        <f t="shared" si="190"/>
        <v>rahu</v>
      </c>
      <c r="G247" s="367">
        <f t="shared" si="209"/>
        <v>1</v>
      </c>
      <c r="H247" s="367" t="str">
        <f t="shared" si="206"/>
        <v>ketu</v>
      </c>
      <c r="I247" s="369">
        <f t="shared" si="210"/>
        <v>30555</v>
      </c>
      <c r="J247" s="377">
        <f t="shared" si="207"/>
        <v>23</v>
      </c>
      <c r="K247" s="369">
        <f t="shared" si="213"/>
        <v>30578</v>
      </c>
      <c r="L247" s="360">
        <f t="shared" si="211"/>
        <v>212</v>
      </c>
      <c r="O247" s="381"/>
    </row>
    <row r="248" spans="1:15">
      <c r="A248" s="355">
        <f t="shared" si="208"/>
        <v>213</v>
      </c>
      <c r="B248" s="372">
        <f t="shared" si="212"/>
        <v>30643</v>
      </c>
      <c r="C248" s="357">
        <f t="shared" si="166"/>
        <v>1</v>
      </c>
      <c r="D248" s="358" t="str">
        <f t="shared" si="167"/>
        <v>ketu</v>
      </c>
      <c r="E248" s="368">
        <f t="shared" si="205"/>
        <v>6</v>
      </c>
      <c r="F248" s="367" t="str">
        <f t="shared" si="190"/>
        <v>rahu</v>
      </c>
      <c r="G248" s="367">
        <f t="shared" si="209"/>
        <v>2</v>
      </c>
      <c r="H248" s="367" t="str">
        <f t="shared" si="206"/>
        <v>venus</v>
      </c>
      <c r="I248" s="369">
        <f t="shared" si="210"/>
        <v>30578</v>
      </c>
      <c r="J248" s="377">
        <f t="shared" si="207"/>
        <v>65</v>
      </c>
      <c r="K248" s="369">
        <f t="shared" si="213"/>
        <v>30643</v>
      </c>
      <c r="L248" s="360">
        <f t="shared" si="211"/>
        <v>213</v>
      </c>
      <c r="O248" s="381"/>
    </row>
    <row r="249" spans="1:15">
      <c r="A249" s="355">
        <f t="shared" si="208"/>
        <v>214</v>
      </c>
      <c r="B249" s="372">
        <f t="shared" si="212"/>
        <v>30662</v>
      </c>
      <c r="C249" s="357">
        <f t="shared" si="166"/>
        <v>1</v>
      </c>
      <c r="D249" s="358" t="str">
        <f t="shared" si="167"/>
        <v>ketu</v>
      </c>
      <c r="E249" s="368">
        <f t="shared" si="205"/>
        <v>6</v>
      </c>
      <c r="F249" s="367" t="str">
        <f t="shared" si="190"/>
        <v>rahu</v>
      </c>
      <c r="G249" s="367">
        <f t="shared" si="209"/>
        <v>3</v>
      </c>
      <c r="H249" s="367" t="str">
        <f t="shared" si="206"/>
        <v>sun</v>
      </c>
      <c r="I249" s="369">
        <f t="shared" si="210"/>
        <v>30643</v>
      </c>
      <c r="J249" s="377">
        <f t="shared" si="207"/>
        <v>19</v>
      </c>
      <c r="K249" s="369">
        <f t="shared" si="213"/>
        <v>30662</v>
      </c>
      <c r="L249" s="360">
        <f t="shared" si="211"/>
        <v>214</v>
      </c>
      <c r="O249" s="381"/>
    </row>
    <row r="250" spans="1:15">
      <c r="A250" s="355">
        <f t="shared" si="208"/>
        <v>215</v>
      </c>
      <c r="B250" s="372">
        <f t="shared" si="212"/>
        <v>30693</v>
      </c>
      <c r="C250" s="357">
        <f t="shared" si="166"/>
        <v>1</v>
      </c>
      <c r="D250" s="358" t="str">
        <f t="shared" si="167"/>
        <v>ketu</v>
      </c>
      <c r="E250" s="368">
        <f t="shared" si="205"/>
        <v>6</v>
      </c>
      <c r="F250" s="367" t="str">
        <f t="shared" si="190"/>
        <v>rahu</v>
      </c>
      <c r="G250" s="367">
        <f t="shared" si="209"/>
        <v>4</v>
      </c>
      <c r="H250" s="367" t="str">
        <f t="shared" si="206"/>
        <v>moon</v>
      </c>
      <c r="I250" s="369">
        <f t="shared" si="210"/>
        <v>30662</v>
      </c>
      <c r="J250" s="377">
        <f t="shared" si="207"/>
        <v>31</v>
      </c>
      <c r="K250" s="369">
        <f t="shared" si="213"/>
        <v>30693</v>
      </c>
      <c r="L250" s="360">
        <f t="shared" si="211"/>
        <v>215</v>
      </c>
      <c r="O250" s="381"/>
    </row>
    <row r="251" spans="1:15">
      <c r="A251" s="355">
        <f t="shared" si="208"/>
        <v>216</v>
      </c>
      <c r="B251" s="372">
        <f t="shared" si="212"/>
        <v>30716</v>
      </c>
      <c r="C251" s="357">
        <f t="shared" si="166"/>
        <v>1</v>
      </c>
      <c r="D251" s="358" t="str">
        <f t="shared" si="167"/>
        <v>ketu</v>
      </c>
      <c r="E251" s="368">
        <f t="shared" si="205"/>
        <v>6</v>
      </c>
      <c r="F251" s="367" t="str">
        <f t="shared" si="190"/>
        <v>rahu</v>
      </c>
      <c r="G251" s="367">
        <f t="shared" si="209"/>
        <v>5</v>
      </c>
      <c r="H251" s="367" t="str">
        <f t="shared" si="206"/>
        <v>mars</v>
      </c>
      <c r="I251" s="369">
        <f t="shared" si="210"/>
        <v>30693</v>
      </c>
      <c r="J251" s="377">
        <f t="shared" si="207"/>
        <v>23</v>
      </c>
      <c r="K251" s="369">
        <f t="shared" si="213"/>
        <v>30716</v>
      </c>
      <c r="L251" s="360">
        <f t="shared" si="211"/>
        <v>216</v>
      </c>
      <c r="N251" s="358">
        <f>SUM(J243:J251)</f>
        <v>384</v>
      </c>
      <c r="O251" s="381"/>
    </row>
    <row r="252" spans="1:15">
      <c r="A252" s="399"/>
      <c r="B252" s="386"/>
      <c r="C252" s="387">
        <f>C242</f>
        <v>1</v>
      </c>
      <c r="D252" s="373" t="str">
        <f>D242</f>
        <v>ketu</v>
      </c>
      <c r="E252" s="393">
        <f>IF(E242+1&gt;9,E242+1-9,E242+1)</f>
        <v>7</v>
      </c>
      <c r="F252" s="389" t="str">
        <f t="shared" si="190"/>
        <v>jupiter</v>
      </c>
      <c r="G252" s="389"/>
      <c r="H252" s="389"/>
      <c r="I252" s="390">
        <f>K242</f>
        <v>30717</v>
      </c>
      <c r="J252" s="373">
        <f>ROUND(J$191*VLOOKUP(E252,$A$848:$E$856,5,FALSE),0)</f>
        <v>332</v>
      </c>
      <c r="K252" s="390">
        <f>I252+J252</f>
        <v>31049</v>
      </c>
      <c r="L252" s="400"/>
      <c r="M252" s="373"/>
      <c r="N252" s="373"/>
      <c r="O252" s="381"/>
    </row>
    <row r="253" spans="1:15">
      <c r="A253" s="355">
        <f>A251+1</f>
        <v>217</v>
      </c>
      <c r="B253" s="372">
        <f>K253</f>
        <v>30759</v>
      </c>
      <c r="C253" s="357">
        <f t="shared" si="166"/>
        <v>1</v>
      </c>
      <c r="D253" s="358" t="str">
        <f t="shared" si="167"/>
        <v>ketu</v>
      </c>
      <c r="E253" s="368">
        <f t="shared" ref="E253:E261" si="214">E252</f>
        <v>7</v>
      </c>
      <c r="F253" s="367" t="str">
        <f t="shared" si="190"/>
        <v>jupiter</v>
      </c>
      <c r="G253" s="367">
        <f>E253</f>
        <v>7</v>
      </c>
      <c r="H253" s="367" t="str">
        <f t="shared" ref="H253:H261" si="215">VLOOKUP(G253,$A$848:$B$856,2,FALSE)</f>
        <v>jupiter</v>
      </c>
      <c r="I253" s="369">
        <f>K251</f>
        <v>30716</v>
      </c>
      <c r="J253" s="377">
        <f t="shared" ref="J253:J261" si="216">ROUND(J$252*VLOOKUP(G253,$A$848:$E$856,5,FALSE),0)</f>
        <v>43</v>
      </c>
      <c r="K253" s="369">
        <f>I253+J253</f>
        <v>30759</v>
      </c>
      <c r="L253" s="360">
        <f>L251+1</f>
        <v>217</v>
      </c>
      <c r="O253" s="381"/>
    </row>
    <row r="254" spans="1:15">
      <c r="A254" s="355">
        <f t="shared" ref="A254:A261" si="217">A253+1</f>
        <v>218</v>
      </c>
      <c r="B254" s="372">
        <f>K254</f>
        <v>30812</v>
      </c>
      <c r="C254" s="357">
        <f t="shared" si="166"/>
        <v>1</v>
      </c>
      <c r="D254" s="358" t="str">
        <f t="shared" si="167"/>
        <v>ketu</v>
      </c>
      <c r="E254" s="368">
        <f t="shared" si="214"/>
        <v>7</v>
      </c>
      <c r="F254" s="367" t="str">
        <f t="shared" si="190"/>
        <v>jupiter</v>
      </c>
      <c r="G254" s="367">
        <f t="shared" ref="G254:G261" si="218">IF(G253+1&gt;9,G253+1-9,G253+1)</f>
        <v>8</v>
      </c>
      <c r="H254" s="367" t="str">
        <f t="shared" si="215"/>
        <v>saturn</v>
      </c>
      <c r="I254" s="369">
        <f t="shared" ref="I254:I261" si="219">K253</f>
        <v>30759</v>
      </c>
      <c r="J254" s="377">
        <f t="shared" si="216"/>
        <v>53</v>
      </c>
      <c r="K254" s="369">
        <f>I254+J254</f>
        <v>30812</v>
      </c>
      <c r="L254" s="360">
        <f t="shared" ref="L254:L261" si="220">L253+1</f>
        <v>218</v>
      </c>
      <c r="O254" s="381"/>
    </row>
    <row r="255" spans="1:15">
      <c r="A255" s="355">
        <f t="shared" si="217"/>
        <v>219</v>
      </c>
      <c r="B255" s="372">
        <f t="shared" ref="B255:B261" si="221">K255</f>
        <v>30858</v>
      </c>
      <c r="C255" s="357">
        <f t="shared" si="166"/>
        <v>1</v>
      </c>
      <c r="D255" s="358" t="str">
        <f t="shared" si="167"/>
        <v>ketu</v>
      </c>
      <c r="E255" s="368">
        <f t="shared" si="214"/>
        <v>7</v>
      </c>
      <c r="F255" s="367" t="str">
        <f t="shared" si="190"/>
        <v>jupiter</v>
      </c>
      <c r="G255" s="367">
        <f t="shared" si="218"/>
        <v>9</v>
      </c>
      <c r="H255" s="367" t="str">
        <f t="shared" si="215"/>
        <v>mercury</v>
      </c>
      <c r="I255" s="369">
        <f t="shared" si="219"/>
        <v>30812</v>
      </c>
      <c r="J255" s="377">
        <f t="shared" si="216"/>
        <v>46</v>
      </c>
      <c r="K255" s="369">
        <f t="shared" ref="K255:K261" si="222">I255+J255</f>
        <v>30858</v>
      </c>
      <c r="L255" s="360">
        <f t="shared" si="220"/>
        <v>219</v>
      </c>
      <c r="O255" s="381"/>
    </row>
    <row r="256" spans="1:15">
      <c r="A256" s="355">
        <f t="shared" si="217"/>
        <v>220</v>
      </c>
      <c r="B256" s="372">
        <f t="shared" si="221"/>
        <v>30878</v>
      </c>
      <c r="C256" s="357">
        <f t="shared" si="166"/>
        <v>1</v>
      </c>
      <c r="D256" s="358" t="str">
        <f t="shared" si="167"/>
        <v>ketu</v>
      </c>
      <c r="E256" s="368">
        <f t="shared" si="214"/>
        <v>7</v>
      </c>
      <c r="F256" s="367" t="str">
        <f t="shared" ref="F256:F281" si="223">VLOOKUP(E256,$A$848:$B$856,2,FALSE)</f>
        <v>jupiter</v>
      </c>
      <c r="G256" s="367">
        <f t="shared" si="218"/>
        <v>1</v>
      </c>
      <c r="H256" s="367" t="str">
        <f t="shared" si="215"/>
        <v>ketu</v>
      </c>
      <c r="I256" s="369">
        <f t="shared" si="219"/>
        <v>30858</v>
      </c>
      <c r="J256" s="377">
        <f t="shared" si="216"/>
        <v>20</v>
      </c>
      <c r="K256" s="369">
        <f t="shared" si="222"/>
        <v>30878</v>
      </c>
      <c r="L256" s="360">
        <f t="shared" si="220"/>
        <v>220</v>
      </c>
      <c r="O256" s="381"/>
    </row>
    <row r="257" spans="1:15">
      <c r="A257" s="355">
        <f t="shared" si="217"/>
        <v>221</v>
      </c>
      <c r="B257" s="372">
        <f t="shared" si="221"/>
        <v>30934</v>
      </c>
      <c r="C257" s="357">
        <f t="shared" si="166"/>
        <v>1</v>
      </c>
      <c r="D257" s="358" t="str">
        <f t="shared" si="167"/>
        <v>ketu</v>
      </c>
      <c r="E257" s="368">
        <f t="shared" si="214"/>
        <v>7</v>
      </c>
      <c r="F257" s="367" t="str">
        <f t="shared" si="223"/>
        <v>jupiter</v>
      </c>
      <c r="G257" s="367">
        <f t="shared" si="218"/>
        <v>2</v>
      </c>
      <c r="H257" s="367" t="str">
        <f t="shared" si="215"/>
        <v>venus</v>
      </c>
      <c r="I257" s="369">
        <f t="shared" si="219"/>
        <v>30878</v>
      </c>
      <c r="J257" s="377">
        <f t="shared" si="216"/>
        <v>56</v>
      </c>
      <c r="K257" s="369">
        <f t="shared" si="222"/>
        <v>30934</v>
      </c>
      <c r="L257" s="360">
        <f t="shared" si="220"/>
        <v>221</v>
      </c>
      <c r="O257" s="381"/>
    </row>
    <row r="258" spans="1:15">
      <c r="A258" s="355">
        <f t="shared" si="217"/>
        <v>222</v>
      </c>
      <c r="B258" s="372">
        <f t="shared" si="221"/>
        <v>30951</v>
      </c>
      <c r="C258" s="357">
        <f t="shared" si="166"/>
        <v>1</v>
      </c>
      <c r="D258" s="358" t="str">
        <f t="shared" si="167"/>
        <v>ketu</v>
      </c>
      <c r="E258" s="368">
        <f t="shared" si="214"/>
        <v>7</v>
      </c>
      <c r="F258" s="367" t="str">
        <f t="shared" si="223"/>
        <v>jupiter</v>
      </c>
      <c r="G258" s="367">
        <f t="shared" si="218"/>
        <v>3</v>
      </c>
      <c r="H258" s="367" t="str">
        <f t="shared" si="215"/>
        <v>sun</v>
      </c>
      <c r="I258" s="369">
        <f t="shared" si="219"/>
        <v>30934</v>
      </c>
      <c r="J258" s="377">
        <f t="shared" si="216"/>
        <v>17</v>
      </c>
      <c r="K258" s="369">
        <f t="shared" si="222"/>
        <v>30951</v>
      </c>
      <c r="L258" s="360">
        <f t="shared" si="220"/>
        <v>222</v>
      </c>
      <c r="O258" s="381"/>
    </row>
    <row r="259" spans="1:15">
      <c r="A259" s="355">
        <f t="shared" si="217"/>
        <v>223</v>
      </c>
      <c r="B259" s="372">
        <f t="shared" si="221"/>
        <v>30978</v>
      </c>
      <c r="C259" s="357">
        <f t="shared" si="166"/>
        <v>1</v>
      </c>
      <c r="D259" s="358" t="str">
        <f t="shared" si="167"/>
        <v>ketu</v>
      </c>
      <c r="E259" s="368">
        <f t="shared" si="214"/>
        <v>7</v>
      </c>
      <c r="F259" s="367" t="str">
        <f t="shared" si="223"/>
        <v>jupiter</v>
      </c>
      <c r="G259" s="367">
        <f t="shared" si="218"/>
        <v>4</v>
      </c>
      <c r="H259" s="367" t="str">
        <f t="shared" si="215"/>
        <v>moon</v>
      </c>
      <c r="I259" s="369">
        <f t="shared" si="219"/>
        <v>30951</v>
      </c>
      <c r="J259" s="377">
        <f t="shared" si="216"/>
        <v>27</v>
      </c>
      <c r="K259" s="369">
        <f t="shared" si="222"/>
        <v>30978</v>
      </c>
      <c r="L259" s="360">
        <f t="shared" si="220"/>
        <v>223</v>
      </c>
      <c r="O259" s="381"/>
    </row>
    <row r="260" spans="1:15">
      <c r="A260" s="355">
        <f t="shared" si="217"/>
        <v>224</v>
      </c>
      <c r="B260" s="372">
        <f t="shared" si="221"/>
        <v>30998</v>
      </c>
      <c r="C260" s="357">
        <f t="shared" si="166"/>
        <v>1</v>
      </c>
      <c r="D260" s="358" t="str">
        <f t="shared" si="167"/>
        <v>ketu</v>
      </c>
      <c r="E260" s="368">
        <f t="shared" si="214"/>
        <v>7</v>
      </c>
      <c r="F260" s="367" t="str">
        <f t="shared" si="223"/>
        <v>jupiter</v>
      </c>
      <c r="G260" s="367">
        <f t="shared" si="218"/>
        <v>5</v>
      </c>
      <c r="H260" s="367" t="str">
        <f t="shared" si="215"/>
        <v>mars</v>
      </c>
      <c r="I260" s="369">
        <f t="shared" si="219"/>
        <v>30978</v>
      </c>
      <c r="J260" s="377">
        <f t="shared" si="216"/>
        <v>20</v>
      </c>
      <c r="K260" s="369">
        <f t="shared" si="222"/>
        <v>30998</v>
      </c>
      <c r="L260" s="360">
        <f t="shared" si="220"/>
        <v>224</v>
      </c>
      <c r="O260" s="381"/>
    </row>
    <row r="261" spans="1:15">
      <c r="A261" s="355">
        <f t="shared" si="217"/>
        <v>225</v>
      </c>
      <c r="B261" s="372">
        <f t="shared" si="221"/>
        <v>31048</v>
      </c>
      <c r="C261" s="357">
        <f t="shared" si="166"/>
        <v>1</v>
      </c>
      <c r="D261" s="358" t="str">
        <f t="shared" si="167"/>
        <v>ketu</v>
      </c>
      <c r="E261" s="368">
        <f t="shared" si="214"/>
        <v>7</v>
      </c>
      <c r="F261" s="367" t="str">
        <f t="shared" si="223"/>
        <v>jupiter</v>
      </c>
      <c r="G261" s="367">
        <f t="shared" si="218"/>
        <v>6</v>
      </c>
      <c r="H261" s="367" t="str">
        <f t="shared" si="215"/>
        <v>rahu</v>
      </c>
      <c r="I261" s="369">
        <f t="shared" si="219"/>
        <v>30998</v>
      </c>
      <c r="J261" s="377">
        <f t="shared" si="216"/>
        <v>50</v>
      </c>
      <c r="K261" s="369">
        <f t="shared" si="222"/>
        <v>31048</v>
      </c>
      <c r="L261" s="360">
        <f t="shared" si="220"/>
        <v>225</v>
      </c>
      <c r="N261" s="358">
        <f>SUM(J253:J261)</f>
        <v>332</v>
      </c>
      <c r="O261" s="381"/>
    </row>
    <row r="262" spans="1:15">
      <c r="A262" s="399"/>
      <c r="B262" s="386"/>
      <c r="C262" s="387">
        <f>C252</f>
        <v>1</v>
      </c>
      <c r="D262" s="373" t="str">
        <f>D252</f>
        <v>ketu</v>
      </c>
      <c r="E262" s="393">
        <f>IF(E252+1&gt;9,E252+1-9,E252+1)</f>
        <v>8</v>
      </c>
      <c r="F262" s="389" t="str">
        <f t="shared" si="223"/>
        <v>saturn</v>
      </c>
      <c r="G262" s="389"/>
      <c r="H262" s="389"/>
      <c r="I262" s="390">
        <f>K252</f>
        <v>31049</v>
      </c>
      <c r="J262" s="373">
        <f>ROUND(J$191*VLOOKUP(E262,$A$848:$E$856,5,FALSE),0)</f>
        <v>409</v>
      </c>
      <c r="K262" s="390">
        <f>I262+J262</f>
        <v>31458</v>
      </c>
      <c r="L262" s="400"/>
      <c r="M262" s="373"/>
      <c r="N262" s="373"/>
      <c r="O262" s="381"/>
    </row>
    <row r="263" spans="1:15">
      <c r="A263" s="355">
        <f>A261+1</f>
        <v>226</v>
      </c>
      <c r="B263" s="372">
        <f>K263</f>
        <v>31113</v>
      </c>
      <c r="C263" s="357">
        <f t="shared" si="166"/>
        <v>1</v>
      </c>
      <c r="D263" s="358" t="str">
        <f t="shared" si="167"/>
        <v>ketu</v>
      </c>
      <c r="E263" s="368">
        <f t="shared" ref="E263:E271" si="224">E262</f>
        <v>8</v>
      </c>
      <c r="F263" s="367" t="str">
        <f t="shared" si="223"/>
        <v>saturn</v>
      </c>
      <c r="G263" s="367">
        <f>E263</f>
        <v>8</v>
      </c>
      <c r="H263" s="367" t="str">
        <f t="shared" ref="H263:H271" si="225">VLOOKUP(G263,$A$848:$B$856,2,FALSE)</f>
        <v>saturn</v>
      </c>
      <c r="I263" s="369">
        <f>K261</f>
        <v>31048</v>
      </c>
      <c r="J263" s="377">
        <f t="shared" ref="J263:J271" si="226">ROUND(J$262*VLOOKUP(G263,$A$848:$E$856,5,FALSE),0)</f>
        <v>65</v>
      </c>
      <c r="K263" s="369">
        <f>I263+J263</f>
        <v>31113</v>
      </c>
      <c r="L263" s="360">
        <f>L261+1</f>
        <v>226</v>
      </c>
      <c r="O263" s="381"/>
    </row>
    <row r="264" spans="1:15">
      <c r="A264" s="355">
        <f t="shared" ref="A264:A271" si="227">A263+1</f>
        <v>227</v>
      </c>
      <c r="B264" s="372">
        <f>K264</f>
        <v>31170</v>
      </c>
      <c r="C264" s="357">
        <f t="shared" si="166"/>
        <v>1</v>
      </c>
      <c r="D264" s="358" t="str">
        <f t="shared" si="167"/>
        <v>ketu</v>
      </c>
      <c r="E264" s="368">
        <f t="shared" si="224"/>
        <v>8</v>
      </c>
      <c r="F264" s="367" t="str">
        <f t="shared" si="223"/>
        <v>saturn</v>
      </c>
      <c r="G264" s="367">
        <f t="shared" ref="G264:G271" si="228">IF(G263+1&gt;9,G263+1-9,G263+1)</f>
        <v>9</v>
      </c>
      <c r="H264" s="367" t="str">
        <f t="shared" si="225"/>
        <v>mercury</v>
      </c>
      <c r="I264" s="369">
        <f t="shared" ref="I264:I271" si="229">K263</f>
        <v>31113</v>
      </c>
      <c r="J264" s="377">
        <f t="shared" si="226"/>
        <v>57</v>
      </c>
      <c r="K264" s="369">
        <f>I264+J264</f>
        <v>31170</v>
      </c>
      <c r="L264" s="360">
        <f t="shared" ref="L264:L271" si="230">L263+1</f>
        <v>227</v>
      </c>
      <c r="O264" s="381"/>
    </row>
    <row r="265" spans="1:15">
      <c r="A265" s="355">
        <f t="shared" si="227"/>
        <v>228</v>
      </c>
      <c r="B265" s="372">
        <f t="shared" ref="B265:B271" si="231">K265</f>
        <v>31195</v>
      </c>
      <c r="C265" s="357">
        <f t="shared" si="166"/>
        <v>1</v>
      </c>
      <c r="D265" s="358" t="str">
        <f t="shared" si="167"/>
        <v>ketu</v>
      </c>
      <c r="E265" s="368">
        <f t="shared" si="224"/>
        <v>8</v>
      </c>
      <c r="F265" s="367" t="str">
        <f t="shared" si="223"/>
        <v>saturn</v>
      </c>
      <c r="G265" s="367">
        <f t="shared" si="228"/>
        <v>1</v>
      </c>
      <c r="H265" s="367" t="str">
        <f t="shared" si="225"/>
        <v>ketu</v>
      </c>
      <c r="I265" s="369">
        <f t="shared" si="229"/>
        <v>31170</v>
      </c>
      <c r="J265" s="377">
        <f t="shared" si="226"/>
        <v>25</v>
      </c>
      <c r="K265" s="369">
        <f t="shared" ref="K265:K271" si="232">I265+J265</f>
        <v>31195</v>
      </c>
      <c r="L265" s="360">
        <f t="shared" si="230"/>
        <v>228</v>
      </c>
      <c r="O265" s="381"/>
    </row>
    <row r="266" spans="1:15">
      <c r="A266" s="355">
        <f t="shared" si="227"/>
        <v>229</v>
      </c>
      <c r="B266" s="372">
        <f t="shared" si="231"/>
        <v>31265</v>
      </c>
      <c r="C266" s="357">
        <f t="shared" si="166"/>
        <v>1</v>
      </c>
      <c r="D266" s="358" t="str">
        <f t="shared" si="167"/>
        <v>ketu</v>
      </c>
      <c r="E266" s="368">
        <f t="shared" si="224"/>
        <v>8</v>
      </c>
      <c r="F266" s="367" t="str">
        <f t="shared" si="223"/>
        <v>saturn</v>
      </c>
      <c r="G266" s="367">
        <f t="shared" si="228"/>
        <v>2</v>
      </c>
      <c r="H266" s="367" t="str">
        <f t="shared" si="225"/>
        <v>venus</v>
      </c>
      <c r="I266" s="369">
        <f t="shared" si="229"/>
        <v>31195</v>
      </c>
      <c r="J266" s="377">
        <f t="shared" si="226"/>
        <v>70</v>
      </c>
      <c r="K266" s="369">
        <f t="shared" si="232"/>
        <v>31265</v>
      </c>
      <c r="L266" s="360">
        <f t="shared" si="230"/>
        <v>229</v>
      </c>
      <c r="O266" s="381"/>
    </row>
    <row r="267" spans="1:15">
      <c r="A267" s="355">
        <f t="shared" si="227"/>
        <v>230</v>
      </c>
      <c r="B267" s="372">
        <f t="shared" si="231"/>
        <v>31285</v>
      </c>
      <c r="C267" s="357">
        <f t="shared" si="166"/>
        <v>1</v>
      </c>
      <c r="D267" s="358" t="str">
        <f t="shared" si="167"/>
        <v>ketu</v>
      </c>
      <c r="E267" s="368">
        <f t="shared" si="224"/>
        <v>8</v>
      </c>
      <c r="F267" s="367" t="str">
        <f t="shared" si="223"/>
        <v>saturn</v>
      </c>
      <c r="G267" s="367">
        <f t="shared" si="228"/>
        <v>3</v>
      </c>
      <c r="H267" s="367" t="str">
        <f t="shared" si="225"/>
        <v>sun</v>
      </c>
      <c r="I267" s="369">
        <f t="shared" si="229"/>
        <v>31265</v>
      </c>
      <c r="J267" s="377">
        <f t="shared" si="226"/>
        <v>20</v>
      </c>
      <c r="K267" s="369">
        <f t="shared" si="232"/>
        <v>31285</v>
      </c>
      <c r="L267" s="360">
        <f t="shared" si="230"/>
        <v>230</v>
      </c>
      <c r="O267" s="381"/>
    </row>
    <row r="268" spans="1:15">
      <c r="A268" s="355">
        <f t="shared" si="227"/>
        <v>231</v>
      </c>
      <c r="B268" s="372">
        <f t="shared" si="231"/>
        <v>31318</v>
      </c>
      <c r="C268" s="357">
        <f t="shared" si="166"/>
        <v>1</v>
      </c>
      <c r="D268" s="358" t="str">
        <f t="shared" si="167"/>
        <v>ketu</v>
      </c>
      <c r="E268" s="368">
        <f t="shared" si="224"/>
        <v>8</v>
      </c>
      <c r="F268" s="367" t="str">
        <f t="shared" si="223"/>
        <v>saturn</v>
      </c>
      <c r="G268" s="367">
        <f t="shared" si="228"/>
        <v>4</v>
      </c>
      <c r="H268" s="367" t="str">
        <f t="shared" si="225"/>
        <v>moon</v>
      </c>
      <c r="I268" s="369">
        <f t="shared" si="229"/>
        <v>31285</v>
      </c>
      <c r="J268" s="377">
        <f t="shared" si="226"/>
        <v>33</v>
      </c>
      <c r="K268" s="369">
        <f t="shared" si="232"/>
        <v>31318</v>
      </c>
      <c r="L268" s="360">
        <f t="shared" si="230"/>
        <v>231</v>
      </c>
      <c r="O268" s="381"/>
    </row>
    <row r="269" spans="1:15">
      <c r="A269" s="355">
        <f t="shared" si="227"/>
        <v>232</v>
      </c>
      <c r="B269" s="372">
        <f t="shared" si="231"/>
        <v>31343</v>
      </c>
      <c r="C269" s="357">
        <f t="shared" si="166"/>
        <v>1</v>
      </c>
      <c r="D269" s="358" t="str">
        <f t="shared" si="167"/>
        <v>ketu</v>
      </c>
      <c r="E269" s="368">
        <f t="shared" si="224"/>
        <v>8</v>
      </c>
      <c r="F269" s="367" t="str">
        <f t="shared" si="223"/>
        <v>saturn</v>
      </c>
      <c r="G269" s="367">
        <f t="shared" si="228"/>
        <v>5</v>
      </c>
      <c r="H269" s="367" t="str">
        <f t="shared" si="225"/>
        <v>mars</v>
      </c>
      <c r="I269" s="369">
        <f t="shared" si="229"/>
        <v>31318</v>
      </c>
      <c r="J269" s="377">
        <f t="shared" si="226"/>
        <v>25</v>
      </c>
      <c r="K269" s="369">
        <f t="shared" si="232"/>
        <v>31343</v>
      </c>
      <c r="L269" s="360">
        <f t="shared" si="230"/>
        <v>232</v>
      </c>
      <c r="O269" s="381"/>
    </row>
    <row r="270" spans="1:15">
      <c r="A270" s="355">
        <f t="shared" si="227"/>
        <v>233</v>
      </c>
      <c r="B270" s="372">
        <f t="shared" si="231"/>
        <v>31404</v>
      </c>
      <c r="C270" s="357">
        <f t="shared" si="166"/>
        <v>1</v>
      </c>
      <c r="D270" s="358" t="str">
        <f t="shared" si="167"/>
        <v>ketu</v>
      </c>
      <c r="E270" s="368">
        <f t="shared" si="224"/>
        <v>8</v>
      </c>
      <c r="F270" s="367" t="str">
        <f t="shared" si="223"/>
        <v>saturn</v>
      </c>
      <c r="G270" s="367">
        <f t="shared" si="228"/>
        <v>6</v>
      </c>
      <c r="H270" s="367" t="str">
        <f t="shared" si="225"/>
        <v>rahu</v>
      </c>
      <c r="I270" s="369">
        <f t="shared" si="229"/>
        <v>31343</v>
      </c>
      <c r="J270" s="377">
        <f t="shared" si="226"/>
        <v>61</v>
      </c>
      <c r="K270" s="369">
        <f t="shared" si="232"/>
        <v>31404</v>
      </c>
      <c r="L270" s="360">
        <f t="shared" si="230"/>
        <v>233</v>
      </c>
      <c r="O270" s="381"/>
    </row>
    <row r="271" spans="1:15">
      <c r="A271" s="355">
        <f t="shared" si="227"/>
        <v>234</v>
      </c>
      <c r="B271" s="372">
        <f t="shared" si="231"/>
        <v>31457</v>
      </c>
      <c r="C271" s="357">
        <f t="shared" si="166"/>
        <v>1</v>
      </c>
      <c r="D271" s="358" t="str">
        <f t="shared" si="167"/>
        <v>ketu</v>
      </c>
      <c r="E271" s="368">
        <f t="shared" si="224"/>
        <v>8</v>
      </c>
      <c r="F271" s="367" t="str">
        <f t="shared" si="223"/>
        <v>saturn</v>
      </c>
      <c r="G271" s="367">
        <f t="shared" si="228"/>
        <v>7</v>
      </c>
      <c r="H271" s="367" t="str">
        <f t="shared" si="225"/>
        <v>jupiter</v>
      </c>
      <c r="I271" s="369">
        <f t="shared" si="229"/>
        <v>31404</v>
      </c>
      <c r="J271" s="377">
        <f t="shared" si="226"/>
        <v>53</v>
      </c>
      <c r="K271" s="369">
        <f t="shared" si="232"/>
        <v>31457</v>
      </c>
      <c r="L271" s="360">
        <f t="shared" si="230"/>
        <v>234</v>
      </c>
      <c r="N271" s="358">
        <f>SUM(J263:J271)</f>
        <v>409</v>
      </c>
      <c r="O271" s="381"/>
    </row>
    <row r="272" spans="1:15">
      <c r="A272" s="399"/>
      <c r="B272" s="386"/>
      <c r="C272" s="387">
        <f>C262</f>
        <v>1</v>
      </c>
      <c r="D272" s="373" t="str">
        <f>D262</f>
        <v>ketu</v>
      </c>
      <c r="E272" s="393">
        <f>IF(E262+1&gt;9,E262+1-9,E262+1)</f>
        <v>9</v>
      </c>
      <c r="F272" s="389" t="str">
        <f t="shared" si="223"/>
        <v>mercury</v>
      </c>
      <c r="G272" s="389"/>
      <c r="H272" s="389"/>
      <c r="I272" s="390">
        <f>K262</f>
        <v>31458</v>
      </c>
      <c r="J272" s="373">
        <f>ROUND(J$191*VLOOKUP(E272,$A$848:$E$856,5,FALSE),0)</f>
        <v>358</v>
      </c>
      <c r="K272" s="390">
        <f>I272+J272</f>
        <v>31816</v>
      </c>
      <c r="L272" s="400"/>
      <c r="M272" s="390"/>
      <c r="N272" s="373"/>
      <c r="O272" s="381"/>
    </row>
    <row r="273" spans="1:16">
      <c r="A273" s="355">
        <f>A271+1</f>
        <v>235</v>
      </c>
      <c r="B273" s="372">
        <f>K273</f>
        <v>31507</v>
      </c>
      <c r="C273" s="357">
        <f t="shared" si="166"/>
        <v>1</v>
      </c>
      <c r="D273" s="358" t="str">
        <f t="shared" si="167"/>
        <v>ketu</v>
      </c>
      <c r="E273" s="368">
        <f t="shared" ref="E273:E281" si="233">E272</f>
        <v>9</v>
      </c>
      <c r="F273" s="367" t="str">
        <f t="shared" si="223"/>
        <v>mercury</v>
      </c>
      <c r="G273" s="367">
        <f>E273</f>
        <v>9</v>
      </c>
      <c r="H273" s="367" t="str">
        <f t="shared" ref="H273:H281" si="234">VLOOKUP(G273,$A$848:$B$856,2,FALSE)</f>
        <v>mercury</v>
      </c>
      <c r="I273" s="369">
        <f>K271</f>
        <v>31457</v>
      </c>
      <c r="J273" s="377">
        <f t="shared" ref="J273:J281" si="235">ROUND(J$272*VLOOKUP(G273,$A$848:$E$856,5,FALSE),0)</f>
        <v>50</v>
      </c>
      <c r="K273" s="369">
        <f>I273+J273</f>
        <v>31507</v>
      </c>
      <c r="L273" s="360">
        <f>L271+1</f>
        <v>235</v>
      </c>
      <c r="M273" s="369"/>
      <c r="O273" s="381"/>
    </row>
    <row r="274" spans="1:16">
      <c r="A274" s="355">
        <f t="shared" ref="A274:A281" si="236">A273+1</f>
        <v>236</v>
      </c>
      <c r="B274" s="372">
        <f>K274</f>
        <v>31528</v>
      </c>
      <c r="C274" s="357">
        <f t="shared" si="166"/>
        <v>1</v>
      </c>
      <c r="D274" s="358" t="str">
        <f t="shared" si="167"/>
        <v>ketu</v>
      </c>
      <c r="E274" s="368">
        <f t="shared" si="233"/>
        <v>9</v>
      </c>
      <c r="F274" s="367" t="str">
        <f t="shared" si="223"/>
        <v>mercury</v>
      </c>
      <c r="G274" s="367">
        <f t="shared" ref="G274:G281" si="237">IF(G273+1&gt;9,G273+1-9,G273+1)</f>
        <v>1</v>
      </c>
      <c r="H274" s="367" t="str">
        <f t="shared" si="234"/>
        <v>ketu</v>
      </c>
      <c r="I274" s="369">
        <f t="shared" ref="I274:I281" si="238">K273</f>
        <v>31507</v>
      </c>
      <c r="J274" s="377">
        <f t="shared" si="235"/>
        <v>21</v>
      </c>
      <c r="K274" s="369">
        <f>I274+J274</f>
        <v>31528</v>
      </c>
      <c r="L274" s="360">
        <f t="shared" ref="L274:L281" si="239">L273+1</f>
        <v>236</v>
      </c>
      <c r="M274" s="369"/>
      <c r="O274" s="381"/>
    </row>
    <row r="275" spans="1:16">
      <c r="A275" s="355">
        <f t="shared" si="236"/>
        <v>237</v>
      </c>
      <c r="B275" s="372">
        <f t="shared" ref="B275:B281" si="240">K275</f>
        <v>31589</v>
      </c>
      <c r="C275" s="357">
        <f t="shared" si="166"/>
        <v>1</v>
      </c>
      <c r="D275" s="358" t="str">
        <f t="shared" si="167"/>
        <v>ketu</v>
      </c>
      <c r="E275" s="368">
        <f t="shared" si="233"/>
        <v>9</v>
      </c>
      <c r="F275" s="367" t="str">
        <f t="shared" si="223"/>
        <v>mercury</v>
      </c>
      <c r="G275" s="367">
        <f t="shared" si="237"/>
        <v>2</v>
      </c>
      <c r="H275" s="367" t="str">
        <f t="shared" si="234"/>
        <v>venus</v>
      </c>
      <c r="I275" s="369">
        <f t="shared" si="238"/>
        <v>31528</v>
      </c>
      <c r="J275" s="377">
        <f t="shared" si="235"/>
        <v>61</v>
      </c>
      <c r="K275" s="369">
        <f t="shared" ref="K275:K281" si="241">I275+J275</f>
        <v>31589</v>
      </c>
      <c r="L275" s="360">
        <f t="shared" si="239"/>
        <v>237</v>
      </c>
      <c r="M275" s="369"/>
      <c r="O275" s="381"/>
    </row>
    <row r="276" spans="1:16">
      <c r="A276" s="355">
        <f t="shared" si="236"/>
        <v>238</v>
      </c>
      <c r="B276" s="372">
        <f t="shared" si="240"/>
        <v>31607</v>
      </c>
      <c r="C276" s="357">
        <f t="shared" si="166"/>
        <v>1</v>
      </c>
      <c r="D276" s="358" t="str">
        <f t="shared" si="167"/>
        <v>ketu</v>
      </c>
      <c r="E276" s="368">
        <f t="shared" si="233"/>
        <v>9</v>
      </c>
      <c r="F276" s="367" t="str">
        <f t="shared" si="223"/>
        <v>mercury</v>
      </c>
      <c r="G276" s="367">
        <f t="shared" si="237"/>
        <v>3</v>
      </c>
      <c r="H276" s="367" t="str">
        <f t="shared" si="234"/>
        <v>sun</v>
      </c>
      <c r="I276" s="369">
        <f t="shared" si="238"/>
        <v>31589</v>
      </c>
      <c r="J276" s="377">
        <f t="shared" si="235"/>
        <v>18</v>
      </c>
      <c r="K276" s="369">
        <f t="shared" si="241"/>
        <v>31607</v>
      </c>
      <c r="L276" s="360">
        <f t="shared" si="239"/>
        <v>238</v>
      </c>
      <c r="M276" s="369"/>
      <c r="O276" s="381"/>
    </row>
    <row r="277" spans="1:16">
      <c r="A277" s="355">
        <f t="shared" si="236"/>
        <v>239</v>
      </c>
      <c r="B277" s="372">
        <f t="shared" si="240"/>
        <v>31636</v>
      </c>
      <c r="C277" s="357">
        <f t="shared" si="166"/>
        <v>1</v>
      </c>
      <c r="D277" s="358" t="str">
        <f t="shared" si="167"/>
        <v>ketu</v>
      </c>
      <c r="E277" s="368">
        <f t="shared" si="233"/>
        <v>9</v>
      </c>
      <c r="F277" s="367" t="str">
        <f t="shared" si="223"/>
        <v>mercury</v>
      </c>
      <c r="G277" s="367">
        <f t="shared" si="237"/>
        <v>4</v>
      </c>
      <c r="H277" s="367" t="str">
        <f t="shared" si="234"/>
        <v>moon</v>
      </c>
      <c r="I277" s="369">
        <f t="shared" si="238"/>
        <v>31607</v>
      </c>
      <c r="J277" s="377">
        <f t="shared" si="235"/>
        <v>29</v>
      </c>
      <c r="K277" s="369">
        <f t="shared" si="241"/>
        <v>31636</v>
      </c>
      <c r="L277" s="360">
        <f t="shared" si="239"/>
        <v>239</v>
      </c>
      <c r="M277" s="369"/>
      <c r="O277" s="381"/>
    </row>
    <row r="278" spans="1:16">
      <c r="A278" s="355">
        <f t="shared" si="236"/>
        <v>240</v>
      </c>
      <c r="B278" s="372">
        <f t="shared" si="240"/>
        <v>31657</v>
      </c>
      <c r="C278" s="357">
        <f t="shared" si="166"/>
        <v>1</v>
      </c>
      <c r="D278" s="358" t="str">
        <f t="shared" si="167"/>
        <v>ketu</v>
      </c>
      <c r="E278" s="368">
        <f t="shared" si="233"/>
        <v>9</v>
      </c>
      <c r="F278" s="367" t="str">
        <f t="shared" si="223"/>
        <v>mercury</v>
      </c>
      <c r="G278" s="367">
        <f t="shared" si="237"/>
        <v>5</v>
      </c>
      <c r="H278" s="367" t="str">
        <f t="shared" si="234"/>
        <v>mars</v>
      </c>
      <c r="I278" s="369">
        <f t="shared" si="238"/>
        <v>31636</v>
      </c>
      <c r="J278" s="377">
        <f t="shared" si="235"/>
        <v>21</v>
      </c>
      <c r="K278" s="369">
        <f t="shared" si="241"/>
        <v>31657</v>
      </c>
      <c r="L278" s="360">
        <f t="shared" si="239"/>
        <v>240</v>
      </c>
      <c r="M278" s="369"/>
      <c r="O278" s="381"/>
    </row>
    <row r="279" spans="1:16">
      <c r="A279" s="355">
        <f t="shared" si="236"/>
        <v>241</v>
      </c>
      <c r="B279" s="372">
        <f t="shared" si="240"/>
        <v>31711</v>
      </c>
      <c r="C279" s="357">
        <f t="shared" si="166"/>
        <v>1</v>
      </c>
      <c r="D279" s="358" t="str">
        <f t="shared" si="167"/>
        <v>ketu</v>
      </c>
      <c r="E279" s="368">
        <f t="shared" si="233"/>
        <v>9</v>
      </c>
      <c r="F279" s="367" t="str">
        <f t="shared" si="223"/>
        <v>mercury</v>
      </c>
      <c r="G279" s="367">
        <f t="shared" si="237"/>
        <v>6</v>
      </c>
      <c r="H279" s="367" t="str">
        <f t="shared" si="234"/>
        <v>rahu</v>
      </c>
      <c r="I279" s="369">
        <f t="shared" si="238"/>
        <v>31657</v>
      </c>
      <c r="J279" s="377">
        <f t="shared" si="235"/>
        <v>54</v>
      </c>
      <c r="K279" s="369">
        <f t="shared" si="241"/>
        <v>31711</v>
      </c>
      <c r="L279" s="360">
        <f t="shared" si="239"/>
        <v>241</v>
      </c>
      <c r="M279" s="369"/>
      <c r="O279" s="381"/>
    </row>
    <row r="280" spans="1:16">
      <c r="A280" s="355">
        <f t="shared" si="236"/>
        <v>242</v>
      </c>
      <c r="B280" s="372">
        <f t="shared" si="240"/>
        <v>31758</v>
      </c>
      <c r="C280" s="357">
        <f t="shared" si="166"/>
        <v>1</v>
      </c>
      <c r="D280" s="358" t="str">
        <f t="shared" si="167"/>
        <v>ketu</v>
      </c>
      <c r="E280" s="368">
        <f t="shared" si="233"/>
        <v>9</v>
      </c>
      <c r="F280" s="367" t="str">
        <f t="shared" si="223"/>
        <v>mercury</v>
      </c>
      <c r="G280" s="367">
        <f t="shared" si="237"/>
        <v>7</v>
      </c>
      <c r="H280" s="367" t="str">
        <f t="shared" si="234"/>
        <v>jupiter</v>
      </c>
      <c r="I280" s="369">
        <f t="shared" si="238"/>
        <v>31711</v>
      </c>
      <c r="J280" s="377">
        <f t="shared" si="235"/>
        <v>47</v>
      </c>
      <c r="K280" s="369">
        <f t="shared" si="241"/>
        <v>31758</v>
      </c>
      <c r="L280" s="360">
        <f t="shared" si="239"/>
        <v>242</v>
      </c>
      <c r="M280" s="369"/>
      <c r="O280" s="381"/>
    </row>
    <row r="281" spans="1:16" ht="13.8" thickBot="1">
      <c r="A281" s="355">
        <f t="shared" si="236"/>
        <v>243</v>
      </c>
      <c r="B281" s="372">
        <f t="shared" si="240"/>
        <v>31815</v>
      </c>
      <c r="C281" s="357">
        <f t="shared" si="166"/>
        <v>1</v>
      </c>
      <c r="D281" s="358" t="str">
        <f t="shared" si="167"/>
        <v>ketu</v>
      </c>
      <c r="E281" s="368">
        <f t="shared" si="233"/>
        <v>9</v>
      </c>
      <c r="F281" s="367" t="str">
        <f t="shared" si="223"/>
        <v>mercury</v>
      </c>
      <c r="G281" s="367">
        <f t="shared" si="237"/>
        <v>8</v>
      </c>
      <c r="H281" s="367" t="str">
        <f t="shared" si="234"/>
        <v>saturn</v>
      </c>
      <c r="I281" s="369">
        <f t="shared" si="238"/>
        <v>31758</v>
      </c>
      <c r="J281" s="377">
        <f t="shared" si="235"/>
        <v>57</v>
      </c>
      <c r="K281" s="369">
        <f t="shared" si="241"/>
        <v>31815</v>
      </c>
      <c r="L281" s="360">
        <f t="shared" si="239"/>
        <v>243</v>
      </c>
      <c r="M281" s="369"/>
      <c r="N281" s="358">
        <f>SUM(J273:J281)</f>
        <v>358</v>
      </c>
      <c r="O281" s="413" t="s">
        <v>554</v>
      </c>
      <c r="P281" s="413"/>
    </row>
    <row r="282" spans="1:16">
      <c r="A282" s="404"/>
      <c r="B282" s="405"/>
      <c r="C282" s="406">
        <f>IF(C191+1&gt;9,C191+1-9,C191+1)</f>
        <v>2</v>
      </c>
      <c r="D282" s="407" t="str">
        <f>VLOOKUP(C282,$A$848:$B$856,2,FALSE)</f>
        <v>venus</v>
      </c>
      <c r="E282" s="408"/>
      <c r="F282" s="383"/>
      <c r="G282" s="383"/>
      <c r="H282" s="383"/>
      <c r="I282" s="410">
        <f>K191</f>
        <v>31815.75</v>
      </c>
      <c r="J282" s="370">
        <f>VLOOKUP(C282,$A$848:$D$856,4,FALSE)</f>
        <v>7305</v>
      </c>
      <c r="K282" s="376">
        <f>I282+J282</f>
        <v>39120.75</v>
      </c>
      <c r="L282" s="409"/>
      <c r="M282" s="376">
        <f>K191</f>
        <v>31815.75</v>
      </c>
      <c r="N282" s="370">
        <f>N201+N211+N221+N231+N241+N251+N261+N271+N281</f>
        <v>2556</v>
      </c>
      <c r="O282" s="413">
        <f>J191-N282</f>
        <v>0.75</v>
      </c>
      <c r="P282" s="413">
        <f>K281-I282</f>
        <v>-0.75</v>
      </c>
    </row>
    <row r="283" spans="1:16">
      <c r="A283" s="399"/>
      <c r="B283" s="386"/>
      <c r="C283" s="387">
        <f t="shared" ref="C283:C292" si="242">C282</f>
        <v>2</v>
      </c>
      <c r="D283" s="373" t="str">
        <f t="shared" ref="D283:D292" si="243">D282</f>
        <v>venus</v>
      </c>
      <c r="E283" s="388">
        <f t="shared" ref="E283:E292" si="244">C282</f>
        <v>2</v>
      </c>
      <c r="F283" s="389" t="str">
        <f t="shared" ref="F283:F314" si="245">VLOOKUP(E283,$A$848:$B$856,2,FALSE)</f>
        <v>venus</v>
      </c>
      <c r="G283" s="389"/>
      <c r="H283" s="389"/>
      <c r="I283" s="402">
        <f>I282</f>
        <v>31815.75</v>
      </c>
      <c r="J283" s="373">
        <f>ROUND(J$282*VLOOKUP(E283,$A$848:$E$856,5,FALSE),0)</f>
        <v>1242</v>
      </c>
      <c r="K283" s="390">
        <f>I283+J283</f>
        <v>33057.75</v>
      </c>
      <c r="L283" s="400"/>
      <c r="M283" s="373"/>
      <c r="N283" s="373"/>
      <c r="O283" s="381"/>
    </row>
    <row r="284" spans="1:16" ht="13.8" thickBot="1">
      <c r="A284" s="355">
        <f>A281+1</f>
        <v>244</v>
      </c>
      <c r="B284" s="372">
        <f t="shared" ref="B284:B295" si="246">K284</f>
        <v>32026.75</v>
      </c>
      <c r="C284" s="357">
        <f t="shared" si="242"/>
        <v>2</v>
      </c>
      <c r="D284" s="358" t="str">
        <f t="shared" si="243"/>
        <v>venus</v>
      </c>
      <c r="E284" s="359">
        <f t="shared" si="244"/>
        <v>2</v>
      </c>
      <c r="F284" s="367" t="str">
        <f t="shared" si="245"/>
        <v>venus</v>
      </c>
      <c r="G284" s="367">
        <f>E284</f>
        <v>2</v>
      </c>
      <c r="H284" s="367" t="str">
        <f t="shared" ref="H284:H292" si="247">VLOOKUP(G284,$A$848:$B$856,2,FALSE)</f>
        <v>venus</v>
      </c>
      <c r="I284" s="403">
        <f>I282</f>
        <v>31815.75</v>
      </c>
      <c r="J284" s="377">
        <f t="shared" ref="J284:J292" si="248">ROUND(J$283*VLOOKUP(G284,$A$848:$E$856,5,FALSE),0)</f>
        <v>211</v>
      </c>
      <c r="K284" s="369">
        <f>I284+J284</f>
        <v>32026.75</v>
      </c>
      <c r="L284" s="360">
        <f>L281+1</f>
        <v>244</v>
      </c>
      <c r="O284" s="381"/>
    </row>
    <row r="285" spans="1:16">
      <c r="A285" s="355">
        <f t="shared" ref="A285:A292" si="249">A284+1</f>
        <v>245</v>
      </c>
      <c r="B285" s="372">
        <f t="shared" si="246"/>
        <v>32088.75</v>
      </c>
      <c r="C285" s="357">
        <f t="shared" si="242"/>
        <v>2</v>
      </c>
      <c r="D285" s="358" t="str">
        <f t="shared" si="243"/>
        <v>venus</v>
      </c>
      <c r="E285" s="359">
        <f t="shared" si="244"/>
        <v>2</v>
      </c>
      <c r="F285" s="367" t="str">
        <f t="shared" si="245"/>
        <v>venus</v>
      </c>
      <c r="G285" s="367">
        <f t="shared" ref="G285:G292" si="250">IF(G284+1&gt;9,G284+1-9,G284+1)</f>
        <v>3</v>
      </c>
      <c r="H285" s="367" t="str">
        <f t="shared" si="247"/>
        <v>sun</v>
      </c>
      <c r="I285" s="369">
        <f t="shared" ref="I285:I292" si="251">K284</f>
        <v>32026.75</v>
      </c>
      <c r="J285" s="377">
        <f t="shared" si="248"/>
        <v>62</v>
      </c>
      <c r="K285" s="369">
        <f>I285+J285</f>
        <v>32088.75</v>
      </c>
      <c r="L285" s="360">
        <f t="shared" ref="L285:L292" si="252">L284+1</f>
        <v>245</v>
      </c>
      <c r="O285" s="381"/>
    </row>
    <row r="286" spans="1:16">
      <c r="A286" s="355">
        <f t="shared" si="249"/>
        <v>246</v>
      </c>
      <c r="B286" s="372">
        <f t="shared" si="246"/>
        <v>32187.75</v>
      </c>
      <c r="C286" s="357">
        <f t="shared" si="242"/>
        <v>2</v>
      </c>
      <c r="D286" s="358" t="str">
        <f t="shared" si="243"/>
        <v>venus</v>
      </c>
      <c r="E286" s="359">
        <f t="shared" si="244"/>
        <v>2</v>
      </c>
      <c r="F286" s="367" t="str">
        <f t="shared" si="245"/>
        <v>venus</v>
      </c>
      <c r="G286" s="367">
        <f t="shared" si="250"/>
        <v>4</v>
      </c>
      <c r="H286" s="367" t="str">
        <f t="shared" si="247"/>
        <v>moon</v>
      </c>
      <c r="I286" s="369">
        <f t="shared" si="251"/>
        <v>32088.75</v>
      </c>
      <c r="J286" s="377">
        <f t="shared" si="248"/>
        <v>99</v>
      </c>
      <c r="K286" s="369">
        <f t="shared" ref="K286:K292" si="253">I286+J286</f>
        <v>32187.75</v>
      </c>
      <c r="L286" s="360">
        <f t="shared" si="252"/>
        <v>246</v>
      </c>
      <c r="O286" s="381"/>
    </row>
    <row r="287" spans="1:16">
      <c r="A287" s="355">
        <f t="shared" si="249"/>
        <v>247</v>
      </c>
      <c r="B287" s="372">
        <f t="shared" si="246"/>
        <v>32262.75</v>
      </c>
      <c r="C287" s="357">
        <f t="shared" si="242"/>
        <v>2</v>
      </c>
      <c r="D287" s="358" t="str">
        <f t="shared" si="243"/>
        <v>venus</v>
      </c>
      <c r="E287" s="359">
        <f t="shared" si="244"/>
        <v>2</v>
      </c>
      <c r="F287" s="367" t="str">
        <f t="shared" si="245"/>
        <v>venus</v>
      </c>
      <c r="G287" s="367">
        <f t="shared" si="250"/>
        <v>5</v>
      </c>
      <c r="H287" s="367" t="str">
        <f t="shared" si="247"/>
        <v>mars</v>
      </c>
      <c r="I287" s="369">
        <f t="shared" si="251"/>
        <v>32187.75</v>
      </c>
      <c r="J287" s="377">
        <f t="shared" si="248"/>
        <v>75</v>
      </c>
      <c r="K287" s="369">
        <f t="shared" si="253"/>
        <v>32262.75</v>
      </c>
      <c r="L287" s="360">
        <f t="shared" si="252"/>
        <v>247</v>
      </c>
      <c r="O287" s="381"/>
    </row>
    <row r="288" spans="1:16">
      <c r="A288" s="355">
        <f t="shared" si="249"/>
        <v>248</v>
      </c>
      <c r="B288" s="372">
        <f t="shared" si="246"/>
        <v>32448.75</v>
      </c>
      <c r="C288" s="357">
        <f t="shared" si="242"/>
        <v>2</v>
      </c>
      <c r="D288" s="358" t="str">
        <f t="shared" si="243"/>
        <v>venus</v>
      </c>
      <c r="E288" s="359">
        <f t="shared" si="244"/>
        <v>2</v>
      </c>
      <c r="F288" s="367" t="str">
        <f t="shared" si="245"/>
        <v>venus</v>
      </c>
      <c r="G288" s="367">
        <f t="shared" si="250"/>
        <v>6</v>
      </c>
      <c r="H288" s="367" t="str">
        <f t="shared" si="247"/>
        <v>rahu</v>
      </c>
      <c r="I288" s="369">
        <f t="shared" si="251"/>
        <v>32262.75</v>
      </c>
      <c r="J288" s="377">
        <f t="shared" si="248"/>
        <v>186</v>
      </c>
      <c r="K288" s="369">
        <f t="shared" si="253"/>
        <v>32448.75</v>
      </c>
      <c r="L288" s="360">
        <f t="shared" si="252"/>
        <v>248</v>
      </c>
      <c r="O288" s="381"/>
    </row>
    <row r="289" spans="1:15">
      <c r="A289" s="355">
        <f t="shared" si="249"/>
        <v>249</v>
      </c>
      <c r="B289" s="372">
        <f t="shared" si="246"/>
        <v>32609.75</v>
      </c>
      <c r="C289" s="357">
        <f t="shared" si="242"/>
        <v>2</v>
      </c>
      <c r="D289" s="358" t="str">
        <f t="shared" si="243"/>
        <v>venus</v>
      </c>
      <c r="E289" s="359">
        <f t="shared" si="244"/>
        <v>2</v>
      </c>
      <c r="F289" s="367" t="str">
        <f t="shared" si="245"/>
        <v>venus</v>
      </c>
      <c r="G289" s="367">
        <f t="shared" si="250"/>
        <v>7</v>
      </c>
      <c r="H289" s="367" t="str">
        <f t="shared" si="247"/>
        <v>jupiter</v>
      </c>
      <c r="I289" s="369">
        <f t="shared" si="251"/>
        <v>32448.75</v>
      </c>
      <c r="J289" s="377">
        <f t="shared" si="248"/>
        <v>161</v>
      </c>
      <c r="K289" s="369">
        <f t="shared" si="253"/>
        <v>32609.75</v>
      </c>
      <c r="L289" s="360">
        <f t="shared" si="252"/>
        <v>249</v>
      </c>
      <c r="O289" s="381"/>
    </row>
    <row r="290" spans="1:15">
      <c r="A290" s="355">
        <f t="shared" si="249"/>
        <v>250</v>
      </c>
      <c r="B290" s="372">
        <f t="shared" si="246"/>
        <v>32808.75</v>
      </c>
      <c r="C290" s="357">
        <f t="shared" si="242"/>
        <v>2</v>
      </c>
      <c r="D290" s="358" t="str">
        <f t="shared" si="243"/>
        <v>venus</v>
      </c>
      <c r="E290" s="359">
        <f t="shared" si="244"/>
        <v>2</v>
      </c>
      <c r="F290" s="367" t="str">
        <f t="shared" si="245"/>
        <v>venus</v>
      </c>
      <c r="G290" s="367">
        <f t="shared" si="250"/>
        <v>8</v>
      </c>
      <c r="H290" s="367" t="str">
        <f t="shared" si="247"/>
        <v>saturn</v>
      </c>
      <c r="I290" s="369">
        <f t="shared" si="251"/>
        <v>32609.75</v>
      </c>
      <c r="J290" s="377">
        <f t="shared" si="248"/>
        <v>199</v>
      </c>
      <c r="K290" s="369">
        <f t="shared" si="253"/>
        <v>32808.75</v>
      </c>
      <c r="L290" s="360">
        <f t="shared" si="252"/>
        <v>250</v>
      </c>
      <c r="O290" s="381"/>
    </row>
    <row r="291" spans="1:15">
      <c r="A291" s="355">
        <f t="shared" si="249"/>
        <v>251</v>
      </c>
      <c r="B291" s="372">
        <f t="shared" si="246"/>
        <v>32982.75</v>
      </c>
      <c r="C291" s="357">
        <f t="shared" si="242"/>
        <v>2</v>
      </c>
      <c r="D291" s="358" t="str">
        <f t="shared" si="243"/>
        <v>venus</v>
      </c>
      <c r="E291" s="359">
        <f t="shared" si="244"/>
        <v>2</v>
      </c>
      <c r="F291" s="367" t="str">
        <f t="shared" si="245"/>
        <v>venus</v>
      </c>
      <c r="G291" s="367">
        <f t="shared" si="250"/>
        <v>9</v>
      </c>
      <c r="H291" s="367" t="str">
        <f t="shared" si="247"/>
        <v>mercury</v>
      </c>
      <c r="I291" s="369">
        <f t="shared" si="251"/>
        <v>32808.75</v>
      </c>
      <c r="J291" s="377">
        <f t="shared" si="248"/>
        <v>174</v>
      </c>
      <c r="K291" s="369">
        <f t="shared" si="253"/>
        <v>32982.75</v>
      </c>
      <c r="L291" s="360">
        <f t="shared" si="252"/>
        <v>251</v>
      </c>
      <c r="O291" s="381"/>
    </row>
    <row r="292" spans="1:15">
      <c r="A292" s="355">
        <f t="shared" si="249"/>
        <v>252</v>
      </c>
      <c r="B292" s="372">
        <f t="shared" si="246"/>
        <v>33057.75</v>
      </c>
      <c r="C292" s="357">
        <f t="shared" si="242"/>
        <v>2</v>
      </c>
      <c r="D292" s="358" t="str">
        <f t="shared" si="243"/>
        <v>venus</v>
      </c>
      <c r="E292" s="359">
        <f t="shared" si="244"/>
        <v>2</v>
      </c>
      <c r="F292" s="367" t="str">
        <f t="shared" si="245"/>
        <v>venus</v>
      </c>
      <c r="G292" s="367">
        <f t="shared" si="250"/>
        <v>1</v>
      </c>
      <c r="H292" s="367" t="str">
        <f t="shared" si="247"/>
        <v>ketu</v>
      </c>
      <c r="I292" s="369">
        <f t="shared" si="251"/>
        <v>32982.75</v>
      </c>
      <c r="J292" s="377">
        <f t="shared" si="248"/>
        <v>75</v>
      </c>
      <c r="K292" s="369">
        <f t="shared" si="253"/>
        <v>33057.75</v>
      </c>
      <c r="L292" s="360">
        <f t="shared" si="252"/>
        <v>252</v>
      </c>
      <c r="N292" s="358">
        <f>SUM(J284:J292)</f>
        <v>1242</v>
      </c>
      <c r="O292" s="381"/>
    </row>
    <row r="293" spans="1:15">
      <c r="A293" s="399"/>
      <c r="B293" s="386">
        <f t="shared" si="246"/>
        <v>33422.75</v>
      </c>
      <c r="C293" s="387">
        <f>C283</f>
        <v>2</v>
      </c>
      <c r="D293" s="373" t="str">
        <f>D283</f>
        <v>venus</v>
      </c>
      <c r="E293" s="393">
        <f>IF(E283+1&gt;9,E283+1-9,E283+1)</f>
        <v>3</v>
      </c>
      <c r="F293" s="389" t="str">
        <f t="shared" si="245"/>
        <v>sun</v>
      </c>
      <c r="G293" s="389"/>
      <c r="H293" s="389"/>
      <c r="I293" s="390">
        <f>K283</f>
        <v>33057.75</v>
      </c>
      <c r="J293" s="373">
        <f>ROUND(J$282*VLOOKUP(E293,$A$848:$E$856,5,FALSE),0)</f>
        <v>365</v>
      </c>
      <c r="K293" s="390">
        <f>I293+J293</f>
        <v>33422.75</v>
      </c>
      <c r="L293" s="400"/>
      <c r="M293" s="373"/>
      <c r="N293" s="373"/>
      <c r="O293" s="381"/>
    </row>
    <row r="294" spans="1:15">
      <c r="A294" s="355">
        <f>A292+1</f>
        <v>253</v>
      </c>
      <c r="B294" s="372">
        <f t="shared" si="246"/>
        <v>33075.75</v>
      </c>
      <c r="C294" s="357">
        <f t="shared" ref="C294:C372" si="254">C293</f>
        <v>2</v>
      </c>
      <c r="D294" s="358" t="str">
        <f t="shared" ref="D294:D372" si="255">D293</f>
        <v>venus</v>
      </c>
      <c r="E294" s="368">
        <f t="shared" ref="E294:E302" si="256">E293</f>
        <v>3</v>
      </c>
      <c r="F294" s="367" t="str">
        <f t="shared" si="245"/>
        <v>sun</v>
      </c>
      <c r="G294" s="367">
        <f>E294</f>
        <v>3</v>
      </c>
      <c r="H294" s="367" t="str">
        <f t="shared" ref="H294:H302" si="257">VLOOKUP(G294,$A$848:$B$856,2,FALSE)</f>
        <v>sun</v>
      </c>
      <c r="I294" s="369">
        <f>K292</f>
        <v>33057.75</v>
      </c>
      <c r="J294" s="377">
        <f t="shared" ref="J294:J302" si="258">ROUND(J$293*VLOOKUP(G294,$A$848:$E$856,5,FALSE),0)</f>
        <v>18</v>
      </c>
      <c r="K294" s="369">
        <f>I294+J294</f>
        <v>33075.75</v>
      </c>
      <c r="L294" s="360">
        <f>L292+1</f>
        <v>253</v>
      </c>
      <c r="O294" s="381"/>
    </row>
    <row r="295" spans="1:15">
      <c r="A295" s="355">
        <f t="shared" ref="A295:A302" si="259">A294+1</f>
        <v>254</v>
      </c>
      <c r="B295" s="372">
        <f t="shared" si="246"/>
        <v>33104.75</v>
      </c>
      <c r="C295" s="357">
        <f t="shared" si="254"/>
        <v>2</v>
      </c>
      <c r="D295" s="358" t="str">
        <f t="shared" si="255"/>
        <v>venus</v>
      </c>
      <c r="E295" s="368">
        <f t="shared" si="256"/>
        <v>3</v>
      </c>
      <c r="F295" s="367" t="str">
        <f t="shared" si="245"/>
        <v>sun</v>
      </c>
      <c r="G295" s="367">
        <f t="shared" ref="G295:G302" si="260">IF(G294+1&gt;9,G294+1-9,G294+1)</f>
        <v>4</v>
      </c>
      <c r="H295" s="367" t="str">
        <f t="shared" si="257"/>
        <v>moon</v>
      </c>
      <c r="I295" s="369">
        <f t="shared" ref="I295:I302" si="261">K294</f>
        <v>33075.75</v>
      </c>
      <c r="J295" s="377">
        <f t="shared" si="258"/>
        <v>29</v>
      </c>
      <c r="K295" s="369">
        <f>I295+J295</f>
        <v>33104.75</v>
      </c>
      <c r="L295" s="360">
        <f t="shared" ref="L295:L302" si="262">L294+1</f>
        <v>254</v>
      </c>
      <c r="O295" s="381"/>
    </row>
    <row r="296" spans="1:15">
      <c r="A296" s="355">
        <f t="shared" si="259"/>
        <v>255</v>
      </c>
      <c r="B296" s="372">
        <f t="shared" ref="B296:B302" si="263">K296</f>
        <v>33126.75</v>
      </c>
      <c r="C296" s="357">
        <f t="shared" si="254"/>
        <v>2</v>
      </c>
      <c r="D296" s="358" t="str">
        <f t="shared" si="255"/>
        <v>venus</v>
      </c>
      <c r="E296" s="368">
        <f t="shared" si="256"/>
        <v>3</v>
      </c>
      <c r="F296" s="367" t="str">
        <f t="shared" si="245"/>
        <v>sun</v>
      </c>
      <c r="G296" s="367">
        <f t="shared" si="260"/>
        <v>5</v>
      </c>
      <c r="H296" s="367" t="str">
        <f t="shared" si="257"/>
        <v>mars</v>
      </c>
      <c r="I296" s="369">
        <f t="shared" si="261"/>
        <v>33104.75</v>
      </c>
      <c r="J296" s="377">
        <f t="shared" si="258"/>
        <v>22</v>
      </c>
      <c r="K296" s="369">
        <f t="shared" ref="K296:K302" si="264">I296+J296</f>
        <v>33126.75</v>
      </c>
      <c r="L296" s="360">
        <f t="shared" si="262"/>
        <v>255</v>
      </c>
      <c r="O296" s="381"/>
    </row>
    <row r="297" spans="1:15">
      <c r="A297" s="355">
        <f t="shared" si="259"/>
        <v>256</v>
      </c>
      <c r="B297" s="372">
        <f t="shared" si="263"/>
        <v>33181.75</v>
      </c>
      <c r="C297" s="357">
        <f t="shared" si="254"/>
        <v>2</v>
      </c>
      <c r="D297" s="358" t="str">
        <f t="shared" si="255"/>
        <v>venus</v>
      </c>
      <c r="E297" s="368">
        <f t="shared" si="256"/>
        <v>3</v>
      </c>
      <c r="F297" s="367" t="str">
        <f t="shared" si="245"/>
        <v>sun</v>
      </c>
      <c r="G297" s="367">
        <f t="shared" si="260"/>
        <v>6</v>
      </c>
      <c r="H297" s="367" t="str">
        <f t="shared" si="257"/>
        <v>rahu</v>
      </c>
      <c r="I297" s="369">
        <f t="shared" si="261"/>
        <v>33126.75</v>
      </c>
      <c r="J297" s="377">
        <f t="shared" si="258"/>
        <v>55</v>
      </c>
      <c r="K297" s="369">
        <f t="shared" si="264"/>
        <v>33181.75</v>
      </c>
      <c r="L297" s="360">
        <f t="shared" si="262"/>
        <v>256</v>
      </c>
      <c r="O297" s="381"/>
    </row>
    <row r="298" spans="1:15">
      <c r="A298" s="355">
        <f t="shared" si="259"/>
        <v>257</v>
      </c>
      <c r="B298" s="372">
        <f t="shared" si="263"/>
        <v>33228.75</v>
      </c>
      <c r="C298" s="357">
        <f t="shared" si="254"/>
        <v>2</v>
      </c>
      <c r="D298" s="358" t="str">
        <f t="shared" si="255"/>
        <v>venus</v>
      </c>
      <c r="E298" s="368">
        <f t="shared" si="256"/>
        <v>3</v>
      </c>
      <c r="F298" s="367" t="str">
        <f t="shared" si="245"/>
        <v>sun</v>
      </c>
      <c r="G298" s="367">
        <f t="shared" si="260"/>
        <v>7</v>
      </c>
      <c r="H298" s="367" t="str">
        <f t="shared" si="257"/>
        <v>jupiter</v>
      </c>
      <c r="I298" s="369">
        <f t="shared" si="261"/>
        <v>33181.75</v>
      </c>
      <c r="J298" s="377">
        <f t="shared" si="258"/>
        <v>47</v>
      </c>
      <c r="K298" s="369">
        <f t="shared" si="264"/>
        <v>33228.75</v>
      </c>
      <c r="L298" s="360">
        <f t="shared" si="262"/>
        <v>257</v>
      </c>
      <c r="O298" s="381"/>
    </row>
    <row r="299" spans="1:15">
      <c r="A299" s="355">
        <f t="shared" si="259"/>
        <v>258</v>
      </c>
      <c r="B299" s="372">
        <f t="shared" si="263"/>
        <v>33286.75</v>
      </c>
      <c r="C299" s="357">
        <f t="shared" si="254"/>
        <v>2</v>
      </c>
      <c r="D299" s="358" t="str">
        <f t="shared" si="255"/>
        <v>venus</v>
      </c>
      <c r="E299" s="368">
        <f t="shared" si="256"/>
        <v>3</v>
      </c>
      <c r="F299" s="367" t="str">
        <f t="shared" si="245"/>
        <v>sun</v>
      </c>
      <c r="G299" s="367">
        <f t="shared" si="260"/>
        <v>8</v>
      </c>
      <c r="H299" s="367" t="str">
        <f t="shared" si="257"/>
        <v>saturn</v>
      </c>
      <c r="I299" s="369">
        <f t="shared" si="261"/>
        <v>33228.75</v>
      </c>
      <c r="J299" s="377">
        <f t="shared" si="258"/>
        <v>58</v>
      </c>
      <c r="K299" s="369">
        <f t="shared" si="264"/>
        <v>33286.75</v>
      </c>
      <c r="L299" s="360">
        <f t="shared" si="262"/>
        <v>258</v>
      </c>
      <c r="O299" s="381"/>
    </row>
    <row r="300" spans="1:15">
      <c r="A300" s="355">
        <f t="shared" si="259"/>
        <v>259</v>
      </c>
      <c r="B300" s="372">
        <f t="shared" si="263"/>
        <v>33337.75</v>
      </c>
      <c r="C300" s="357">
        <f t="shared" si="254"/>
        <v>2</v>
      </c>
      <c r="D300" s="358" t="str">
        <f t="shared" si="255"/>
        <v>venus</v>
      </c>
      <c r="E300" s="368">
        <f t="shared" si="256"/>
        <v>3</v>
      </c>
      <c r="F300" s="367" t="str">
        <f t="shared" si="245"/>
        <v>sun</v>
      </c>
      <c r="G300" s="367">
        <f t="shared" si="260"/>
        <v>9</v>
      </c>
      <c r="H300" s="367" t="str">
        <f t="shared" si="257"/>
        <v>mercury</v>
      </c>
      <c r="I300" s="369">
        <f t="shared" si="261"/>
        <v>33286.75</v>
      </c>
      <c r="J300" s="377">
        <f t="shared" si="258"/>
        <v>51</v>
      </c>
      <c r="K300" s="369">
        <f t="shared" si="264"/>
        <v>33337.75</v>
      </c>
      <c r="L300" s="360">
        <f t="shared" si="262"/>
        <v>259</v>
      </c>
      <c r="O300" s="381"/>
    </row>
    <row r="301" spans="1:15">
      <c r="A301" s="355">
        <f t="shared" si="259"/>
        <v>260</v>
      </c>
      <c r="B301" s="372">
        <f t="shared" si="263"/>
        <v>33359.75</v>
      </c>
      <c r="C301" s="357">
        <f t="shared" si="254"/>
        <v>2</v>
      </c>
      <c r="D301" s="358" t="str">
        <f t="shared" si="255"/>
        <v>venus</v>
      </c>
      <c r="E301" s="368">
        <f t="shared" si="256"/>
        <v>3</v>
      </c>
      <c r="F301" s="367" t="str">
        <f t="shared" si="245"/>
        <v>sun</v>
      </c>
      <c r="G301" s="367">
        <f t="shared" si="260"/>
        <v>1</v>
      </c>
      <c r="H301" s="367" t="str">
        <f t="shared" si="257"/>
        <v>ketu</v>
      </c>
      <c r="I301" s="369">
        <f t="shared" si="261"/>
        <v>33337.75</v>
      </c>
      <c r="J301" s="377">
        <f t="shared" si="258"/>
        <v>22</v>
      </c>
      <c r="K301" s="369">
        <f t="shared" si="264"/>
        <v>33359.75</v>
      </c>
      <c r="L301" s="360">
        <f t="shared" si="262"/>
        <v>260</v>
      </c>
      <c r="O301" s="381"/>
    </row>
    <row r="302" spans="1:15">
      <c r="A302" s="355">
        <f t="shared" si="259"/>
        <v>261</v>
      </c>
      <c r="B302" s="372">
        <f t="shared" si="263"/>
        <v>33421.75</v>
      </c>
      <c r="C302" s="357">
        <f t="shared" si="254"/>
        <v>2</v>
      </c>
      <c r="D302" s="358" t="str">
        <f t="shared" si="255"/>
        <v>venus</v>
      </c>
      <c r="E302" s="368">
        <f t="shared" si="256"/>
        <v>3</v>
      </c>
      <c r="F302" s="367" t="str">
        <f t="shared" si="245"/>
        <v>sun</v>
      </c>
      <c r="G302" s="367">
        <f t="shared" si="260"/>
        <v>2</v>
      </c>
      <c r="H302" s="367" t="str">
        <f t="shared" si="257"/>
        <v>venus</v>
      </c>
      <c r="I302" s="369">
        <f t="shared" si="261"/>
        <v>33359.75</v>
      </c>
      <c r="J302" s="377">
        <f t="shared" si="258"/>
        <v>62</v>
      </c>
      <c r="K302" s="369">
        <f t="shared" si="264"/>
        <v>33421.75</v>
      </c>
      <c r="L302" s="360">
        <f t="shared" si="262"/>
        <v>261</v>
      </c>
      <c r="N302" s="358">
        <f>SUM(J294:J302)</f>
        <v>364</v>
      </c>
      <c r="O302" s="381"/>
    </row>
    <row r="303" spans="1:15">
      <c r="A303" s="399"/>
      <c r="B303" s="386"/>
      <c r="C303" s="387">
        <f>C293</f>
        <v>2</v>
      </c>
      <c r="D303" s="373" t="str">
        <f>D293</f>
        <v>venus</v>
      </c>
      <c r="E303" s="393">
        <f>IF(E293+1&gt;9,E293+1-9,E293+1)</f>
        <v>4</v>
      </c>
      <c r="F303" s="389" t="str">
        <f t="shared" si="245"/>
        <v>moon</v>
      </c>
      <c r="G303" s="389"/>
      <c r="H303" s="389"/>
      <c r="I303" s="390">
        <f>K293</f>
        <v>33422.75</v>
      </c>
      <c r="J303" s="373">
        <f>ROUND(J$282*VLOOKUP(E303,$A$848:$E$856,5,FALSE),0)</f>
        <v>584</v>
      </c>
      <c r="K303" s="390">
        <f>I303+J303</f>
        <v>34006.75</v>
      </c>
      <c r="L303" s="400"/>
      <c r="M303" s="373"/>
      <c r="N303" s="373"/>
      <c r="O303" s="381"/>
    </row>
    <row r="304" spans="1:15">
      <c r="A304" s="355">
        <f>A302+1</f>
        <v>262</v>
      </c>
      <c r="B304" s="372">
        <f>K304</f>
        <v>33468.75</v>
      </c>
      <c r="C304" s="357">
        <f t="shared" si="254"/>
        <v>2</v>
      </c>
      <c r="D304" s="358" t="str">
        <f t="shared" si="255"/>
        <v>venus</v>
      </c>
      <c r="E304" s="368">
        <f t="shared" ref="E304:E312" si="265">E303</f>
        <v>4</v>
      </c>
      <c r="F304" s="367" t="str">
        <f t="shared" si="245"/>
        <v>moon</v>
      </c>
      <c r="G304" s="367">
        <f>E304</f>
        <v>4</v>
      </c>
      <c r="H304" s="367" t="str">
        <f t="shared" ref="H304:H312" si="266">VLOOKUP(G304,$A$848:$B$856,2,FALSE)</f>
        <v>moon</v>
      </c>
      <c r="I304" s="369">
        <f>K302</f>
        <v>33421.75</v>
      </c>
      <c r="J304" s="377">
        <f t="shared" ref="J304:J312" si="267">ROUND(J$303*VLOOKUP(G304,$A$848:$E$856,5,FALSE),0)</f>
        <v>47</v>
      </c>
      <c r="K304" s="369">
        <f>I304+J304</f>
        <v>33468.75</v>
      </c>
      <c r="L304" s="360">
        <f>L302+1</f>
        <v>262</v>
      </c>
      <c r="O304" s="381"/>
    </row>
    <row r="305" spans="1:15">
      <c r="A305" s="355">
        <f t="shared" ref="A305:A312" si="268">A304+1</f>
        <v>263</v>
      </c>
      <c r="B305" s="372">
        <f>K305</f>
        <v>33503.75</v>
      </c>
      <c r="C305" s="357">
        <f t="shared" si="254"/>
        <v>2</v>
      </c>
      <c r="D305" s="358" t="str">
        <f t="shared" si="255"/>
        <v>venus</v>
      </c>
      <c r="E305" s="368">
        <f t="shared" si="265"/>
        <v>4</v>
      </c>
      <c r="F305" s="367" t="str">
        <f t="shared" si="245"/>
        <v>moon</v>
      </c>
      <c r="G305" s="367">
        <f t="shared" ref="G305:G312" si="269">IF(G304+1&gt;9,G304+1-9,G304+1)</f>
        <v>5</v>
      </c>
      <c r="H305" s="367" t="str">
        <f t="shared" si="266"/>
        <v>mars</v>
      </c>
      <c r="I305" s="369">
        <f t="shared" ref="I305:I312" si="270">K304</f>
        <v>33468.75</v>
      </c>
      <c r="J305" s="377">
        <f t="shared" si="267"/>
        <v>35</v>
      </c>
      <c r="K305" s="369">
        <f>I305+J305</f>
        <v>33503.75</v>
      </c>
      <c r="L305" s="360">
        <f t="shared" ref="L305:L312" si="271">L304+1</f>
        <v>263</v>
      </c>
      <c r="O305" s="381"/>
    </row>
    <row r="306" spans="1:15">
      <c r="A306" s="355">
        <f t="shared" si="268"/>
        <v>264</v>
      </c>
      <c r="B306" s="372">
        <f t="shared" ref="B306:B312" si="272">K306</f>
        <v>33591.75</v>
      </c>
      <c r="C306" s="357">
        <f t="shared" si="254"/>
        <v>2</v>
      </c>
      <c r="D306" s="358" t="str">
        <f t="shared" si="255"/>
        <v>venus</v>
      </c>
      <c r="E306" s="368">
        <f t="shared" si="265"/>
        <v>4</v>
      </c>
      <c r="F306" s="367" t="str">
        <f t="shared" si="245"/>
        <v>moon</v>
      </c>
      <c r="G306" s="367">
        <f t="shared" si="269"/>
        <v>6</v>
      </c>
      <c r="H306" s="367" t="str">
        <f t="shared" si="266"/>
        <v>rahu</v>
      </c>
      <c r="I306" s="369">
        <f t="shared" si="270"/>
        <v>33503.75</v>
      </c>
      <c r="J306" s="377">
        <f t="shared" si="267"/>
        <v>88</v>
      </c>
      <c r="K306" s="369">
        <f t="shared" ref="K306:K312" si="273">I306+J306</f>
        <v>33591.75</v>
      </c>
      <c r="L306" s="360">
        <f t="shared" si="271"/>
        <v>264</v>
      </c>
      <c r="O306" s="381"/>
    </row>
    <row r="307" spans="1:15">
      <c r="A307" s="355">
        <f t="shared" si="268"/>
        <v>265</v>
      </c>
      <c r="B307" s="372">
        <f t="shared" si="272"/>
        <v>33667.75</v>
      </c>
      <c r="C307" s="357">
        <f t="shared" si="254"/>
        <v>2</v>
      </c>
      <c r="D307" s="358" t="str">
        <f t="shared" si="255"/>
        <v>venus</v>
      </c>
      <c r="E307" s="368">
        <f t="shared" si="265"/>
        <v>4</v>
      </c>
      <c r="F307" s="367" t="str">
        <f t="shared" si="245"/>
        <v>moon</v>
      </c>
      <c r="G307" s="367">
        <f t="shared" si="269"/>
        <v>7</v>
      </c>
      <c r="H307" s="367" t="str">
        <f t="shared" si="266"/>
        <v>jupiter</v>
      </c>
      <c r="I307" s="369">
        <f t="shared" si="270"/>
        <v>33591.75</v>
      </c>
      <c r="J307" s="377">
        <f t="shared" si="267"/>
        <v>76</v>
      </c>
      <c r="K307" s="369">
        <f t="shared" si="273"/>
        <v>33667.75</v>
      </c>
      <c r="L307" s="360">
        <f t="shared" si="271"/>
        <v>265</v>
      </c>
      <c r="O307" s="381"/>
    </row>
    <row r="308" spans="1:15">
      <c r="A308" s="355">
        <f t="shared" si="268"/>
        <v>266</v>
      </c>
      <c r="B308" s="372">
        <f t="shared" si="272"/>
        <v>33760.75</v>
      </c>
      <c r="C308" s="357">
        <f t="shared" si="254"/>
        <v>2</v>
      </c>
      <c r="D308" s="358" t="str">
        <f t="shared" si="255"/>
        <v>venus</v>
      </c>
      <c r="E308" s="368">
        <f t="shared" si="265"/>
        <v>4</v>
      </c>
      <c r="F308" s="367" t="str">
        <f t="shared" si="245"/>
        <v>moon</v>
      </c>
      <c r="G308" s="367">
        <f t="shared" si="269"/>
        <v>8</v>
      </c>
      <c r="H308" s="367" t="str">
        <f t="shared" si="266"/>
        <v>saturn</v>
      </c>
      <c r="I308" s="369">
        <f t="shared" si="270"/>
        <v>33667.75</v>
      </c>
      <c r="J308" s="377">
        <f t="shared" si="267"/>
        <v>93</v>
      </c>
      <c r="K308" s="369">
        <f t="shared" si="273"/>
        <v>33760.75</v>
      </c>
      <c r="L308" s="360">
        <f t="shared" si="271"/>
        <v>266</v>
      </c>
      <c r="O308" s="381"/>
    </row>
    <row r="309" spans="1:15">
      <c r="A309" s="355">
        <f t="shared" si="268"/>
        <v>267</v>
      </c>
      <c r="B309" s="372">
        <f t="shared" si="272"/>
        <v>33842.75</v>
      </c>
      <c r="C309" s="357">
        <f t="shared" si="254"/>
        <v>2</v>
      </c>
      <c r="D309" s="358" t="str">
        <f t="shared" si="255"/>
        <v>venus</v>
      </c>
      <c r="E309" s="368">
        <f t="shared" si="265"/>
        <v>4</v>
      </c>
      <c r="F309" s="367" t="str">
        <f t="shared" si="245"/>
        <v>moon</v>
      </c>
      <c r="G309" s="367">
        <f t="shared" si="269"/>
        <v>9</v>
      </c>
      <c r="H309" s="367" t="str">
        <f t="shared" si="266"/>
        <v>mercury</v>
      </c>
      <c r="I309" s="369">
        <f t="shared" si="270"/>
        <v>33760.75</v>
      </c>
      <c r="J309" s="377">
        <f t="shared" si="267"/>
        <v>82</v>
      </c>
      <c r="K309" s="369">
        <f t="shared" si="273"/>
        <v>33842.75</v>
      </c>
      <c r="L309" s="360">
        <f t="shared" si="271"/>
        <v>267</v>
      </c>
      <c r="O309" s="381"/>
    </row>
    <row r="310" spans="1:15">
      <c r="A310" s="355">
        <f t="shared" si="268"/>
        <v>268</v>
      </c>
      <c r="B310" s="372">
        <f t="shared" si="272"/>
        <v>33877.75</v>
      </c>
      <c r="C310" s="357">
        <f t="shared" si="254"/>
        <v>2</v>
      </c>
      <c r="D310" s="358" t="str">
        <f t="shared" si="255"/>
        <v>venus</v>
      </c>
      <c r="E310" s="368">
        <f t="shared" si="265"/>
        <v>4</v>
      </c>
      <c r="F310" s="367" t="str">
        <f t="shared" si="245"/>
        <v>moon</v>
      </c>
      <c r="G310" s="367">
        <f t="shared" si="269"/>
        <v>1</v>
      </c>
      <c r="H310" s="367" t="str">
        <f t="shared" si="266"/>
        <v>ketu</v>
      </c>
      <c r="I310" s="369">
        <f t="shared" si="270"/>
        <v>33842.75</v>
      </c>
      <c r="J310" s="377">
        <f t="shared" si="267"/>
        <v>35</v>
      </c>
      <c r="K310" s="369">
        <f t="shared" si="273"/>
        <v>33877.75</v>
      </c>
      <c r="L310" s="360">
        <f t="shared" si="271"/>
        <v>268</v>
      </c>
      <c r="O310" s="381"/>
    </row>
    <row r="311" spans="1:15">
      <c r="A311" s="355">
        <f t="shared" si="268"/>
        <v>269</v>
      </c>
      <c r="B311" s="372">
        <f t="shared" si="272"/>
        <v>33976.75</v>
      </c>
      <c r="C311" s="357">
        <f t="shared" si="254"/>
        <v>2</v>
      </c>
      <c r="D311" s="358" t="str">
        <f t="shared" si="255"/>
        <v>venus</v>
      </c>
      <c r="E311" s="368">
        <f t="shared" si="265"/>
        <v>4</v>
      </c>
      <c r="F311" s="367" t="str">
        <f t="shared" si="245"/>
        <v>moon</v>
      </c>
      <c r="G311" s="367">
        <f t="shared" si="269"/>
        <v>2</v>
      </c>
      <c r="H311" s="367" t="str">
        <f t="shared" si="266"/>
        <v>venus</v>
      </c>
      <c r="I311" s="369">
        <f t="shared" si="270"/>
        <v>33877.75</v>
      </c>
      <c r="J311" s="377">
        <f t="shared" si="267"/>
        <v>99</v>
      </c>
      <c r="K311" s="369">
        <f t="shared" si="273"/>
        <v>33976.75</v>
      </c>
      <c r="L311" s="360">
        <f t="shared" si="271"/>
        <v>269</v>
      </c>
      <c r="O311" s="381"/>
    </row>
    <row r="312" spans="1:15">
      <c r="A312" s="355">
        <f t="shared" si="268"/>
        <v>270</v>
      </c>
      <c r="B312" s="372">
        <f t="shared" si="272"/>
        <v>34005.75</v>
      </c>
      <c r="C312" s="357">
        <f t="shared" si="254"/>
        <v>2</v>
      </c>
      <c r="D312" s="358" t="str">
        <f t="shared" si="255"/>
        <v>venus</v>
      </c>
      <c r="E312" s="368">
        <f t="shared" si="265"/>
        <v>4</v>
      </c>
      <c r="F312" s="367" t="str">
        <f t="shared" si="245"/>
        <v>moon</v>
      </c>
      <c r="G312" s="367">
        <f t="shared" si="269"/>
        <v>3</v>
      </c>
      <c r="H312" s="367" t="str">
        <f t="shared" si="266"/>
        <v>sun</v>
      </c>
      <c r="I312" s="369">
        <f t="shared" si="270"/>
        <v>33976.75</v>
      </c>
      <c r="J312" s="377">
        <f t="shared" si="267"/>
        <v>29</v>
      </c>
      <c r="K312" s="369">
        <f t="shared" si="273"/>
        <v>34005.75</v>
      </c>
      <c r="L312" s="360">
        <f t="shared" si="271"/>
        <v>270</v>
      </c>
      <c r="N312" s="358">
        <f>SUM(J304:J312)</f>
        <v>584</v>
      </c>
      <c r="O312" s="381"/>
    </row>
    <row r="313" spans="1:15">
      <c r="A313" s="399"/>
      <c r="B313" s="386"/>
      <c r="C313" s="387">
        <f>C303</f>
        <v>2</v>
      </c>
      <c r="D313" s="373" t="str">
        <f>D303</f>
        <v>venus</v>
      </c>
      <c r="E313" s="393">
        <f>IF(E303+1&gt;9,E303+1-9,E303+1)</f>
        <v>5</v>
      </c>
      <c r="F313" s="389" t="str">
        <f t="shared" si="245"/>
        <v>mars</v>
      </c>
      <c r="G313" s="389"/>
      <c r="H313" s="389"/>
      <c r="I313" s="390">
        <f>K303</f>
        <v>34006.75</v>
      </c>
      <c r="J313" s="373">
        <f>ROUND(J$282*VLOOKUP(E313,$A$848:$E$856,5,FALSE),0)</f>
        <v>438</v>
      </c>
      <c r="K313" s="390">
        <f>I313+J313</f>
        <v>34444.75</v>
      </c>
      <c r="L313" s="400"/>
      <c r="M313" s="373"/>
      <c r="N313" s="373"/>
      <c r="O313" s="381"/>
    </row>
    <row r="314" spans="1:15">
      <c r="A314" s="355">
        <f>A312+1</f>
        <v>271</v>
      </c>
      <c r="B314" s="372">
        <f>K314</f>
        <v>34031.75</v>
      </c>
      <c r="C314" s="357">
        <f t="shared" si="254"/>
        <v>2</v>
      </c>
      <c r="D314" s="358" t="str">
        <f t="shared" si="255"/>
        <v>venus</v>
      </c>
      <c r="E314" s="368">
        <f t="shared" ref="E314:E322" si="274">E313</f>
        <v>5</v>
      </c>
      <c r="F314" s="367" t="str">
        <f t="shared" si="245"/>
        <v>mars</v>
      </c>
      <c r="G314" s="367">
        <f>E314</f>
        <v>5</v>
      </c>
      <c r="H314" s="367" t="str">
        <f t="shared" ref="H314:H322" si="275">VLOOKUP(G314,$A$848:$B$856,2,FALSE)</f>
        <v>mars</v>
      </c>
      <c r="I314" s="369">
        <f>K312</f>
        <v>34005.75</v>
      </c>
      <c r="J314" s="377">
        <f t="shared" ref="J314:J322" si="276">ROUND(J$313*VLOOKUP(G314,$A$848:$E$856,5,FALSE),0)</f>
        <v>26</v>
      </c>
      <c r="K314" s="369">
        <f>I314+J314</f>
        <v>34031.75</v>
      </c>
      <c r="L314" s="360">
        <f>L312+1</f>
        <v>271</v>
      </c>
      <c r="O314" s="381"/>
    </row>
    <row r="315" spans="1:15">
      <c r="A315" s="355">
        <f t="shared" ref="A315:A322" si="277">A314+1</f>
        <v>272</v>
      </c>
      <c r="B315" s="372">
        <f>K315</f>
        <v>34097.75</v>
      </c>
      <c r="C315" s="357">
        <f t="shared" si="254"/>
        <v>2</v>
      </c>
      <c r="D315" s="358" t="str">
        <f t="shared" si="255"/>
        <v>venus</v>
      </c>
      <c r="E315" s="368">
        <f t="shared" si="274"/>
        <v>5</v>
      </c>
      <c r="F315" s="367" t="str">
        <f t="shared" ref="F315:F346" si="278">VLOOKUP(E315,$A$848:$B$856,2,FALSE)</f>
        <v>mars</v>
      </c>
      <c r="G315" s="367">
        <f t="shared" ref="G315:G322" si="279">IF(G314+1&gt;9,G314+1-9,G314+1)</f>
        <v>6</v>
      </c>
      <c r="H315" s="367" t="str">
        <f t="shared" si="275"/>
        <v>rahu</v>
      </c>
      <c r="I315" s="369">
        <f t="shared" ref="I315:I322" si="280">K314</f>
        <v>34031.75</v>
      </c>
      <c r="J315" s="377">
        <f t="shared" si="276"/>
        <v>66</v>
      </c>
      <c r="K315" s="369">
        <f>I315+J315</f>
        <v>34097.75</v>
      </c>
      <c r="L315" s="360">
        <f t="shared" ref="L315:L322" si="281">L314+1</f>
        <v>272</v>
      </c>
      <c r="O315" s="381"/>
    </row>
    <row r="316" spans="1:15">
      <c r="A316" s="355">
        <f t="shared" si="277"/>
        <v>273</v>
      </c>
      <c r="B316" s="372">
        <f>K316</f>
        <v>34154.75</v>
      </c>
      <c r="C316" s="357">
        <f t="shared" si="254"/>
        <v>2</v>
      </c>
      <c r="D316" s="358" t="str">
        <f t="shared" si="255"/>
        <v>venus</v>
      </c>
      <c r="E316" s="368">
        <f t="shared" si="274"/>
        <v>5</v>
      </c>
      <c r="F316" s="367" t="str">
        <f t="shared" si="278"/>
        <v>mars</v>
      </c>
      <c r="G316" s="367">
        <f t="shared" si="279"/>
        <v>7</v>
      </c>
      <c r="H316" s="367" t="str">
        <f t="shared" si="275"/>
        <v>jupiter</v>
      </c>
      <c r="I316" s="369">
        <f t="shared" si="280"/>
        <v>34097.75</v>
      </c>
      <c r="J316" s="377">
        <f t="shared" si="276"/>
        <v>57</v>
      </c>
      <c r="K316" s="369">
        <f>I316+J316</f>
        <v>34154.75</v>
      </c>
      <c r="L316" s="360">
        <f t="shared" si="281"/>
        <v>273</v>
      </c>
      <c r="O316" s="381"/>
    </row>
    <row r="317" spans="1:15">
      <c r="A317" s="355">
        <f t="shared" si="277"/>
        <v>274</v>
      </c>
      <c r="B317" s="372">
        <f t="shared" ref="B317:B322" si="282">K317</f>
        <v>34224.75</v>
      </c>
      <c r="C317" s="357">
        <f t="shared" si="254"/>
        <v>2</v>
      </c>
      <c r="D317" s="358" t="str">
        <f t="shared" si="255"/>
        <v>venus</v>
      </c>
      <c r="E317" s="368">
        <f t="shared" si="274"/>
        <v>5</v>
      </c>
      <c r="F317" s="367" t="str">
        <f t="shared" si="278"/>
        <v>mars</v>
      </c>
      <c r="G317" s="367">
        <f t="shared" si="279"/>
        <v>8</v>
      </c>
      <c r="H317" s="367" t="str">
        <f t="shared" si="275"/>
        <v>saturn</v>
      </c>
      <c r="I317" s="369">
        <f t="shared" si="280"/>
        <v>34154.75</v>
      </c>
      <c r="J317" s="377">
        <f t="shared" si="276"/>
        <v>70</v>
      </c>
      <c r="K317" s="369">
        <f t="shared" ref="K317:K322" si="283">I317+J317</f>
        <v>34224.75</v>
      </c>
      <c r="L317" s="360">
        <f t="shared" si="281"/>
        <v>274</v>
      </c>
      <c r="O317" s="381"/>
    </row>
    <row r="318" spans="1:15">
      <c r="A318" s="355">
        <f t="shared" si="277"/>
        <v>275</v>
      </c>
      <c r="B318" s="372">
        <f t="shared" si="282"/>
        <v>34285.75</v>
      </c>
      <c r="C318" s="357">
        <f t="shared" si="254"/>
        <v>2</v>
      </c>
      <c r="D318" s="358" t="str">
        <f t="shared" si="255"/>
        <v>venus</v>
      </c>
      <c r="E318" s="368">
        <f t="shared" si="274"/>
        <v>5</v>
      </c>
      <c r="F318" s="367" t="str">
        <f t="shared" si="278"/>
        <v>mars</v>
      </c>
      <c r="G318" s="367">
        <f t="shared" si="279"/>
        <v>9</v>
      </c>
      <c r="H318" s="367" t="str">
        <f t="shared" si="275"/>
        <v>mercury</v>
      </c>
      <c r="I318" s="369">
        <f t="shared" si="280"/>
        <v>34224.75</v>
      </c>
      <c r="J318" s="377">
        <f t="shared" si="276"/>
        <v>61</v>
      </c>
      <c r="K318" s="369">
        <f t="shared" si="283"/>
        <v>34285.75</v>
      </c>
      <c r="L318" s="360">
        <f t="shared" si="281"/>
        <v>275</v>
      </c>
      <c r="O318" s="381"/>
    </row>
    <row r="319" spans="1:15">
      <c r="A319" s="355">
        <f t="shared" si="277"/>
        <v>276</v>
      </c>
      <c r="B319" s="372">
        <f t="shared" si="282"/>
        <v>34311.75</v>
      </c>
      <c r="C319" s="357">
        <f t="shared" si="254"/>
        <v>2</v>
      </c>
      <c r="D319" s="358" t="str">
        <f t="shared" si="255"/>
        <v>venus</v>
      </c>
      <c r="E319" s="368">
        <f t="shared" si="274"/>
        <v>5</v>
      </c>
      <c r="F319" s="367" t="str">
        <f t="shared" si="278"/>
        <v>mars</v>
      </c>
      <c r="G319" s="367">
        <f t="shared" si="279"/>
        <v>1</v>
      </c>
      <c r="H319" s="367" t="str">
        <f t="shared" si="275"/>
        <v>ketu</v>
      </c>
      <c r="I319" s="369">
        <f t="shared" si="280"/>
        <v>34285.75</v>
      </c>
      <c r="J319" s="377">
        <f t="shared" si="276"/>
        <v>26</v>
      </c>
      <c r="K319" s="369">
        <f t="shared" si="283"/>
        <v>34311.75</v>
      </c>
      <c r="L319" s="360">
        <f t="shared" si="281"/>
        <v>276</v>
      </c>
      <c r="O319" s="381"/>
    </row>
    <row r="320" spans="1:15">
      <c r="A320" s="355">
        <f t="shared" si="277"/>
        <v>277</v>
      </c>
      <c r="B320" s="372">
        <f t="shared" si="282"/>
        <v>34385.75</v>
      </c>
      <c r="C320" s="357">
        <f t="shared" si="254"/>
        <v>2</v>
      </c>
      <c r="D320" s="358" t="str">
        <f t="shared" si="255"/>
        <v>venus</v>
      </c>
      <c r="E320" s="368">
        <f t="shared" si="274"/>
        <v>5</v>
      </c>
      <c r="F320" s="367" t="str">
        <f t="shared" si="278"/>
        <v>mars</v>
      </c>
      <c r="G320" s="367">
        <f t="shared" si="279"/>
        <v>2</v>
      </c>
      <c r="H320" s="367" t="str">
        <f t="shared" si="275"/>
        <v>venus</v>
      </c>
      <c r="I320" s="369">
        <f t="shared" si="280"/>
        <v>34311.75</v>
      </c>
      <c r="J320" s="377">
        <f t="shared" si="276"/>
        <v>74</v>
      </c>
      <c r="K320" s="369">
        <f t="shared" si="283"/>
        <v>34385.75</v>
      </c>
      <c r="L320" s="360">
        <f t="shared" si="281"/>
        <v>277</v>
      </c>
      <c r="O320" s="381"/>
    </row>
    <row r="321" spans="1:15">
      <c r="A321" s="355">
        <f t="shared" si="277"/>
        <v>278</v>
      </c>
      <c r="B321" s="372">
        <f t="shared" si="282"/>
        <v>34407.75</v>
      </c>
      <c r="C321" s="357">
        <f t="shared" si="254"/>
        <v>2</v>
      </c>
      <c r="D321" s="358" t="str">
        <f t="shared" si="255"/>
        <v>venus</v>
      </c>
      <c r="E321" s="368">
        <f t="shared" si="274"/>
        <v>5</v>
      </c>
      <c r="F321" s="367" t="str">
        <f t="shared" si="278"/>
        <v>mars</v>
      </c>
      <c r="G321" s="367">
        <f t="shared" si="279"/>
        <v>3</v>
      </c>
      <c r="H321" s="367" t="str">
        <f t="shared" si="275"/>
        <v>sun</v>
      </c>
      <c r="I321" s="369">
        <f t="shared" si="280"/>
        <v>34385.75</v>
      </c>
      <c r="J321" s="377">
        <f t="shared" si="276"/>
        <v>22</v>
      </c>
      <c r="K321" s="369">
        <f t="shared" si="283"/>
        <v>34407.75</v>
      </c>
      <c r="L321" s="360">
        <f t="shared" si="281"/>
        <v>278</v>
      </c>
      <c r="O321" s="381"/>
    </row>
    <row r="322" spans="1:15">
      <c r="A322" s="355">
        <f t="shared" si="277"/>
        <v>279</v>
      </c>
      <c r="B322" s="372">
        <f t="shared" si="282"/>
        <v>34442.75</v>
      </c>
      <c r="C322" s="357">
        <f t="shared" si="254"/>
        <v>2</v>
      </c>
      <c r="D322" s="358" t="str">
        <f t="shared" si="255"/>
        <v>venus</v>
      </c>
      <c r="E322" s="368">
        <f t="shared" si="274"/>
        <v>5</v>
      </c>
      <c r="F322" s="367" t="str">
        <f t="shared" si="278"/>
        <v>mars</v>
      </c>
      <c r="G322" s="367">
        <f t="shared" si="279"/>
        <v>4</v>
      </c>
      <c r="H322" s="367" t="str">
        <f t="shared" si="275"/>
        <v>moon</v>
      </c>
      <c r="I322" s="369">
        <f t="shared" si="280"/>
        <v>34407.75</v>
      </c>
      <c r="J322" s="377">
        <f t="shared" si="276"/>
        <v>35</v>
      </c>
      <c r="K322" s="369">
        <f t="shared" si="283"/>
        <v>34442.75</v>
      </c>
      <c r="L322" s="360">
        <f t="shared" si="281"/>
        <v>279</v>
      </c>
      <c r="N322" s="358">
        <f>SUM(J314:J322)</f>
        <v>437</v>
      </c>
      <c r="O322" s="381"/>
    </row>
    <row r="323" spans="1:15">
      <c r="A323" s="399"/>
      <c r="B323" s="386"/>
      <c r="C323" s="387">
        <f>C313</f>
        <v>2</v>
      </c>
      <c r="D323" s="373" t="str">
        <f>D313</f>
        <v>venus</v>
      </c>
      <c r="E323" s="393">
        <f>IF(E313+1&gt;9,E313+1-9,E313+1)</f>
        <v>6</v>
      </c>
      <c r="F323" s="389" t="str">
        <f t="shared" si="278"/>
        <v>rahu</v>
      </c>
      <c r="G323" s="389"/>
      <c r="H323" s="389"/>
      <c r="I323" s="390">
        <f>K313</f>
        <v>34444.75</v>
      </c>
      <c r="J323" s="373">
        <f>ROUND(J$282*VLOOKUP(E323,$A$848:$E$856,5,FALSE),0)</f>
        <v>1096</v>
      </c>
      <c r="K323" s="390">
        <f>I323+J323</f>
        <v>35540.75</v>
      </c>
      <c r="L323" s="400"/>
      <c r="M323" s="373"/>
      <c r="N323" s="373"/>
      <c r="O323" s="381"/>
    </row>
    <row r="324" spans="1:15">
      <c r="A324" s="355">
        <f>A322+1</f>
        <v>280</v>
      </c>
      <c r="B324" s="372">
        <f>K324</f>
        <v>34606.75</v>
      </c>
      <c r="C324" s="357">
        <f t="shared" si="254"/>
        <v>2</v>
      </c>
      <c r="D324" s="358" t="str">
        <f t="shared" si="255"/>
        <v>venus</v>
      </c>
      <c r="E324" s="368">
        <f t="shared" ref="E324:E332" si="284">E323</f>
        <v>6</v>
      </c>
      <c r="F324" s="367" t="str">
        <f t="shared" si="278"/>
        <v>rahu</v>
      </c>
      <c r="G324" s="367">
        <f>E324</f>
        <v>6</v>
      </c>
      <c r="H324" s="367" t="str">
        <f t="shared" ref="H324:H332" si="285">VLOOKUP(G324,$A$848:$B$856,2,FALSE)</f>
        <v>rahu</v>
      </c>
      <c r="I324" s="369">
        <f>K322</f>
        <v>34442.75</v>
      </c>
      <c r="J324" s="377">
        <f t="shared" ref="J324:J332" si="286">ROUND(J$323*VLOOKUP(G324,$A$848:$E$856,5,FALSE),0)</f>
        <v>164</v>
      </c>
      <c r="K324" s="369">
        <f>I324+J324</f>
        <v>34606.75</v>
      </c>
      <c r="L324" s="360">
        <f>L322+1</f>
        <v>280</v>
      </c>
      <c r="O324" s="381"/>
    </row>
    <row r="325" spans="1:15">
      <c r="A325" s="355">
        <f t="shared" ref="A325:A332" si="287">A324+1</f>
        <v>281</v>
      </c>
      <c r="B325" s="372">
        <f>K325</f>
        <v>34748.75</v>
      </c>
      <c r="C325" s="357">
        <f t="shared" si="254"/>
        <v>2</v>
      </c>
      <c r="D325" s="358" t="str">
        <f t="shared" si="255"/>
        <v>venus</v>
      </c>
      <c r="E325" s="368">
        <f t="shared" si="284"/>
        <v>6</v>
      </c>
      <c r="F325" s="367" t="str">
        <f t="shared" si="278"/>
        <v>rahu</v>
      </c>
      <c r="G325" s="367">
        <f t="shared" ref="G325:G332" si="288">IF(G324+1&gt;9,G324+1-9,G324+1)</f>
        <v>7</v>
      </c>
      <c r="H325" s="367" t="str">
        <f t="shared" si="285"/>
        <v>jupiter</v>
      </c>
      <c r="I325" s="369">
        <f t="shared" ref="I325:I332" si="289">K324</f>
        <v>34606.75</v>
      </c>
      <c r="J325" s="377">
        <f t="shared" si="286"/>
        <v>142</v>
      </c>
      <c r="K325" s="369">
        <f>I325+J325</f>
        <v>34748.75</v>
      </c>
      <c r="L325" s="360">
        <f t="shared" ref="L325:L332" si="290">L324+1</f>
        <v>281</v>
      </c>
      <c r="O325" s="381"/>
    </row>
    <row r="326" spans="1:15">
      <c r="A326" s="355">
        <f t="shared" si="287"/>
        <v>282</v>
      </c>
      <c r="B326" s="372">
        <f t="shared" ref="B326:B332" si="291">K326</f>
        <v>34923.75</v>
      </c>
      <c r="C326" s="357">
        <f t="shared" si="254"/>
        <v>2</v>
      </c>
      <c r="D326" s="358" t="str">
        <f t="shared" si="255"/>
        <v>venus</v>
      </c>
      <c r="E326" s="368">
        <f t="shared" si="284"/>
        <v>6</v>
      </c>
      <c r="F326" s="367" t="str">
        <f t="shared" si="278"/>
        <v>rahu</v>
      </c>
      <c r="G326" s="367">
        <f t="shared" si="288"/>
        <v>8</v>
      </c>
      <c r="H326" s="367" t="str">
        <f t="shared" si="285"/>
        <v>saturn</v>
      </c>
      <c r="I326" s="369">
        <f t="shared" si="289"/>
        <v>34748.75</v>
      </c>
      <c r="J326" s="377">
        <f t="shared" si="286"/>
        <v>175</v>
      </c>
      <c r="K326" s="369">
        <f t="shared" ref="K326:K332" si="292">I326+J326</f>
        <v>34923.75</v>
      </c>
      <c r="L326" s="360">
        <f t="shared" si="290"/>
        <v>282</v>
      </c>
      <c r="O326" s="381"/>
    </row>
    <row r="327" spans="1:15">
      <c r="A327" s="355">
        <f t="shared" si="287"/>
        <v>283</v>
      </c>
      <c r="B327" s="372">
        <f t="shared" si="291"/>
        <v>35076.75</v>
      </c>
      <c r="C327" s="357">
        <f t="shared" si="254"/>
        <v>2</v>
      </c>
      <c r="D327" s="358" t="str">
        <f t="shared" si="255"/>
        <v>venus</v>
      </c>
      <c r="E327" s="368">
        <f t="shared" si="284"/>
        <v>6</v>
      </c>
      <c r="F327" s="367" t="str">
        <f t="shared" si="278"/>
        <v>rahu</v>
      </c>
      <c r="G327" s="367">
        <f t="shared" si="288"/>
        <v>9</v>
      </c>
      <c r="H327" s="367" t="str">
        <f t="shared" si="285"/>
        <v>mercury</v>
      </c>
      <c r="I327" s="369">
        <f t="shared" si="289"/>
        <v>34923.75</v>
      </c>
      <c r="J327" s="377">
        <f t="shared" si="286"/>
        <v>153</v>
      </c>
      <c r="K327" s="369">
        <f t="shared" si="292"/>
        <v>35076.75</v>
      </c>
      <c r="L327" s="360">
        <f t="shared" si="290"/>
        <v>283</v>
      </c>
      <c r="O327" s="381"/>
    </row>
    <row r="328" spans="1:15">
      <c r="A328" s="355">
        <f t="shared" si="287"/>
        <v>284</v>
      </c>
      <c r="B328" s="372">
        <f t="shared" si="291"/>
        <v>35142.75</v>
      </c>
      <c r="C328" s="357">
        <f t="shared" si="254"/>
        <v>2</v>
      </c>
      <c r="D328" s="358" t="str">
        <f t="shared" si="255"/>
        <v>venus</v>
      </c>
      <c r="E328" s="368">
        <f t="shared" si="284"/>
        <v>6</v>
      </c>
      <c r="F328" s="367" t="str">
        <f t="shared" si="278"/>
        <v>rahu</v>
      </c>
      <c r="G328" s="367">
        <f t="shared" si="288"/>
        <v>1</v>
      </c>
      <c r="H328" s="367" t="str">
        <f t="shared" si="285"/>
        <v>ketu</v>
      </c>
      <c r="I328" s="369">
        <f t="shared" si="289"/>
        <v>35076.75</v>
      </c>
      <c r="J328" s="377">
        <f t="shared" si="286"/>
        <v>66</v>
      </c>
      <c r="K328" s="369">
        <f t="shared" si="292"/>
        <v>35142.75</v>
      </c>
      <c r="L328" s="360">
        <f t="shared" si="290"/>
        <v>284</v>
      </c>
      <c r="O328" s="381"/>
    </row>
    <row r="329" spans="1:15">
      <c r="A329" s="355">
        <f t="shared" si="287"/>
        <v>285</v>
      </c>
      <c r="B329" s="372">
        <f t="shared" si="291"/>
        <v>35328.75</v>
      </c>
      <c r="C329" s="357">
        <f t="shared" si="254"/>
        <v>2</v>
      </c>
      <c r="D329" s="358" t="str">
        <f t="shared" si="255"/>
        <v>venus</v>
      </c>
      <c r="E329" s="368">
        <f t="shared" si="284"/>
        <v>6</v>
      </c>
      <c r="F329" s="367" t="str">
        <f t="shared" si="278"/>
        <v>rahu</v>
      </c>
      <c r="G329" s="367">
        <f t="shared" si="288"/>
        <v>2</v>
      </c>
      <c r="H329" s="367" t="str">
        <f t="shared" si="285"/>
        <v>venus</v>
      </c>
      <c r="I329" s="369">
        <f t="shared" si="289"/>
        <v>35142.75</v>
      </c>
      <c r="J329" s="377">
        <f t="shared" si="286"/>
        <v>186</v>
      </c>
      <c r="K329" s="369">
        <f t="shared" si="292"/>
        <v>35328.75</v>
      </c>
      <c r="L329" s="360">
        <f t="shared" si="290"/>
        <v>285</v>
      </c>
      <c r="O329" s="381"/>
    </row>
    <row r="330" spans="1:15">
      <c r="A330" s="355">
        <f t="shared" si="287"/>
        <v>286</v>
      </c>
      <c r="B330" s="372">
        <f t="shared" si="291"/>
        <v>35383.75</v>
      </c>
      <c r="C330" s="357">
        <f t="shared" si="254"/>
        <v>2</v>
      </c>
      <c r="D330" s="358" t="str">
        <f t="shared" si="255"/>
        <v>venus</v>
      </c>
      <c r="E330" s="368">
        <f t="shared" si="284"/>
        <v>6</v>
      </c>
      <c r="F330" s="367" t="str">
        <f t="shared" si="278"/>
        <v>rahu</v>
      </c>
      <c r="G330" s="367">
        <f t="shared" si="288"/>
        <v>3</v>
      </c>
      <c r="H330" s="367" t="str">
        <f t="shared" si="285"/>
        <v>sun</v>
      </c>
      <c r="I330" s="369">
        <f t="shared" si="289"/>
        <v>35328.75</v>
      </c>
      <c r="J330" s="377">
        <f t="shared" si="286"/>
        <v>55</v>
      </c>
      <c r="K330" s="369">
        <f t="shared" si="292"/>
        <v>35383.75</v>
      </c>
      <c r="L330" s="360">
        <f t="shared" si="290"/>
        <v>286</v>
      </c>
      <c r="O330" s="381"/>
    </row>
    <row r="331" spans="1:15">
      <c r="A331" s="355">
        <f t="shared" si="287"/>
        <v>287</v>
      </c>
      <c r="B331" s="372">
        <f t="shared" si="291"/>
        <v>35471.75</v>
      </c>
      <c r="C331" s="357">
        <f t="shared" si="254"/>
        <v>2</v>
      </c>
      <c r="D331" s="358" t="str">
        <f t="shared" si="255"/>
        <v>venus</v>
      </c>
      <c r="E331" s="368">
        <f t="shared" si="284"/>
        <v>6</v>
      </c>
      <c r="F331" s="367" t="str">
        <f t="shared" si="278"/>
        <v>rahu</v>
      </c>
      <c r="G331" s="367">
        <f t="shared" si="288"/>
        <v>4</v>
      </c>
      <c r="H331" s="367" t="str">
        <f t="shared" si="285"/>
        <v>moon</v>
      </c>
      <c r="I331" s="369">
        <f t="shared" si="289"/>
        <v>35383.75</v>
      </c>
      <c r="J331" s="377">
        <f t="shared" si="286"/>
        <v>88</v>
      </c>
      <c r="K331" s="369">
        <f t="shared" si="292"/>
        <v>35471.75</v>
      </c>
      <c r="L331" s="360">
        <f t="shared" si="290"/>
        <v>287</v>
      </c>
      <c r="O331" s="381"/>
    </row>
    <row r="332" spans="1:15">
      <c r="A332" s="355">
        <f t="shared" si="287"/>
        <v>288</v>
      </c>
      <c r="B332" s="372">
        <f t="shared" si="291"/>
        <v>35537.75</v>
      </c>
      <c r="C332" s="357">
        <f t="shared" si="254"/>
        <v>2</v>
      </c>
      <c r="D332" s="358" t="str">
        <f t="shared" si="255"/>
        <v>venus</v>
      </c>
      <c r="E332" s="368">
        <f t="shared" si="284"/>
        <v>6</v>
      </c>
      <c r="F332" s="367" t="str">
        <f t="shared" si="278"/>
        <v>rahu</v>
      </c>
      <c r="G332" s="367">
        <f t="shared" si="288"/>
        <v>5</v>
      </c>
      <c r="H332" s="367" t="str">
        <f t="shared" si="285"/>
        <v>mars</v>
      </c>
      <c r="I332" s="369">
        <f t="shared" si="289"/>
        <v>35471.75</v>
      </c>
      <c r="J332" s="377">
        <f t="shared" si="286"/>
        <v>66</v>
      </c>
      <c r="K332" s="369">
        <f t="shared" si="292"/>
        <v>35537.75</v>
      </c>
      <c r="L332" s="360">
        <f t="shared" si="290"/>
        <v>288</v>
      </c>
      <c r="N332" s="358">
        <f>SUM(J324:J332)</f>
        <v>1095</v>
      </c>
      <c r="O332" s="381"/>
    </row>
    <row r="333" spans="1:15">
      <c r="A333" s="399"/>
      <c r="B333" s="386"/>
      <c r="C333" s="387">
        <f>C323</f>
        <v>2</v>
      </c>
      <c r="D333" s="373" t="str">
        <f>D323</f>
        <v>venus</v>
      </c>
      <c r="E333" s="393">
        <f>IF(E323+1&gt;9,E323+1-9,E323+1)</f>
        <v>7</v>
      </c>
      <c r="F333" s="389" t="str">
        <f t="shared" si="278"/>
        <v>jupiter</v>
      </c>
      <c r="G333" s="389"/>
      <c r="H333" s="389"/>
      <c r="I333" s="390">
        <f>K323</f>
        <v>35540.75</v>
      </c>
      <c r="J333" s="373">
        <f>ROUND(J$282*VLOOKUP(E333,$A$848:$E$856,5,FALSE),0)</f>
        <v>950</v>
      </c>
      <c r="K333" s="390">
        <f>I333+J333</f>
        <v>36490.75</v>
      </c>
      <c r="L333" s="400"/>
      <c r="M333" s="373"/>
      <c r="N333" s="373"/>
      <c r="O333" s="381"/>
    </row>
    <row r="334" spans="1:15">
      <c r="A334" s="355">
        <f>A332+1</f>
        <v>289</v>
      </c>
      <c r="B334" s="372">
        <f>K334</f>
        <v>35661.75</v>
      </c>
      <c r="C334" s="357">
        <f t="shared" si="254"/>
        <v>2</v>
      </c>
      <c r="D334" s="358" t="str">
        <f t="shared" si="255"/>
        <v>venus</v>
      </c>
      <c r="E334" s="368">
        <f t="shared" ref="E334:E342" si="293">E333</f>
        <v>7</v>
      </c>
      <c r="F334" s="367" t="str">
        <f t="shared" si="278"/>
        <v>jupiter</v>
      </c>
      <c r="G334" s="367">
        <f>E334</f>
        <v>7</v>
      </c>
      <c r="H334" s="367" t="str">
        <f t="shared" ref="H334:H342" si="294">VLOOKUP(G334,$A$848:$B$856,2,FALSE)</f>
        <v>jupiter</v>
      </c>
      <c r="I334" s="369">
        <f>K332</f>
        <v>35537.75</v>
      </c>
      <c r="J334" s="377">
        <f t="shared" ref="J334:J342" si="295">ROUND(J$333*VLOOKUP(G334,$A$848:$E$856,5,FALSE),0)</f>
        <v>124</v>
      </c>
      <c r="K334" s="369">
        <f>I334+J334</f>
        <v>35661.75</v>
      </c>
      <c r="L334" s="360">
        <f>L332+1</f>
        <v>289</v>
      </c>
      <c r="O334" s="381"/>
    </row>
    <row r="335" spans="1:15">
      <c r="A335" s="355">
        <f t="shared" ref="A335:A342" si="296">A334+1</f>
        <v>290</v>
      </c>
      <c r="B335" s="372">
        <f>K335</f>
        <v>35813.75</v>
      </c>
      <c r="C335" s="357">
        <f t="shared" si="254"/>
        <v>2</v>
      </c>
      <c r="D335" s="358" t="str">
        <f t="shared" si="255"/>
        <v>venus</v>
      </c>
      <c r="E335" s="368">
        <f t="shared" si="293"/>
        <v>7</v>
      </c>
      <c r="F335" s="367" t="str">
        <f t="shared" si="278"/>
        <v>jupiter</v>
      </c>
      <c r="G335" s="367">
        <f t="shared" ref="G335:G342" si="297">IF(G334+1&gt;9,G334+1-9,G334+1)</f>
        <v>8</v>
      </c>
      <c r="H335" s="367" t="str">
        <f t="shared" si="294"/>
        <v>saturn</v>
      </c>
      <c r="I335" s="369">
        <f t="shared" ref="I335:I342" si="298">K334</f>
        <v>35661.75</v>
      </c>
      <c r="J335" s="377">
        <f t="shared" si="295"/>
        <v>152</v>
      </c>
      <c r="K335" s="369">
        <f>I335+J335</f>
        <v>35813.75</v>
      </c>
      <c r="L335" s="360">
        <f t="shared" ref="L335:L342" si="299">L334+1</f>
        <v>290</v>
      </c>
      <c r="O335" s="381"/>
    </row>
    <row r="336" spans="1:15">
      <c r="A336" s="355">
        <f t="shared" si="296"/>
        <v>291</v>
      </c>
      <c r="B336" s="372">
        <f t="shared" ref="B336:B342" si="300">K336</f>
        <v>35946.75</v>
      </c>
      <c r="C336" s="357">
        <f t="shared" si="254"/>
        <v>2</v>
      </c>
      <c r="D336" s="358" t="str">
        <f t="shared" si="255"/>
        <v>venus</v>
      </c>
      <c r="E336" s="368">
        <f t="shared" si="293"/>
        <v>7</v>
      </c>
      <c r="F336" s="367" t="str">
        <f t="shared" si="278"/>
        <v>jupiter</v>
      </c>
      <c r="G336" s="367">
        <f t="shared" si="297"/>
        <v>9</v>
      </c>
      <c r="H336" s="367" t="str">
        <f t="shared" si="294"/>
        <v>mercury</v>
      </c>
      <c r="I336" s="369">
        <f t="shared" si="298"/>
        <v>35813.75</v>
      </c>
      <c r="J336" s="377">
        <f t="shared" si="295"/>
        <v>133</v>
      </c>
      <c r="K336" s="369">
        <f t="shared" ref="K336:K342" si="301">I336+J336</f>
        <v>35946.75</v>
      </c>
      <c r="L336" s="360">
        <f t="shared" si="299"/>
        <v>291</v>
      </c>
      <c r="O336" s="381"/>
    </row>
    <row r="337" spans="1:15">
      <c r="A337" s="355">
        <f t="shared" si="296"/>
        <v>292</v>
      </c>
      <c r="B337" s="372">
        <f t="shared" si="300"/>
        <v>36003.75</v>
      </c>
      <c r="C337" s="357">
        <f t="shared" si="254"/>
        <v>2</v>
      </c>
      <c r="D337" s="358" t="str">
        <f t="shared" si="255"/>
        <v>venus</v>
      </c>
      <c r="E337" s="368">
        <f t="shared" si="293"/>
        <v>7</v>
      </c>
      <c r="F337" s="367" t="str">
        <f t="shared" si="278"/>
        <v>jupiter</v>
      </c>
      <c r="G337" s="367">
        <f t="shared" si="297"/>
        <v>1</v>
      </c>
      <c r="H337" s="367" t="str">
        <f t="shared" si="294"/>
        <v>ketu</v>
      </c>
      <c r="I337" s="369">
        <f t="shared" si="298"/>
        <v>35946.75</v>
      </c>
      <c r="J337" s="377">
        <f t="shared" si="295"/>
        <v>57</v>
      </c>
      <c r="K337" s="369">
        <f t="shared" si="301"/>
        <v>36003.75</v>
      </c>
      <c r="L337" s="360">
        <f t="shared" si="299"/>
        <v>292</v>
      </c>
      <c r="O337" s="381"/>
    </row>
    <row r="338" spans="1:15">
      <c r="A338" s="355">
        <f t="shared" si="296"/>
        <v>293</v>
      </c>
      <c r="B338" s="372">
        <f t="shared" si="300"/>
        <v>36165.75</v>
      </c>
      <c r="C338" s="357">
        <f t="shared" si="254"/>
        <v>2</v>
      </c>
      <c r="D338" s="358" t="str">
        <f t="shared" si="255"/>
        <v>venus</v>
      </c>
      <c r="E338" s="368">
        <f t="shared" si="293"/>
        <v>7</v>
      </c>
      <c r="F338" s="367" t="str">
        <f t="shared" si="278"/>
        <v>jupiter</v>
      </c>
      <c r="G338" s="367">
        <f t="shared" si="297"/>
        <v>2</v>
      </c>
      <c r="H338" s="367" t="str">
        <f t="shared" si="294"/>
        <v>venus</v>
      </c>
      <c r="I338" s="369">
        <f t="shared" si="298"/>
        <v>36003.75</v>
      </c>
      <c r="J338" s="377">
        <f t="shared" si="295"/>
        <v>162</v>
      </c>
      <c r="K338" s="369">
        <f t="shared" si="301"/>
        <v>36165.75</v>
      </c>
      <c r="L338" s="360">
        <f t="shared" si="299"/>
        <v>293</v>
      </c>
      <c r="O338" s="381"/>
    </row>
    <row r="339" spans="1:15">
      <c r="A339" s="355">
        <f t="shared" si="296"/>
        <v>294</v>
      </c>
      <c r="B339" s="372">
        <f t="shared" si="300"/>
        <v>36213.75</v>
      </c>
      <c r="C339" s="357">
        <f t="shared" si="254"/>
        <v>2</v>
      </c>
      <c r="D339" s="358" t="str">
        <f t="shared" si="255"/>
        <v>venus</v>
      </c>
      <c r="E339" s="368">
        <f t="shared" si="293"/>
        <v>7</v>
      </c>
      <c r="F339" s="367" t="str">
        <f t="shared" si="278"/>
        <v>jupiter</v>
      </c>
      <c r="G339" s="367">
        <f t="shared" si="297"/>
        <v>3</v>
      </c>
      <c r="H339" s="367" t="str">
        <f t="shared" si="294"/>
        <v>sun</v>
      </c>
      <c r="I339" s="369">
        <f t="shared" si="298"/>
        <v>36165.75</v>
      </c>
      <c r="J339" s="377">
        <f t="shared" si="295"/>
        <v>48</v>
      </c>
      <c r="K339" s="369">
        <f t="shared" si="301"/>
        <v>36213.75</v>
      </c>
      <c r="L339" s="360">
        <f t="shared" si="299"/>
        <v>294</v>
      </c>
      <c r="O339" s="381"/>
    </row>
    <row r="340" spans="1:15">
      <c r="A340" s="355">
        <f t="shared" si="296"/>
        <v>295</v>
      </c>
      <c r="B340" s="372">
        <f t="shared" si="300"/>
        <v>36289.75</v>
      </c>
      <c r="C340" s="357">
        <f t="shared" si="254"/>
        <v>2</v>
      </c>
      <c r="D340" s="358" t="str">
        <f t="shared" si="255"/>
        <v>venus</v>
      </c>
      <c r="E340" s="368">
        <f t="shared" si="293"/>
        <v>7</v>
      </c>
      <c r="F340" s="367" t="str">
        <f t="shared" si="278"/>
        <v>jupiter</v>
      </c>
      <c r="G340" s="367">
        <f t="shared" si="297"/>
        <v>4</v>
      </c>
      <c r="H340" s="367" t="str">
        <f t="shared" si="294"/>
        <v>moon</v>
      </c>
      <c r="I340" s="369">
        <f t="shared" si="298"/>
        <v>36213.75</v>
      </c>
      <c r="J340" s="377">
        <f t="shared" si="295"/>
        <v>76</v>
      </c>
      <c r="K340" s="369">
        <f t="shared" si="301"/>
        <v>36289.75</v>
      </c>
      <c r="L340" s="360">
        <f t="shared" si="299"/>
        <v>295</v>
      </c>
      <c r="O340" s="381"/>
    </row>
    <row r="341" spans="1:15">
      <c r="A341" s="355">
        <f t="shared" si="296"/>
        <v>296</v>
      </c>
      <c r="B341" s="372">
        <f t="shared" si="300"/>
        <v>36346.75</v>
      </c>
      <c r="C341" s="357">
        <f t="shared" si="254"/>
        <v>2</v>
      </c>
      <c r="D341" s="358" t="str">
        <f t="shared" si="255"/>
        <v>venus</v>
      </c>
      <c r="E341" s="368">
        <f t="shared" si="293"/>
        <v>7</v>
      </c>
      <c r="F341" s="367" t="str">
        <f t="shared" si="278"/>
        <v>jupiter</v>
      </c>
      <c r="G341" s="367">
        <f t="shared" si="297"/>
        <v>5</v>
      </c>
      <c r="H341" s="367" t="str">
        <f t="shared" si="294"/>
        <v>mars</v>
      </c>
      <c r="I341" s="369">
        <f t="shared" si="298"/>
        <v>36289.75</v>
      </c>
      <c r="J341" s="377">
        <f t="shared" si="295"/>
        <v>57</v>
      </c>
      <c r="K341" s="369">
        <f t="shared" si="301"/>
        <v>36346.75</v>
      </c>
      <c r="L341" s="360">
        <f t="shared" si="299"/>
        <v>296</v>
      </c>
      <c r="O341" s="381"/>
    </row>
    <row r="342" spans="1:15">
      <c r="A342" s="355">
        <f t="shared" si="296"/>
        <v>297</v>
      </c>
      <c r="B342" s="372">
        <f t="shared" si="300"/>
        <v>36489.75</v>
      </c>
      <c r="C342" s="357">
        <f t="shared" si="254"/>
        <v>2</v>
      </c>
      <c r="D342" s="358" t="str">
        <f t="shared" si="255"/>
        <v>venus</v>
      </c>
      <c r="E342" s="368">
        <f t="shared" si="293"/>
        <v>7</v>
      </c>
      <c r="F342" s="367" t="str">
        <f t="shared" si="278"/>
        <v>jupiter</v>
      </c>
      <c r="G342" s="367">
        <f t="shared" si="297"/>
        <v>6</v>
      </c>
      <c r="H342" s="367" t="str">
        <f t="shared" si="294"/>
        <v>rahu</v>
      </c>
      <c r="I342" s="369">
        <f t="shared" si="298"/>
        <v>36346.75</v>
      </c>
      <c r="J342" s="377">
        <f t="shared" si="295"/>
        <v>143</v>
      </c>
      <c r="K342" s="369">
        <f t="shared" si="301"/>
        <v>36489.75</v>
      </c>
      <c r="L342" s="360">
        <f t="shared" si="299"/>
        <v>297</v>
      </c>
      <c r="N342" s="358">
        <f>SUM(J334:J342)</f>
        <v>952</v>
      </c>
      <c r="O342" s="381"/>
    </row>
    <row r="343" spans="1:15">
      <c r="A343" s="399"/>
      <c r="B343" s="386"/>
      <c r="C343" s="387">
        <f>C333</f>
        <v>2</v>
      </c>
      <c r="D343" s="373" t="str">
        <f>D333</f>
        <v>venus</v>
      </c>
      <c r="E343" s="393">
        <f>IF(E333+1&gt;9,E333+1-9,E333+1)</f>
        <v>8</v>
      </c>
      <c r="F343" s="389" t="str">
        <f t="shared" si="278"/>
        <v>saturn</v>
      </c>
      <c r="G343" s="389"/>
      <c r="H343" s="389"/>
      <c r="I343" s="390">
        <f>K333</f>
        <v>36490.75</v>
      </c>
      <c r="J343" s="373">
        <f>ROUND(J$282*VLOOKUP(E343,$A$848:$E$856,5,FALSE),0)</f>
        <v>1169</v>
      </c>
      <c r="K343" s="390">
        <f>I343+J343</f>
        <v>37659.75</v>
      </c>
      <c r="L343" s="400"/>
      <c r="M343" s="373"/>
      <c r="N343" s="373"/>
      <c r="O343" s="381"/>
    </row>
    <row r="344" spans="1:15">
      <c r="A344" s="355">
        <f>A342+1</f>
        <v>298</v>
      </c>
      <c r="B344" s="372">
        <f>K344</f>
        <v>36676.75</v>
      </c>
      <c r="C344" s="357">
        <f t="shared" si="254"/>
        <v>2</v>
      </c>
      <c r="D344" s="358" t="str">
        <f t="shared" si="255"/>
        <v>venus</v>
      </c>
      <c r="E344" s="368">
        <f t="shared" ref="E344:E352" si="302">E343</f>
        <v>8</v>
      </c>
      <c r="F344" s="367" t="str">
        <f t="shared" si="278"/>
        <v>saturn</v>
      </c>
      <c r="G344" s="367">
        <f>E344</f>
        <v>8</v>
      </c>
      <c r="H344" s="367" t="str">
        <f t="shared" ref="H344:H352" si="303">VLOOKUP(G344,$A$848:$B$856,2,FALSE)</f>
        <v>saturn</v>
      </c>
      <c r="I344" s="369">
        <f>K342</f>
        <v>36489.75</v>
      </c>
      <c r="J344" s="377">
        <f t="shared" ref="J344:J352" si="304">ROUND(J$343*VLOOKUP(G344,$A$848:$E$856,5,FALSE),0)</f>
        <v>187</v>
      </c>
      <c r="K344" s="369">
        <f>I344+J344</f>
        <v>36676.75</v>
      </c>
      <c r="L344" s="360">
        <f>L342+1</f>
        <v>298</v>
      </c>
      <c r="O344" s="381"/>
    </row>
    <row r="345" spans="1:15">
      <c r="A345" s="355">
        <f t="shared" ref="A345:A352" si="305">A344+1</f>
        <v>299</v>
      </c>
      <c r="B345" s="372">
        <f>K345</f>
        <v>36840.75</v>
      </c>
      <c r="C345" s="357">
        <f t="shared" si="254"/>
        <v>2</v>
      </c>
      <c r="D345" s="358" t="str">
        <f t="shared" si="255"/>
        <v>venus</v>
      </c>
      <c r="E345" s="368">
        <f t="shared" si="302"/>
        <v>8</v>
      </c>
      <c r="F345" s="367" t="str">
        <f t="shared" si="278"/>
        <v>saturn</v>
      </c>
      <c r="G345" s="367">
        <f t="shared" ref="G345:G352" si="306">IF(G344+1&gt;9,G344+1-9,G344+1)</f>
        <v>9</v>
      </c>
      <c r="H345" s="367" t="str">
        <f t="shared" si="303"/>
        <v>mercury</v>
      </c>
      <c r="I345" s="369">
        <f t="shared" ref="I345:I352" si="307">K344</f>
        <v>36676.75</v>
      </c>
      <c r="J345" s="377">
        <f t="shared" si="304"/>
        <v>164</v>
      </c>
      <c r="K345" s="369">
        <f>I345+J345</f>
        <v>36840.75</v>
      </c>
      <c r="L345" s="360">
        <f t="shared" ref="L345:L352" si="308">L344+1</f>
        <v>299</v>
      </c>
      <c r="O345" s="381"/>
    </row>
    <row r="346" spans="1:15">
      <c r="A346" s="355">
        <f t="shared" si="305"/>
        <v>300</v>
      </c>
      <c r="B346" s="372">
        <f t="shared" ref="B346:B352" si="309">K346</f>
        <v>36910.75</v>
      </c>
      <c r="C346" s="357">
        <f t="shared" si="254"/>
        <v>2</v>
      </c>
      <c r="D346" s="358" t="str">
        <f t="shared" si="255"/>
        <v>venus</v>
      </c>
      <c r="E346" s="368">
        <f t="shared" si="302"/>
        <v>8</v>
      </c>
      <c r="F346" s="367" t="str">
        <f t="shared" si="278"/>
        <v>saturn</v>
      </c>
      <c r="G346" s="367">
        <f t="shared" si="306"/>
        <v>1</v>
      </c>
      <c r="H346" s="367" t="str">
        <f t="shared" si="303"/>
        <v>ketu</v>
      </c>
      <c r="I346" s="369">
        <f t="shared" si="307"/>
        <v>36840.75</v>
      </c>
      <c r="J346" s="377">
        <f t="shared" si="304"/>
        <v>70</v>
      </c>
      <c r="K346" s="369">
        <f t="shared" ref="K346:K352" si="310">I346+J346</f>
        <v>36910.75</v>
      </c>
      <c r="L346" s="360">
        <f t="shared" si="308"/>
        <v>300</v>
      </c>
      <c r="O346" s="381"/>
    </row>
    <row r="347" spans="1:15">
      <c r="A347" s="355">
        <f t="shared" si="305"/>
        <v>301</v>
      </c>
      <c r="B347" s="372">
        <f t="shared" si="309"/>
        <v>37109.75</v>
      </c>
      <c r="C347" s="357">
        <f t="shared" si="254"/>
        <v>2</v>
      </c>
      <c r="D347" s="358" t="str">
        <f t="shared" si="255"/>
        <v>venus</v>
      </c>
      <c r="E347" s="368">
        <f t="shared" si="302"/>
        <v>8</v>
      </c>
      <c r="F347" s="367" t="str">
        <f t="shared" ref="F347:F372" si="311">VLOOKUP(E347,$A$848:$B$856,2,FALSE)</f>
        <v>saturn</v>
      </c>
      <c r="G347" s="367">
        <f t="shared" si="306"/>
        <v>2</v>
      </c>
      <c r="H347" s="367" t="str">
        <f t="shared" si="303"/>
        <v>venus</v>
      </c>
      <c r="I347" s="369">
        <f t="shared" si="307"/>
        <v>36910.75</v>
      </c>
      <c r="J347" s="377">
        <f t="shared" si="304"/>
        <v>199</v>
      </c>
      <c r="K347" s="369">
        <f t="shared" si="310"/>
        <v>37109.75</v>
      </c>
      <c r="L347" s="360">
        <f t="shared" si="308"/>
        <v>301</v>
      </c>
      <c r="O347" s="381"/>
    </row>
    <row r="348" spans="1:15">
      <c r="A348" s="355">
        <f t="shared" si="305"/>
        <v>302</v>
      </c>
      <c r="B348" s="372">
        <f t="shared" si="309"/>
        <v>37167.75</v>
      </c>
      <c r="C348" s="357">
        <f t="shared" si="254"/>
        <v>2</v>
      </c>
      <c r="D348" s="358" t="str">
        <f t="shared" si="255"/>
        <v>venus</v>
      </c>
      <c r="E348" s="368">
        <f t="shared" si="302"/>
        <v>8</v>
      </c>
      <c r="F348" s="367" t="str">
        <f t="shared" si="311"/>
        <v>saturn</v>
      </c>
      <c r="G348" s="367">
        <f t="shared" si="306"/>
        <v>3</v>
      </c>
      <c r="H348" s="367" t="str">
        <f t="shared" si="303"/>
        <v>sun</v>
      </c>
      <c r="I348" s="369">
        <f t="shared" si="307"/>
        <v>37109.75</v>
      </c>
      <c r="J348" s="377">
        <f t="shared" si="304"/>
        <v>58</v>
      </c>
      <c r="K348" s="369">
        <f t="shared" si="310"/>
        <v>37167.75</v>
      </c>
      <c r="L348" s="360">
        <f t="shared" si="308"/>
        <v>302</v>
      </c>
      <c r="O348" s="381"/>
    </row>
    <row r="349" spans="1:15">
      <c r="A349" s="355">
        <f t="shared" si="305"/>
        <v>303</v>
      </c>
      <c r="B349" s="372">
        <f t="shared" si="309"/>
        <v>37261.75</v>
      </c>
      <c r="C349" s="357">
        <f t="shared" si="254"/>
        <v>2</v>
      </c>
      <c r="D349" s="358" t="str">
        <f t="shared" si="255"/>
        <v>venus</v>
      </c>
      <c r="E349" s="368">
        <f t="shared" si="302"/>
        <v>8</v>
      </c>
      <c r="F349" s="367" t="str">
        <f t="shared" si="311"/>
        <v>saturn</v>
      </c>
      <c r="G349" s="367">
        <f t="shared" si="306"/>
        <v>4</v>
      </c>
      <c r="H349" s="367" t="str">
        <f t="shared" si="303"/>
        <v>moon</v>
      </c>
      <c r="I349" s="369">
        <f t="shared" si="307"/>
        <v>37167.75</v>
      </c>
      <c r="J349" s="377">
        <f t="shared" si="304"/>
        <v>94</v>
      </c>
      <c r="K349" s="369">
        <f t="shared" si="310"/>
        <v>37261.75</v>
      </c>
      <c r="L349" s="360">
        <f t="shared" si="308"/>
        <v>303</v>
      </c>
      <c r="O349" s="381"/>
    </row>
    <row r="350" spans="1:15">
      <c r="A350" s="355">
        <f t="shared" si="305"/>
        <v>304</v>
      </c>
      <c r="B350" s="372">
        <f t="shared" si="309"/>
        <v>37331.75</v>
      </c>
      <c r="C350" s="357">
        <f t="shared" si="254"/>
        <v>2</v>
      </c>
      <c r="D350" s="358" t="str">
        <f t="shared" si="255"/>
        <v>venus</v>
      </c>
      <c r="E350" s="368">
        <f t="shared" si="302"/>
        <v>8</v>
      </c>
      <c r="F350" s="367" t="str">
        <f t="shared" si="311"/>
        <v>saturn</v>
      </c>
      <c r="G350" s="367">
        <f t="shared" si="306"/>
        <v>5</v>
      </c>
      <c r="H350" s="367" t="str">
        <f t="shared" si="303"/>
        <v>mars</v>
      </c>
      <c r="I350" s="369">
        <f t="shared" si="307"/>
        <v>37261.75</v>
      </c>
      <c r="J350" s="377">
        <f t="shared" si="304"/>
        <v>70</v>
      </c>
      <c r="K350" s="369">
        <f t="shared" si="310"/>
        <v>37331.75</v>
      </c>
      <c r="L350" s="360">
        <f t="shared" si="308"/>
        <v>304</v>
      </c>
      <c r="O350" s="381"/>
    </row>
    <row r="351" spans="1:15">
      <c r="A351" s="355">
        <f t="shared" si="305"/>
        <v>305</v>
      </c>
      <c r="B351" s="372">
        <f t="shared" si="309"/>
        <v>37506.75</v>
      </c>
      <c r="C351" s="357">
        <f t="shared" si="254"/>
        <v>2</v>
      </c>
      <c r="D351" s="358" t="str">
        <f t="shared" si="255"/>
        <v>venus</v>
      </c>
      <c r="E351" s="368">
        <f t="shared" si="302"/>
        <v>8</v>
      </c>
      <c r="F351" s="367" t="str">
        <f t="shared" si="311"/>
        <v>saturn</v>
      </c>
      <c r="G351" s="367">
        <f t="shared" si="306"/>
        <v>6</v>
      </c>
      <c r="H351" s="367" t="str">
        <f t="shared" si="303"/>
        <v>rahu</v>
      </c>
      <c r="I351" s="369">
        <f t="shared" si="307"/>
        <v>37331.75</v>
      </c>
      <c r="J351" s="377">
        <f t="shared" si="304"/>
        <v>175</v>
      </c>
      <c r="K351" s="369">
        <f t="shared" si="310"/>
        <v>37506.75</v>
      </c>
      <c r="L351" s="360">
        <f t="shared" si="308"/>
        <v>305</v>
      </c>
      <c r="O351" s="381"/>
    </row>
    <row r="352" spans="1:15">
      <c r="A352" s="355">
        <f t="shared" si="305"/>
        <v>306</v>
      </c>
      <c r="B352" s="372">
        <f t="shared" si="309"/>
        <v>37658.75</v>
      </c>
      <c r="C352" s="357">
        <f t="shared" si="254"/>
        <v>2</v>
      </c>
      <c r="D352" s="358" t="str">
        <f t="shared" si="255"/>
        <v>venus</v>
      </c>
      <c r="E352" s="368">
        <f t="shared" si="302"/>
        <v>8</v>
      </c>
      <c r="F352" s="367" t="str">
        <f t="shared" si="311"/>
        <v>saturn</v>
      </c>
      <c r="G352" s="367">
        <f t="shared" si="306"/>
        <v>7</v>
      </c>
      <c r="H352" s="367" t="str">
        <f t="shared" si="303"/>
        <v>jupiter</v>
      </c>
      <c r="I352" s="369">
        <f t="shared" si="307"/>
        <v>37506.75</v>
      </c>
      <c r="J352" s="377">
        <f t="shared" si="304"/>
        <v>152</v>
      </c>
      <c r="K352" s="369">
        <f t="shared" si="310"/>
        <v>37658.75</v>
      </c>
      <c r="L352" s="360">
        <f t="shared" si="308"/>
        <v>306</v>
      </c>
      <c r="N352" s="358">
        <f>SUM(J344:J352)</f>
        <v>1169</v>
      </c>
      <c r="O352" s="381"/>
    </row>
    <row r="353" spans="1:15">
      <c r="A353" s="399"/>
      <c r="B353" s="386"/>
      <c r="C353" s="387">
        <f>C343</f>
        <v>2</v>
      </c>
      <c r="D353" s="373" t="str">
        <f>D343</f>
        <v>venus</v>
      </c>
      <c r="E353" s="393">
        <f>IF(E343+1&gt;9,E343+1-9,E343+1)</f>
        <v>9</v>
      </c>
      <c r="F353" s="389" t="str">
        <f t="shared" si="311"/>
        <v>mercury</v>
      </c>
      <c r="G353" s="389"/>
      <c r="H353" s="389"/>
      <c r="I353" s="390">
        <f>K343</f>
        <v>37659.75</v>
      </c>
      <c r="J353" s="373">
        <f>ROUND(J$282*VLOOKUP(E353,$A$848:$E$856,5,FALSE),0)</f>
        <v>1023</v>
      </c>
      <c r="K353" s="390">
        <f>I353+J353</f>
        <v>38682.75</v>
      </c>
      <c r="L353" s="400"/>
      <c r="M353" s="373"/>
      <c r="N353" s="373"/>
      <c r="O353" s="381"/>
    </row>
    <row r="354" spans="1:15">
      <c r="A354" s="355">
        <f>A352+1</f>
        <v>307</v>
      </c>
      <c r="B354" s="372">
        <f>K354</f>
        <v>37801.75</v>
      </c>
      <c r="C354" s="357">
        <f t="shared" si="254"/>
        <v>2</v>
      </c>
      <c r="D354" s="358" t="str">
        <f t="shared" si="255"/>
        <v>venus</v>
      </c>
      <c r="E354" s="368">
        <f t="shared" ref="E354:E362" si="312">E353</f>
        <v>9</v>
      </c>
      <c r="F354" s="367" t="str">
        <f t="shared" si="311"/>
        <v>mercury</v>
      </c>
      <c r="G354" s="367">
        <f>E354</f>
        <v>9</v>
      </c>
      <c r="H354" s="367" t="str">
        <f t="shared" ref="H354:H362" si="313">VLOOKUP(G354,$A$848:$B$856,2,FALSE)</f>
        <v>mercury</v>
      </c>
      <c r="I354" s="369">
        <f>K352</f>
        <v>37658.75</v>
      </c>
      <c r="J354" s="377">
        <f t="shared" ref="J354:J362" si="314">ROUND(J$353*VLOOKUP(G354,$A$848:$E$856,5,FALSE),0)</f>
        <v>143</v>
      </c>
      <c r="K354" s="369">
        <f>I354+J354</f>
        <v>37801.75</v>
      </c>
      <c r="L354" s="360">
        <f>L352+1</f>
        <v>307</v>
      </c>
      <c r="O354" s="381"/>
    </row>
    <row r="355" spans="1:15">
      <c r="A355" s="355">
        <f t="shared" ref="A355:A362" si="315">A354+1</f>
        <v>308</v>
      </c>
      <c r="B355" s="372">
        <f>K355</f>
        <v>37862.75</v>
      </c>
      <c r="C355" s="357">
        <f t="shared" si="254"/>
        <v>2</v>
      </c>
      <c r="D355" s="358" t="str">
        <f t="shared" si="255"/>
        <v>venus</v>
      </c>
      <c r="E355" s="368">
        <f t="shared" si="312"/>
        <v>9</v>
      </c>
      <c r="F355" s="367" t="str">
        <f t="shared" si="311"/>
        <v>mercury</v>
      </c>
      <c r="G355" s="367">
        <f t="shared" ref="G355:G362" si="316">IF(G354+1&gt;9,G354+1-9,G354+1)</f>
        <v>1</v>
      </c>
      <c r="H355" s="367" t="str">
        <f t="shared" si="313"/>
        <v>ketu</v>
      </c>
      <c r="I355" s="369">
        <f t="shared" ref="I355:I362" si="317">K354</f>
        <v>37801.75</v>
      </c>
      <c r="J355" s="377">
        <f t="shared" si="314"/>
        <v>61</v>
      </c>
      <c r="K355" s="369">
        <f>I355+J355</f>
        <v>37862.75</v>
      </c>
      <c r="L355" s="360">
        <f t="shared" ref="L355:L362" si="318">L354+1</f>
        <v>308</v>
      </c>
      <c r="O355" s="381"/>
    </row>
    <row r="356" spans="1:15">
      <c r="A356" s="355">
        <f t="shared" si="315"/>
        <v>309</v>
      </c>
      <c r="B356" s="372">
        <f t="shared" ref="B356:B362" si="319">K356</f>
        <v>38036.75</v>
      </c>
      <c r="C356" s="357">
        <f t="shared" si="254"/>
        <v>2</v>
      </c>
      <c r="D356" s="358" t="str">
        <f t="shared" si="255"/>
        <v>venus</v>
      </c>
      <c r="E356" s="368">
        <f t="shared" si="312"/>
        <v>9</v>
      </c>
      <c r="F356" s="367" t="str">
        <f t="shared" si="311"/>
        <v>mercury</v>
      </c>
      <c r="G356" s="367">
        <f t="shared" si="316"/>
        <v>2</v>
      </c>
      <c r="H356" s="367" t="str">
        <f t="shared" si="313"/>
        <v>venus</v>
      </c>
      <c r="I356" s="369">
        <f t="shared" si="317"/>
        <v>37862.75</v>
      </c>
      <c r="J356" s="377">
        <f t="shared" si="314"/>
        <v>174</v>
      </c>
      <c r="K356" s="369">
        <f t="shared" ref="K356:K362" si="320">I356+J356</f>
        <v>38036.75</v>
      </c>
      <c r="L356" s="360">
        <f t="shared" si="318"/>
        <v>309</v>
      </c>
      <c r="O356" s="381"/>
    </row>
    <row r="357" spans="1:15">
      <c r="A357" s="355">
        <f t="shared" si="315"/>
        <v>310</v>
      </c>
      <c r="B357" s="372">
        <f t="shared" si="319"/>
        <v>38087.75</v>
      </c>
      <c r="C357" s="357">
        <f t="shared" si="254"/>
        <v>2</v>
      </c>
      <c r="D357" s="358" t="str">
        <f t="shared" si="255"/>
        <v>venus</v>
      </c>
      <c r="E357" s="368">
        <f t="shared" si="312"/>
        <v>9</v>
      </c>
      <c r="F357" s="367" t="str">
        <f t="shared" si="311"/>
        <v>mercury</v>
      </c>
      <c r="G357" s="367">
        <f t="shared" si="316"/>
        <v>3</v>
      </c>
      <c r="H357" s="367" t="str">
        <f t="shared" si="313"/>
        <v>sun</v>
      </c>
      <c r="I357" s="369">
        <f t="shared" si="317"/>
        <v>38036.75</v>
      </c>
      <c r="J357" s="377">
        <f t="shared" si="314"/>
        <v>51</v>
      </c>
      <c r="K357" s="369">
        <f t="shared" si="320"/>
        <v>38087.75</v>
      </c>
      <c r="L357" s="360">
        <f t="shared" si="318"/>
        <v>310</v>
      </c>
      <c r="O357" s="381"/>
    </row>
    <row r="358" spans="1:15">
      <c r="A358" s="355">
        <f t="shared" si="315"/>
        <v>311</v>
      </c>
      <c r="B358" s="372">
        <f t="shared" si="319"/>
        <v>38169.75</v>
      </c>
      <c r="C358" s="357">
        <f t="shared" si="254"/>
        <v>2</v>
      </c>
      <c r="D358" s="358" t="str">
        <f t="shared" si="255"/>
        <v>venus</v>
      </c>
      <c r="E358" s="368">
        <f t="shared" si="312"/>
        <v>9</v>
      </c>
      <c r="F358" s="367" t="str">
        <f t="shared" si="311"/>
        <v>mercury</v>
      </c>
      <c r="G358" s="367">
        <f t="shared" si="316"/>
        <v>4</v>
      </c>
      <c r="H358" s="367" t="str">
        <f t="shared" si="313"/>
        <v>moon</v>
      </c>
      <c r="I358" s="369">
        <f t="shared" si="317"/>
        <v>38087.75</v>
      </c>
      <c r="J358" s="377">
        <f t="shared" si="314"/>
        <v>82</v>
      </c>
      <c r="K358" s="369">
        <f t="shared" si="320"/>
        <v>38169.75</v>
      </c>
      <c r="L358" s="360">
        <f t="shared" si="318"/>
        <v>311</v>
      </c>
      <c r="O358" s="381"/>
    </row>
    <row r="359" spans="1:15">
      <c r="A359" s="355">
        <f t="shared" si="315"/>
        <v>312</v>
      </c>
      <c r="B359" s="372">
        <f t="shared" si="319"/>
        <v>38230.75</v>
      </c>
      <c r="C359" s="357">
        <f t="shared" si="254"/>
        <v>2</v>
      </c>
      <c r="D359" s="358" t="str">
        <f t="shared" si="255"/>
        <v>venus</v>
      </c>
      <c r="E359" s="368">
        <f t="shared" si="312"/>
        <v>9</v>
      </c>
      <c r="F359" s="367" t="str">
        <f t="shared" si="311"/>
        <v>mercury</v>
      </c>
      <c r="G359" s="367">
        <f t="shared" si="316"/>
        <v>5</v>
      </c>
      <c r="H359" s="367" t="str">
        <f t="shared" si="313"/>
        <v>mars</v>
      </c>
      <c r="I359" s="369">
        <f t="shared" si="317"/>
        <v>38169.75</v>
      </c>
      <c r="J359" s="377">
        <f t="shared" si="314"/>
        <v>61</v>
      </c>
      <c r="K359" s="369">
        <f t="shared" si="320"/>
        <v>38230.75</v>
      </c>
      <c r="L359" s="360">
        <f t="shared" si="318"/>
        <v>312</v>
      </c>
      <c r="O359" s="381"/>
    </row>
    <row r="360" spans="1:15">
      <c r="A360" s="355">
        <f t="shared" si="315"/>
        <v>313</v>
      </c>
      <c r="B360" s="372">
        <f t="shared" si="319"/>
        <v>38383.75</v>
      </c>
      <c r="C360" s="357">
        <f t="shared" si="254"/>
        <v>2</v>
      </c>
      <c r="D360" s="358" t="str">
        <f t="shared" si="255"/>
        <v>venus</v>
      </c>
      <c r="E360" s="368">
        <f t="shared" si="312"/>
        <v>9</v>
      </c>
      <c r="F360" s="367" t="str">
        <f t="shared" si="311"/>
        <v>mercury</v>
      </c>
      <c r="G360" s="367">
        <f t="shared" si="316"/>
        <v>6</v>
      </c>
      <c r="H360" s="367" t="str">
        <f t="shared" si="313"/>
        <v>rahu</v>
      </c>
      <c r="I360" s="369">
        <f t="shared" si="317"/>
        <v>38230.75</v>
      </c>
      <c r="J360" s="377">
        <f t="shared" si="314"/>
        <v>153</v>
      </c>
      <c r="K360" s="369">
        <f t="shared" si="320"/>
        <v>38383.75</v>
      </c>
      <c r="L360" s="360">
        <f t="shared" si="318"/>
        <v>313</v>
      </c>
      <c r="O360" s="381"/>
    </row>
    <row r="361" spans="1:15">
      <c r="A361" s="355">
        <f t="shared" si="315"/>
        <v>314</v>
      </c>
      <c r="B361" s="372">
        <f t="shared" si="319"/>
        <v>38516.75</v>
      </c>
      <c r="C361" s="357">
        <f t="shared" si="254"/>
        <v>2</v>
      </c>
      <c r="D361" s="358" t="str">
        <f t="shared" si="255"/>
        <v>venus</v>
      </c>
      <c r="E361" s="368">
        <f t="shared" si="312"/>
        <v>9</v>
      </c>
      <c r="F361" s="367" t="str">
        <f t="shared" si="311"/>
        <v>mercury</v>
      </c>
      <c r="G361" s="367">
        <f t="shared" si="316"/>
        <v>7</v>
      </c>
      <c r="H361" s="367" t="str">
        <f t="shared" si="313"/>
        <v>jupiter</v>
      </c>
      <c r="I361" s="369">
        <f t="shared" si="317"/>
        <v>38383.75</v>
      </c>
      <c r="J361" s="377">
        <f t="shared" si="314"/>
        <v>133</v>
      </c>
      <c r="K361" s="369">
        <f t="shared" si="320"/>
        <v>38516.75</v>
      </c>
      <c r="L361" s="360">
        <f t="shared" si="318"/>
        <v>314</v>
      </c>
      <c r="O361" s="381"/>
    </row>
    <row r="362" spans="1:15">
      <c r="A362" s="355">
        <f t="shared" si="315"/>
        <v>315</v>
      </c>
      <c r="B362" s="372">
        <f t="shared" si="319"/>
        <v>38680.75</v>
      </c>
      <c r="C362" s="357">
        <f t="shared" si="254"/>
        <v>2</v>
      </c>
      <c r="D362" s="358" t="str">
        <f t="shared" si="255"/>
        <v>venus</v>
      </c>
      <c r="E362" s="368">
        <f t="shared" si="312"/>
        <v>9</v>
      </c>
      <c r="F362" s="367" t="str">
        <f t="shared" si="311"/>
        <v>mercury</v>
      </c>
      <c r="G362" s="367">
        <f t="shared" si="316"/>
        <v>8</v>
      </c>
      <c r="H362" s="367" t="str">
        <f t="shared" si="313"/>
        <v>saturn</v>
      </c>
      <c r="I362" s="369">
        <f t="shared" si="317"/>
        <v>38516.75</v>
      </c>
      <c r="J362" s="377">
        <f t="shared" si="314"/>
        <v>164</v>
      </c>
      <c r="K362" s="369">
        <f t="shared" si="320"/>
        <v>38680.75</v>
      </c>
      <c r="L362" s="360">
        <f t="shared" si="318"/>
        <v>315</v>
      </c>
      <c r="N362" s="358">
        <f>SUM(J354:J362)</f>
        <v>1022</v>
      </c>
      <c r="O362" s="381"/>
    </row>
    <row r="363" spans="1:15">
      <c r="A363" s="399"/>
      <c r="B363" s="386"/>
      <c r="C363" s="387">
        <f>C353</f>
        <v>2</v>
      </c>
      <c r="D363" s="373" t="str">
        <f>D353</f>
        <v>venus</v>
      </c>
      <c r="E363" s="393">
        <f>IF(E353+1&gt;9,E353+1-9,E353+1)</f>
        <v>1</v>
      </c>
      <c r="F363" s="389" t="str">
        <f t="shared" si="311"/>
        <v>ketu</v>
      </c>
      <c r="G363" s="389"/>
      <c r="H363" s="389"/>
      <c r="I363" s="390">
        <f>K353</f>
        <v>38682.75</v>
      </c>
      <c r="J363" s="373">
        <f>ROUND(J$282*VLOOKUP(E363,$A$848:$E$856,5,FALSE),0)</f>
        <v>438</v>
      </c>
      <c r="K363" s="390">
        <f>I363+J363</f>
        <v>39120.75</v>
      </c>
      <c r="L363" s="400"/>
      <c r="M363" s="373"/>
      <c r="N363" s="373"/>
      <c r="O363" s="381"/>
    </row>
    <row r="364" spans="1:15">
      <c r="A364" s="355">
        <f>A362+1</f>
        <v>316</v>
      </c>
      <c r="B364" s="372">
        <f>K364</f>
        <v>38706.75</v>
      </c>
      <c r="C364" s="357">
        <f t="shared" si="254"/>
        <v>2</v>
      </c>
      <c r="D364" s="358" t="str">
        <f t="shared" si="255"/>
        <v>venus</v>
      </c>
      <c r="E364" s="368">
        <f t="shared" ref="E364:E372" si="321">E363</f>
        <v>1</v>
      </c>
      <c r="F364" s="367" t="str">
        <f t="shared" si="311"/>
        <v>ketu</v>
      </c>
      <c r="G364" s="367">
        <f>E364</f>
        <v>1</v>
      </c>
      <c r="H364" s="367" t="str">
        <f t="shared" ref="H364:H372" si="322">VLOOKUP(G364,$A$848:$B$856,2,FALSE)</f>
        <v>ketu</v>
      </c>
      <c r="I364" s="369">
        <f>K362</f>
        <v>38680.75</v>
      </c>
      <c r="J364" s="377">
        <f t="shared" ref="J364:J372" si="323">ROUND(J$363*VLOOKUP(G364,$A$848:$E$856,5,FALSE),0)</f>
        <v>26</v>
      </c>
      <c r="K364" s="369">
        <f>I364+J364</f>
        <v>38706.75</v>
      </c>
      <c r="L364" s="360">
        <f>L362+1</f>
        <v>316</v>
      </c>
      <c r="O364" s="381"/>
    </row>
    <row r="365" spans="1:15">
      <c r="A365" s="355">
        <f t="shared" ref="A365:A372" si="324">A364+1</f>
        <v>317</v>
      </c>
      <c r="B365" s="372">
        <f>K365</f>
        <v>38780.75</v>
      </c>
      <c r="C365" s="357">
        <f t="shared" si="254"/>
        <v>2</v>
      </c>
      <c r="D365" s="358" t="str">
        <f t="shared" si="255"/>
        <v>venus</v>
      </c>
      <c r="E365" s="368">
        <f t="shared" si="321"/>
        <v>1</v>
      </c>
      <c r="F365" s="367" t="str">
        <f t="shared" si="311"/>
        <v>ketu</v>
      </c>
      <c r="G365" s="367">
        <f t="shared" ref="G365:G372" si="325">IF(G364+1&gt;9,G364+1-9,G364+1)</f>
        <v>2</v>
      </c>
      <c r="H365" s="367" t="str">
        <f t="shared" si="322"/>
        <v>venus</v>
      </c>
      <c r="I365" s="369">
        <f t="shared" ref="I365:I372" si="326">K364</f>
        <v>38706.75</v>
      </c>
      <c r="J365" s="377">
        <f t="shared" si="323"/>
        <v>74</v>
      </c>
      <c r="K365" s="369">
        <f>I365+J365</f>
        <v>38780.75</v>
      </c>
      <c r="L365" s="360">
        <f t="shared" ref="L365:L372" si="327">L364+1</f>
        <v>317</v>
      </c>
      <c r="O365" s="381"/>
    </row>
    <row r="366" spans="1:15">
      <c r="A366" s="355">
        <f t="shared" si="324"/>
        <v>318</v>
      </c>
      <c r="B366" s="372">
        <f t="shared" ref="B366:B372" si="328">K366</f>
        <v>38802.75</v>
      </c>
      <c r="C366" s="357">
        <f t="shared" si="254"/>
        <v>2</v>
      </c>
      <c r="D366" s="358" t="str">
        <f t="shared" si="255"/>
        <v>venus</v>
      </c>
      <c r="E366" s="368">
        <f t="shared" si="321"/>
        <v>1</v>
      </c>
      <c r="F366" s="367" t="str">
        <f t="shared" si="311"/>
        <v>ketu</v>
      </c>
      <c r="G366" s="367">
        <f t="shared" si="325"/>
        <v>3</v>
      </c>
      <c r="H366" s="367" t="str">
        <f t="shared" si="322"/>
        <v>sun</v>
      </c>
      <c r="I366" s="369">
        <f t="shared" si="326"/>
        <v>38780.75</v>
      </c>
      <c r="J366" s="377">
        <f t="shared" si="323"/>
        <v>22</v>
      </c>
      <c r="K366" s="369">
        <f t="shared" ref="K366:K372" si="329">I366+J366</f>
        <v>38802.75</v>
      </c>
      <c r="L366" s="360">
        <f t="shared" si="327"/>
        <v>318</v>
      </c>
      <c r="O366" s="381"/>
    </row>
    <row r="367" spans="1:15">
      <c r="A367" s="355">
        <f t="shared" si="324"/>
        <v>319</v>
      </c>
      <c r="B367" s="372">
        <f t="shared" si="328"/>
        <v>38837.75</v>
      </c>
      <c r="C367" s="357">
        <f t="shared" si="254"/>
        <v>2</v>
      </c>
      <c r="D367" s="358" t="str">
        <f t="shared" si="255"/>
        <v>venus</v>
      </c>
      <c r="E367" s="368">
        <f t="shared" si="321"/>
        <v>1</v>
      </c>
      <c r="F367" s="367" t="str">
        <f t="shared" si="311"/>
        <v>ketu</v>
      </c>
      <c r="G367" s="367">
        <f t="shared" si="325"/>
        <v>4</v>
      </c>
      <c r="H367" s="367" t="str">
        <f t="shared" si="322"/>
        <v>moon</v>
      </c>
      <c r="I367" s="369">
        <f t="shared" si="326"/>
        <v>38802.75</v>
      </c>
      <c r="J367" s="377">
        <f t="shared" si="323"/>
        <v>35</v>
      </c>
      <c r="K367" s="369">
        <f t="shared" si="329"/>
        <v>38837.75</v>
      </c>
      <c r="L367" s="360">
        <f t="shared" si="327"/>
        <v>319</v>
      </c>
      <c r="O367" s="381"/>
    </row>
    <row r="368" spans="1:15">
      <c r="A368" s="355">
        <f t="shared" si="324"/>
        <v>320</v>
      </c>
      <c r="B368" s="372">
        <f t="shared" si="328"/>
        <v>38863.75</v>
      </c>
      <c r="C368" s="357">
        <f t="shared" si="254"/>
        <v>2</v>
      </c>
      <c r="D368" s="358" t="str">
        <f t="shared" si="255"/>
        <v>venus</v>
      </c>
      <c r="E368" s="368">
        <f t="shared" si="321"/>
        <v>1</v>
      </c>
      <c r="F368" s="367" t="str">
        <f t="shared" si="311"/>
        <v>ketu</v>
      </c>
      <c r="G368" s="367">
        <f t="shared" si="325"/>
        <v>5</v>
      </c>
      <c r="H368" s="367" t="str">
        <f t="shared" si="322"/>
        <v>mars</v>
      </c>
      <c r="I368" s="369">
        <f t="shared" si="326"/>
        <v>38837.75</v>
      </c>
      <c r="J368" s="377">
        <f t="shared" si="323"/>
        <v>26</v>
      </c>
      <c r="K368" s="369">
        <f t="shared" si="329"/>
        <v>38863.75</v>
      </c>
      <c r="L368" s="360">
        <f t="shared" si="327"/>
        <v>320</v>
      </c>
      <c r="O368" s="381"/>
    </row>
    <row r="369" spans="1:16">
      <c r="A369" s="355">
        <f t="shared" si="324"/>
        <v>321</v>
      </c>
      <c r="B369" s="372">
        <f t="shared" si="328"/>
        <v>38929.75</v>
      </c>
      <c r="C369" s="357">
        <f t="shared" si="254"/>
        <v>2</v>
      </c>
      <c r="D369" s="358" t="str">
        <f t="shared" si="255"/>
        <v>venus</v>
      </c>
      <c r="E369" s="368">
        <f t="shared" si="321"/>
        <v>1</v>
      </c>
      <c r="F369" s="367" t="str">
        <f t="shared" si="311"/>
        <v>ketu</v>
      </c>
      <c r="G369" s="367">
        <f t="shared" si="325"/>
        <v>6</v>
      </c>
      <c r="H369" s="367" t="str">
        <f t="shared" si="322"/>
        <v>rahu</v>
      </c>
      <c r="I369" s="369">
        <f t="shared" si="326"/>
        <v>38863.75</v>
      </c>
      <c r="J369" s="377">
        <f t="shared" si="323"/>
        <v>66</v>
      </c>
      <c r="K369" s="369">
        <f t="shared" si="329"/>
        <v>38929.75</v>
      </c>
      <c r="L369" s="360">
        <f t="shared" si="327"/>
        <v>321</v>
      </c>
      <c r="O369" s="381"/>
    </row>
    <row r="370" spans="1:16">
      <c r="A370" s="355">
        <f t="shared" si="324"/>
        <v>322</v>
      </c>
      <c r="B370" s="372">
        <f t="shared" si="328"/>
        <v>38986.75</v>
      </c>
      <c r="C370" s="357">
        <f t="shared" si="254"/>
        <v>2</v>
      </c>
      <c r="D370" s="358" t="str">
        <f t="shared" si="255"/>
        <v>venus</v>
      </c>
      <c r="E370" s="368">
        <f t="shared" si="321"/>
        <v>1</v>
      </c>
      <c r="F370" s="367" t="str">
        <f t="shared" si="311"/>
        <v>ketu</v>
      </c>
      <c r="G370" s="367">
        <f t="shared" si="325"/>
        <v>7</v>
      </c>
      <c r="H370" s="367" t="str">
        <f t="shared" si="322"/>
        <v>jupiter</v>
      </c>
      <c r="I370" s="369">
        <f t="shared" si="326"/>
        <v>38929.75</v>
      </c>
      <c r="J370" s="377">
        <f t="shared" si="323"/>
        <v>57</v>
      </c>
      <c r="K370" s="369">
        <f t="shared" si="329"/>
        <v>38986.75</v>
      </c>
      <c r="L370" s="360">
        <f t="shared" si="327"/>
        <v>322</v>
      </c>
      <c r="O370" s="381"/>
    </row>
    <row r="371" spans="1:16">
      <c r="A371" s="355">
        <f t="shared" si="324"/>
        <v>323</v>
      </c>
      <c r="B371" s="372">
        <f t="shared" si="328"/>
        <v>39056.75</v>
      </c>
      <c r="C371" s="357">
        <f t="shared" si="254"/>
        <v>2</v>
      </c>
      <c r="D371" s="358" t="str">
        <f t="shared" si="255"/>
        <v>venus</v>
      </c>
      <c r="E371" s="368">
        <f t="shared" si="321"/>
        <v>1</v>
      </c>
      <c r="F371" s="367" t="str">
        <f t="shared" si="311"/>
        <v>ketu</v>
      </c>
      <c r="G371" s="367">
        <f t="shared" si="325"/>
        <v>8</v>
      </c>
      <c r="H371" s="367" t="str">
        <f t="shared" si="322"/>
        <v>saturn</v>
      </c>
      <c r="I371" s="369">
        <f t="shared" si="326"/>
        <v>38986.75</v>
      </c>
      <c r="J371" s="377">
        <f t="shared" si="323"/>
        <v>70</v>
      </c>
      <c r="K371" s="369">
        <f t="shared" si="329"/>
        <v>39056.75</v>
      </c>
      <c r="L371" s="360">
        <f t="shared" si="327"/>
        <v>323</v>
      </c>
      <c r="O371" s="381"/>
    </row>
    <row r="372" spans="1:16" ht="13.8" thickBot="1">
      <c r="A372" s="355">
        <f t="shared" si="324"/>
        <v>324</v>
      </c>
      <c r="B372" s="372">
        <f t="shared" si="328"/>
        <v>39117.75</v>
      </c>
      <c r="C372" s="357">
        <f t="shared" si="254"/>
        <v>2</v>
      </c>
      <c r="D372" s="358" t="str">
        <f t="shared" si="255"/>
        <v>venus</v>
      </c>
      <c r="E372" s="368">
        <f t="shared" si="321"/>
        <v>1</v>
      </c>
      <c r="F372" s="367" t="str">
        <f t="shared" si="311"/>
        <v>ketu</v>
      </c>
      <c r="G372" s="367">
        <f t="shared" si="325"/>
        <v>9</v>
      </c>
      <c r="H372" s="367" t="str">
        <f t="shared" si="322"/>
        <v>mercury</v>
      </c>
      <c r="I372" s="369">
        <f t="shared" si="326"/>
        <v>39056.75</v>
      </c>
      <c r="J372" s="377">
        <f t="shared" si="323"/>
        <v>61</v>
      </c>
      <c r="K372" s="369">
        <f t="shared" si="329"/>
        <v>39117.75</v>
      </c>
      <c r="L372" s="360">
        <f t="shared" si="327"/>
        <v>324</v>
      </c>
      <c r="N372" s="358">
        <f>SUM(J364:J372)</f>
        <v>437</v>
      </c>
      <c r="O372" s="413" t="s">
        <v>554</v>
      </c>
      <c r="P372" s="413"/>
    </row>
    <row r="373" spans="1:16">
      <c r="A373" s="404"/>
      <c r="B373" s="405"/>
      <c r="C373" s="406">
        <f>IF(C282+1&gt;9,C282+1-9,C282+1)</f>
        <v>3</v>
      </c>
      <c r="D373" s="407" t="str">
        <f>VLOOKUP(C373,$A$848:$B$856,2,FALSE)</f>
        <v>sun</v>
      </c>
      <c r="E373" s="408"/>
      <c r="F373" s="383"/>
      <c r="G373" s="383"/>
      <c r="H373" s="383"/>
      <c r="I373" s="410">
        <f>K282</f>
        <v>39120.75</v>
      </c>
      <c r="J373" s="370">
        <f>VLOOKUP(C373,$A$848:$D$856,4,FALSE)</f>
        <v>2191.5</v>
      </c>
      <c r="K373" s="376">
        <f>I373+J373</f>
        <v>41312.25</v>
      </c>
      <c r="L373" s="409"/>
      <c r="M373" s="376">
        <f>K282</f>
        <v>39120.75</v>
      </c>
      <c r="N373" s="370">
        <f>N292+N302+N312+N322+N332+N342+N352+N362+N372</f>
        <v>7302</v>
      </c>
      <c r="O373" s="413">
        <f>J282-N373</f>
        <v>3</v>
      </c>
      <c r="P373" s="413">
        <f>K372-I373</f>
        <v>-3</v>
      </c>
    </row>
    <row r="374" spans="1:16">
      <c r="A374" s="399"/>
      <c r="B374" s="386"/>
      <c r="C374" s="387">
        <f t="shared" ref="C374:C383" si="330">C373</f>
        <v>3</v>
      </c>
      <c r="D374" s="373" t="str">
        <f t="shared" ref="D374:D383" si="331">D373</f>
        <v>sun</v>
      </c>
      <c r="E374" s="388">
        <f t="shared" ref="E374:E383" si="332">C373</f>
        <v>3</v>
      </c>
      <c r="F374" s="389" t="str">
        <f t="shared" ref="F374:F405" si="333">VLOOKUP(E374,$A$848:$B$856,2,FALSE)</f>
        <v>sun</v>
      </c>
      <c r="G374" s="389"/>
      <c r="H374" s="389"/>
      <c r="I374" s="402">
        <f>I373</f>
        <v>39120.75</v>
      </c>
      <c r="J374" s="373">
        <f>ROUND(J$373*VLOOKUP(E374,$A$848:$E$856,5,FALSE),0)</f>
        <v>110</v>
      </c>
      <c r="K374" s="390">
        <f>I374+J374</f>
        <v>39230.75</v>
      </c>
      <c r="L374" s="400"/>
      <c r="M374" s="373"/>
      <c r="N374" s="373"/>
      <c r="O374" s="381"/>
    </row>
    <row r="375" spans="1:16" ht="13.8" thickBot="1">
      <c r="A375" s="355">
        <f>A372+1</f>
        <v>325</v>
      </c>
      <c r="B375" s="372">
        <f t="shared" ref="B375:B383" si="334">K375</f>
        <v>39126.75</v>
      </c>
      <c r="C375" s="357">
        <f t="shared" si="330"/>
        <v>3</v>
      </c>
      <c r="D375" s="358" t="str">
        <f t="shared" si="331"/>
        <v>sun</v>
      </c>
      <c r="E375" s="359">
        <f t="shared" si="332"/>
        <v>3</v>
      </c>
      <c r="F375" s="367" t="str">
        <f t="shared" si="333"/>
        <v>sun</v>
      </c>
      <c r="G375" s="367">
        <f>E375</f>
        <v>3</v>
      </c>
      <c r="H375" s="367" t="str">
        <f t="shared" ref="H375:H383" si="335">VLOOKUP(G375,$A$848:$B$856,2,FALSE)</f>
        <v>sun</v>
      </c>
      <c r="I375" s="403">
        <f>I373</f>
        <v>39120.75</v>
      </c>
      <c r="J375" s="377">
        <f t="shared" ref="J375:J383" si="336">ROUND(J$374*VLOOKUP(G375,$A$848:$E$856,5,FALSE),0)</f>
        <v>6</v>
      </c>
      <c r="K375" s="369">
        <f>I375+J375</f>
        <v>39126.75</v>
      </c>
      <c r="L375" s="360">
        <f>L372+1</f>
        <v>325</v>
      </c>
      <c r="O375" s="381"/>
    </row>
    <row r="376" spans="1:16">
      <c r="A376" s="355">
        <f t="shared" ref="A376:A383" si="337">A375+1</f>
        <v>326</v>
      </c>
      <c r="B376" s="372">
        <f t="shared" si="334"/>
        <v>39135.75</v>
      </c>
      <c r="C376" s="357">
        <f t="shared" si="330"/>
        <v>3</v>
      </c>
      <c r="D376" s="358" t="str">
        <f t="shared" si="331"/>
        <v>sun</v>
      </c>
      <c r="E376" s="359">
        <f t="shared" si="332"/>
        <v>3</v>
      </c>
      <c r="F376" s="367" t="str">
        <f t="shared" si="333"/>
        <v>sun</v>
      </c>
      <c r="G376" s="367">
        <f t="shared" ref="G376:G383" si="338">IF(G375+1&gt;9,G375+1-9,G375+1)</f>
        <v>4</v>
      </c>
      <c r="H376" s="367" t="str">
        <f t="shared" si="335"/>
        <v>moon</v>
      </c>
      <c r="I376" s="369">
        <f t="shared" ref="I376:I383" si="339">K375</f>
        <v>39126.75</v>
      </c>
      <c r="J376" s="377">
        <f t="shared" si="336"/>
        <v>9</v>
      </c>
      <c r="K376" s="369">
        <f>I376+J376</f>
        <v>39135.75</v>
      </c>
      <c r="L376" s="360">
        <f t="shared" ref="L376:L383" si="340">L375+1</f>
        <v>326</v>
      </c>
      <c r="O376" s="381"/>
    </row>
    <row r="377" spans="1:16">
      <c r="A377" s="355">
        <f t="shared" si="337"/>
        <v>327</v>
      </c>
      <c r="B377" s="372">
        <f t="shared" si="334"/>
        <v>39142.75</v>
      </c>
      <c r="C377" s="357">
        <f t="shared" si="330"/>
        <v>3</v>
      </c>
      <c r="D377" s="358" t="str">
        <f t="shared" si="331"/>
        <v>sun</v>
      </c>
      <c r="E377" s="359">
        <f t="shared" si="332"/>
        <v>3</v>
      </c>
      <c r="F377" s="367" t="str">
        <f t="shared" si="333"/>
        <v>sun</v>
      </c>
      <c r="G377" s="367">
        <f t="shared" si="338"/>
        <v>5</v>
      </c>
      <c r="H377" s="367" t="str">
        <f t="shared" si="335"/>
        <v>mars</v>
      </c>
      <c r="I377" s="369">
        <f t="shared" si="339"/>
        <v>39135.75</v>
      </c>
      <c r="J377" s="377">
        <f t="shared" si="336"/>
        <v>7</v>
      </c>
      <c r="K377" s="369">
        <f t="shared" ref="K377:K383" si="341">I377+J377</f>
        <v>39142.75</v>
      </c>
      <c r="L377" s="360">
        <f t="shared" si="340"/>
        <v>327</v>
      </c>
      <c r="O377" s="381"/>
    </row>
    <row r="378" spans="1:16">
      <c r="A378" s="355">
        <f t="shared" si="337"/>
        <v>328</v>
      </c>
      <c r="B378" s="372">
        <f t="shared" si="334"/>
        <v>39159.75</v>
      </c>
      <c r="C378" s="357">
        <f t="shared" si="330"/>
        <v>3</v>
      </c>
      <c r="D378" s="358" t="str">
        <f t="shared" si="331"/>
        <v>sun</v>
      </c>
      <c r="E378" s="359">
        <f t="shared" si="332"/>
        <v>3</v>
      </c>
      <c r="F378" s="367" t="str">
        <f t="shared" si="333"/>
        <v>sun</v>
      </c>
      <c r="G378" s="367">
        <f t="shared" si="338"/>
        <v>6</v>
      </c>
      <c r="H378" s="367" t="str">
        <f t="shared" si="335"/>
        <v>rahu</v>
      </c>
      <c r="I378" s="369">
        <f t="shared" si="339"/>
        <v>39142.75</v>
      </c>
      <c r="J378" s="377">
        <f t="shared" si="336"/>
        <v>17</v>
      </c>
      <c r="K378" s="369">
        <f t="shared" si="341"/>
        <v>39159.75</v>
      </c>
      <c r="L378" s="360">
        <f t="shared" si="340"/>
        <v>328</v>
      </c>
      <c r="O378" s="381"/>
    </row>
    <row r="379" spans="1:16">
      <c r="A379" s="355">
        <f t="shared" si="337"/>
        <v>329</v>
      </c>
      <c r="B379" s="372">
        <f t="shared" si="334"/>
        <v>39173.75</v>
      </c>
      <c r="C379" s="357">
        <f t="shared" si="330"/>
        <v>3</v>
      </c>
      <c r="D379" s="358" t="str">
        <f t="shared" si="331"/>
        <v>sun</v>
      </c>
      <c r="E379" s="359">
        <f t="shared" si="332"/>
        <v>3</v>
      </c>
      <c r="F379" s="367" t="str">
        <f t="shared" si="333"/>
        <v>sun</v>
      </c>
      <c r="G379" s="367">
        <f t="shared" si="338"/>
        <v>7</v>
      </c>
      <c r="H379" s="367" t="str">
        <f t="shared" si="335"/>
        <v>jupiter</v>
      </c>
      <c r="I379" s="369">
        <f t="shared" si="339"/>
        <v>39159.75</v>
      </c>
      <c r="J379" s="377">
        <f t="shared" si="336"/>
        <v>14</v>
      </c>
      <c r="K379" s="369">
        <f t="shared" si="341"/>
        <v>39173.75</v>
      </c>
      <c r="L379" s="360">
        <f t="shared" si="340"/>
        <v>329</v>
      </c>
      <c r="O379" s="381"/>
    </row>
    <row r="380" spans="1:16">
      <c r="A380" s="355">
        <f t="shared" si="337"/>
        <v>330</v>
      </c>
      <c r="B380" s="372">
        <f t="shared" si="334"/>
        <v>39191.75</v>
      </c>
      <c r="C380" s="357">
        <f t="shared" si="330"/>
        <v>3</v>
      </c>
      <c r="D380" s="358" t="str">
        <f t="shared" si="331"/>
        <v>sun</v>
      </c>
      <c r="E380" s="359">
        <f t="shared" si="332"/>
        <v>3</v>
      </c>
      <c r="F380" s="367" t="str">
        <f t="shared" si="333"/>
        <v>sun</v>
      </c>
      <c r="G380" s="367">
        <f t="shared" si="338"/>
        <v>8</v>
      </c>
      <c r="H380" s="367" t="str">
        <f t="shared" si="335"/>
        <v>saturn</v>
      </c>
      <c r="I380" s="369">
        <f t="shared" si="339"/>
        <v>39173.75</v>
      </c>
      <c r="J380" s="377">
        <f t="shared" si="336"/>
        <v>18</v>
      </c>
      <c r="K380" s="369">
        <f t="shared" si="341"/>
        <v>39191.75</v>
      </c>
      <c r="L380" s="360">
        <f t="shared" si="340"/>
        <v>330</v>
      </c>
      <c r="O380" s="381"/>
    </row>
    <row r="381" spans="1:16">
      <c r="A381" s="355">
        <f t="shared" si="337"/>
        <v>331</v>
      </c>
      <c r="B381" s="372">
        <f t="shared" si="334"/>
        <v>39206.75</v>
      </c>
      <c r="C381" s="357">
        <f t="shared" si="330"/>
        <v>3</v>
      </c>
      <c r="D381" s="358" t="str">
        <f t="shared" si="331"/>
        <v>sun</v>
      </c>
      <c r="E381" s="359">
        <f t="shared" si="332"/>
        <v>3</v>
      </c>
      <c r="F381" s="367" t="str">
        <f t="shared" si="333"/>
        <v>sun</v>
      </c>
      <c r="G381" s="367">
        <f t="shared" si="338"/>
        <v>9</v>
      </c>
      <c r="H381" s="367" t="str">
        <f t="shared" si="335"/>
        <v>mercury</v>
      </c>
      <c r="I381" s="369">
        <f t="shared" si="339"/>
        <v>39191.75</v>
      </c>
      <c r="J381" s="377">
        <f t="shared" si="336"/>
        <v>15</v>
      </c>
      <c r="K381" s="369">
        <f t="shared" si="341"/>
        <v>39206.75</v>
      </c>
      <c r="L381" s="360">
        <f t="shared" si="340"/>
        <v>331</v>
      </c>
      <c r="O381" s="381"/>
    </row>
    <row r="382" spans="1:16">
      <c r="A382" s="355">
        <f t="shared" si="337"/>
        <v>332</v>
      </c>
      <c r="B382" s="372">
        <f t="shared" si="334"/>
        <v>39213.75</v>
      </c>
      <c r="C382" s="357">
        <f t="shared" si="330"/>
        <v>3</v>
      </c>
      <c r="D382" s="358" t="str">
        <f t="shared" si="331"/>
        <v>sun</v>
      </c>
      <c r="E382" s="359">
        <f t="shared" si="332"/>
        <v>3</v>
      </c>
      <c r="F382" s="367" t="str">
        <f t="shared" si="333"/>
        <v>sun</v>
      </c>
      <c r="G382" s="367">
        <f t="shared" si="338"/>
        <v>1</v>
      </c>
      <c r="H382" s="367" t="str">
        <f t="shared" si="335"/>
        <v>ketu</v>
      </c>
      <c r="I382" s="369">
        <f t="shared" si="339"/>
        <v>39206.75</v>
      </c>
      <c r="J382" s="377">
        <f t="shared" si="336"/>
        <v>7</v>
      </c>
      <c r="K382" s="369">
        <f t="shared" si="341"/>
        <v>39213.75</v>
      </c>
      <c r="L382" s="360">
        <f t="shared" si="340"/>
        <v>332</v>
      </c>
      <c r="O382" s="381"/>
    </row>
    <row r="383" spans="1:16">
      <c r="A383" s="355">
        <f t="shared" si="337"/>
        <v>333</v>
      </c>
      <c r="B383" s="372">
        <f t="shared" si="334"/>
        <v>39232.75</v>
      </c>
      <c r="C383" s="357">
        <f t="shared" si="330"/>
        <v>3</v>
      </c>
      <c r="D383" s="358" t="str">
        <f t="shared" si="331"/>
        <v>sun</v>
      </c>
      <c r="E383" s="359">
        <f t="shared" si="332"/>
        <v>3</v>
      </c>
      <c r="F383" s="367" t="str">
        <f t="shared" si="333"/>
        <v>sun</v>
      </c>
      <c r="G383" s="367">
        <f t="shared" si="338"/>
        <v>2</v>
      </c>
      <c r="H383" s="367" t="str">
        <f t="shared" si="335"/>
        <v>venus</v>
      </c>
      <c r="I383" s="369">
        <f t="shared" si="339"/>
        <v>39213.75</v>
      </c>
      <c r="J383" s="377">
        <f t="shared" si="336"/>
        <v>19</v>
      </c>
      <c r="K383" s="369">
        <f t="shared" si="341"/>
        <v>39232.75</v>
      </c>
      <c r="L383" s="360">
        <f t="shared" si="340"/>
        <v>333</v>
      </c>
      <c r="N383" s="358">
        <f>SUM(J375:J383)</f>
        <v>112</v>
      </c>
      <c r="O383" s="381"/>
    </row>
    <row r="384" spans="1:16">
      <c r="A384" s="399"/>
      <c r="B384" s="386"/>
      <c r="C384" s="387">
        <f>C374</f>
        <v>3</v>
      </c>
      <c r="D384" s="373" t="str">
        <f>D374</f>
        <v>sun</v>
      </c>
      <c r="E384" s="393">
        <f>IF(E374+1&gt;9,E374+1-9,E374+1)</f>
        <v>4</v>
      </c>
      <c r="F384" s="389" t="str">
        <f t="shared" si="333"/>
        <v>moon</v>
      </c>
      <c r="G384" s="389"/>
      <c r="H384" s="389"/>
      <c r="I384" s="390">
        <f>K374</f>
        <v>39230.75</v>
      </c>
      <c r="J384" s="373">
        <f>ROUND(J$373*VLOOKUP(E384,$A$848:$E$856,5,FALSE),0)</f>
        <v>175</v>
      </c>
      <c r="K384" s="390">
        <f>I384+J384</f>
        <v>39405.75</v>
      </c>
      <c r="L384" s="400"/>
      <c r="M384" s="373"/>
      <c r="N384" s="373"/>
      <c r="O384" s="381"/>
    </row>
    <row r="385" spans="1:15">
      <c r="A385" s="355">
        <f>A383+1</f>
        <v>334</v>
      </c>
      <c r="B385" s="372">
        <f>K385</f>
        <v>39246.75</v>
      </c>
      <c r="C385" s="357">
        <f t="shared" ref="C385:C393" si="342">C384</f>
        <v>3</v>
      </c>
      <c r="D385" s="358" t="str">
        <f t="shared" ref="D385:D393" si="343">D384</f>
        <v>sun</v>
      </c>
      <c r="E385" s="368">
        <f t="shared" ref="E385:E393" si="344">E384</f>
        <v>4</v>
      </c>
      <c r="F385" s="367" t="str">
        <f t="shared" si="333"/>
        <v>moon</v>
      </c>
      <c r="G385" s="367">
        <f>E385</f>
        <v>4</v>
      </c>
      <c r="H385" s="367" t="str">
        <f t="shared" ref="H385:H393" si="345">VLOOKUP(G385,$A$848:$B$856,2,FALSE)</f>
        <v>moon</v>
      </c>
      <c r="I385" s="369">
        <f>K383</f>
        <v>39232.75</v>
      </c>
      <c r="J385" s="377">
        <f t="shared" ref="J385:J393" si="346">ROUND(J$384*VLOOKUP(G385,$A$848:$E$856,5,FALSE),0)</f>
        <v>14</v>
      </c>
      <c r="K385" s="369">
        <f>I385+J385</f>
        <v>39246.75</v>
      </c>
      <c r="L385" s="360">
        <f>L383+1</f>
        <v>334</v>
      </c>
      <c r="O385" s="381"/>
    </row>
    <row r="386" spans="1:15">
      <c r="A386" s="355">
        <f t="shared" ref="A386:A393" si="347">A385+1</f>
        <v>335</v>
      </c>
      <c r="B386" s="372">
        <f>K386</f>
        <v>39257.75</v>
      </c>
      <c r="C386" s="357">
        <f t="shared" si="342"/>
        <v>3</v>
      </c>
      <c r="D386" s="358" t="str">
        <f t="shared" si="343"/>
        <v>sun</v>
      </c>
      <c r="E386" s="368">
        <f t="shared" si="344"/>
        <v>4</v>
      </c>
      <c r="F386" s="367" t="str">
        <f t="shared" si="333"/>
        <v>moon</v>
      </c>
      <c r="G386" s="367">
        <f t="shared" ref="G386:G393" si="348">IF(G385+1&gt;9,G385+1-9,G385+1)</f>
        <v>5</v>
      </c>
      <c r="H386" s="367" t="str">
        <f t="shared" si="345"/>
        <v>mars</v>
      </c>
      <c r="I386" s="369">
        <f t="shared" ref="I386:I393" si="349">K385</f>
        <v>39246.75</v>
      </c>
      <c r="J386" s="377">
        <f t="shared" si="346"/>
        <v>11</v>
      </c>
      <c r="K386" s="369">
        <f>I386+J386</f>
        <v>39257.75</v>
      </c>
      <c r="L386" s="360">
        <f t="shared" ref="L386:L393" si="350">L385+1</f>
        <v>335</v>
      </c>
      <c r="O386" s="381"/>
    </row>
    <row r="387" spans="1:15">
      <c r="A387" s="355">
        <f t="shared" si="347"/>
        <v>336</v>
      </c>
      <c r="B387" s="372">
        <f t="shared" ref="B387:B393" si="351">K387</f>
        <v>39283.75</v>
      </c>
      <c r="C387" s="357">
        <f t="shared" si="342"/>
        <v>3</v>
      </c>
      <c r="D387" s="358" t="str">
        <f t="shared" si="343"/>
        <v>sun</v>
      </c>
      <c r="E387" s="368">
        <f t="shared" si="344"/>
        <v>4</v>
      </c>
      <c r="F387" s="367" t="str">
        <f t="shared" si="333"/>
        <v>moon</v>
      </c>
      <c r="G387" s="367">
        <f t="shared" si="348"/>
        <v>6</v>
      </c>
      <c r="H387" s="367" t="str">
        <f t="shared" si="345"/>
        <v>rahu</v>
      </c>
      <c r="I387" s="369">
        <f t="shared" si="349"/>
        <v>39257.75</v>
      </c>
      <c r="J387" s="377">
        <f t="shared" si="346"/>
        <v>26</v>
      </c>
      <c r="K387" s="369">
        <f t="shared" ref="K387:K393" si="352">I387+J387</f>
        <v>39283.75</v>
      </c>
      <c r="L387" s="360">
        <f t="shared" si="350"/>
        <v>336</v>
      </c>
      <c r="O387" s="381"/>
    </row>
    <row r="388" spans="1:15">
      <c r="A388" s="355">
        <f t="shared" si="347"/>
        <v>337</v>
      </c>
      <c r="B388" s="372">
        <f t="shared" si="351"/>
        <v>39306.75</v>
      </c>
      <c r="C388" s="357">
        <f t="shared" si="342"/>
        <v>3</v>
      </c>
      <c r="D388" s="358" t="str">
        <f t="shared" si="343"/>
        <v>sun</v>
      </c>
      <c r="E388" s="368">
        <f t="shared" si="344"/>
        <v>4</v>
      </c>
      <c r="F388" s="367" t="str">
        <f t="shared" si="333"/>
        <v>moon</v>
      </c>
      <c r="G388" s="367">
        <f t="shared" si="348"/>
        <v>7</v>
      </c>
      <c r="H388" s="367" t="str">
        <f t="shared" si="345"/>
        <v>jupiter</v>
      </c>
      <c r="I388" s="369">
        <f t="shared" si="349"/>
        <v>39283.75</v>
      </c>
      <c r="J388" s="377">
        <f t="shared" si="346"/>
        <v>23</v>
      </c>
      <c r="K388" s="369">
        <f t="shared" si="352"/>
        <v>39306.75</v>
      </c>
      <c r="L388" s="360">
        <f t="shared" si="350"/>
        <v>337</v>
      </c>
      <c r="O388" s="381"/>
    </row>
    <row r="389" spans="1:15">
      <c r="A389" s="355">
        <f t="shared" si="347"/>
        <v>338</v>
      </c>
      <c r="B389" s="372">
        <f t="shared" si="351"/>
        <v>39334.75</v>
      </c>
      <c r="C389" s="357">
        <f t="shared" si="342"/>
        <v>3</v>
      </c>
      <c r="D389" s="358" t="str">
        <f t="shared" si="343"/>
        <v>sun</v>
      </c>
      <c r="E389" s="368">
        <f t="shared" si="344"/>
        <v>4</v>
      </c>
      <c r="F389" s="367" t="str">
        <f t="shared" si="333"/>
        <v>moon</v>
      </c>
      <c r="G389" s="367">
        <f t="shared" si="348"/>
        <v>8</v>
      </c>
      <c r="H389" s="367" t="str">
        <f t="shared" si="345"/>
        <v>saturn</v>
      </c>
      <c r="I389" s="369">
        <f t="shared" si="349"/>
        <v>39306.75</v>
      </c>
      <c r="J389" s="377">
        <f t="shared" si="346"/>
        <v>28</v>
      </c>
      <c r="K389" s="369">
        <f t="shared" si="352"/>
        <v>39334.75</v>
      </c>
      <c r="L389" s="360">
        <f t="shared" si="350"/>
        <v>338</v>
      </c>
      <c r="O389" s="381"/>
    </row>
    <row r="390" spans="1:15">
      <c r="A390" s="355">
        <f t="shared" si="347"/>
        <v>339</v>
      </c>
      <c r="B390" s="372">
        <f t="shared" si="351"/>
        <v>39359.75</v>
      </c>
      <c r="C390" s="357">
        <f t="shared" si="342"/>
        <v>3</v>
      </c>
      <c r="D390" s="358" t="str">
        <f t="shared" si="343"/>
        <v>sun</v>
      </c>
      <c r="E390" s="368">
        <f t="shared" si="344"/>
        <v>4</v>
      </c>
      <c r="F390" s="367" t="str">
        <f t="shared" si="333"/>
        <v>moon</v>
      </c>
      <c r="G390" s="367">
        <f t="shared" si="348"/>
        <v>9</v>
      </c>
      <c r="H390" s="367" t="str">
        <f t="shared" si="345"/>
        <v>mercury</v>
      </c>
      <c r="I390" s="369">
        <f t="shared" si="349"/>
        <v>39334.75</v>
      </c>
      <c r="J390" s="377">
        <f t="shared" si="346"/>
        <v>25</v>
      </c>
      <c r="K390" s="369">
        <f t="shared" si="352"/>
        <v>39359.75</v>
      </c>
      <c r="L390" s="360">
        <f t="shared" si="350"/>
        <v>339</v>
      </c>
      <c r="O390" s="381"/>
    </row>
    <row r="391" spans="1:15">
      <c r="A391" s="355">
        <f t="shared" si="347"/>
        <v>340</v>
      </c>
      <c r="B391" s="372">
        <f t="shared" si="351"/>
        <v>39370.75</v>
      </c>
      <c r="C391" s="357">
        <f t="shared" si="342"/>
        <v>3</v>
      </c>
      <c r="D391" s="358" t="str">
        <f t="shared" si="343"/>
        <v>sun</v>
      </c>
      <c r="E391" s="368">
        <f t="shared" si="344"/>
        <v>4</v>
      </c>
      <c r="F391" s="367" t="str">
        <f t="shared" si="333"/>
        <v>moon</v>
      </c>
      <c r="G391" s="367">
        <f t="shared" si="348"/>
        <v>1</v>
      </c>
      <c r="H391" s="367" t="str">
        <f t="shared" si="345"/>
        <v>ketu</v>
      </c>
      <c r="I391" s="369">
        <f t="shared" si="349"/>
        <v>39359.75</v>
      </c>
      <c r="J391" s="377">
        <f t="shared" si="346"/>
        <v>11</v>
      </c>
      <c r="K391" s="369">
        <f t="shared" si="352"/>
        <v>39370.75</v>
      </c>
      <c r="L391" s="360">
        <f t="shared" si="350"/>
        <v>340</v>
      </c>
      <c r="O391" s="381"/>
    </row>
    <row r="392" spans="1:15">
      <c r="A392" s="355">
        <f t="shared" si="347"/>
        <v>341</v>
      </c>
      <c r="B392" s="372">
        <f t="shared" si="351"/>
        <v>39400.75</v>
      </c>
      <c r="C392" s="357">
        <f t="shared" si="342"/>
        <v>3</v>
      </c>
      <c r="D392" s="358" t="str">
        <f t="shared" si="343"/>
        <v>sun</v>
      </c>
      <c r="E392" s="368">
        <f t="shared" si="344"/>
        <v>4</v>
      </c>
      <c r="F392" s="367" t="str">
        <f t="shared" si="333"/>
        <v>moon</v>
      </c>
      <c r="G392" s="367">
        <f t="shared" si="348"/>
        <v>2</v>
      </c>
      <c r="H392" s="367" t="str">
        <f t="shared" si="345"/>
        <v>venus</v>
      </c>
      <c r="I392" s="369">
        <f t="shared" si="349"/>
        <v>39370.75</v>
      </c>
      <c r="J392" s="377">
        <f t="shared" si="346"/>
        <v>30</v>
      </c>
      <c r="K392" s="369">
        <f t="shared" si="352"/>
        <v>39400.75</v>
      </c>
      <c r="L392" s="360">
        <f t="shared" si="350"/>
        <v>341</v>
      </c>
      <c r="O392" s="381"/>
    </row>
    <row r="393" spans="1:15">
      <c r="A393" s="355">
        <f t="shared" si="347"/>
        <v>342</v>
      </c>
      <c r="B393" s="372">
        <f t="shared" si="351"/>
        <v>39409.75</v>
      </c>
      <c r="C393" s="357">
        <f t="shared" si="342"/>
        <v>3</v>
      </c>
      <c r="D393" s="358" t="str">
        <f t="shared" si="343"/>
        <v>sun</v>
      </c>
      <c r="E393" s="368">
        <f t="shared" si="344"/>
        <v>4</v>
      </c>
      <c r="F393" s="367" t="str">
        <f t="shared" si="333"/>
        <v>moon</v>
      </c>
      <c r="G393" s="367">
        <f t="shared" si="348"/>
        <v>3</v>
      </c>
      <c r="H393" s="367" t="str">
        <f t="shared" si="345"/>
        <v>sun</v>
      </c>
      <c r="I393" s="369">
        <f t="shared" si="349"/>
        <v>39400.75</v>
      </c>
      <c r="J393" s="377">
        <f t="shared" si="346"/>
        <v>9</v>
      </c>
      <c r="K393" s="369">
        <f t="shared" si="352"/>
        <v>39409.75</v>
      </c>
      <c r="L393" s="360">
        <f t="shared" si="350"/>
        <v>342</v>
      </c>
      <c r="N393" s="358">
        <f>SUM(J385:J393)</f>
        <v>177</v>
      </c>
      <c r="O393" s="381"/>
    </row>
    <row r="394" spans="1:15">
      <c r="A394" s="399"/>
      <c r="B394" s="386"/>
      <c r="C394" s="387">
        <f>C384</f>
        <v>3</v>
      </c>
      <c r="D394" s="373" t="str">
        <f>D384</f>
        <v>sun</v>
      </c>
      <c r="E394" s="393">
        <f>IF(E384+1&gt;9,E384+1-9,E384+1)</f>
        <v>5</v>
      </c>
      <c r="F394" s="389" t="str">
        <f t="shared" si="333"/>
        <v>mars</v>
      </c>
      <c r="G394" s="389"/>
      <c r="H394" s="389"/>
      <c r="I394" s="390">
        <f>K384</f>
        <v>39405.75</v>
      </c>
      <c r="J394" s="373">
        <f>ROUND(J$373*VLOOKUP(E394,$A$848:$E$856,5,FALSE),0)</f>
        <v>131</v>
      </c>
      <c r="K394" s="390">
        <f>I394+J394</f>
        <v>39536.75</v>
      </c>
      <c r="L394" s="400"/>
      <c r="M394" s="373"/>
      <c r="N394" s="373"/>
      <c r="O394" s="381"/>
    </row>
    <row r="395" spans="1:15">
      <c r="A395" s="355">
        <f>A393+1</f>
        <v>343</v>
      </c>
      <c r="B395" s="372">
        <f>K395</f>
        <v>39417.75</v>
      </c>
      <c r="C395" s="357">
        <f t="shared" ref="C395:C463" si="353">C394</f>
        <v>3</v>
      </c>
      <c r="D395" s="358" t="str">
        <f t="shared" ref="D395:D463" si="354">D394</f>
        <v>sun</v>
      </c>
      <c r="E395" s="368">
        <f t="shared" ref="E395:E403" si="355">E394</f>
        <v>5</v>
      </c>
      <c r="F395" s="367" t="str">
        <f t="shared" si="333"/>
        <v>mars</v>
      </c>
      <c r="G395" s="367">
        <f>E395</f>
        <v>5</v>
      </c>
      <c r="H395" s="367" t="str">
        <f t="shared" ref="H395:H403" si="356">VLOOKUP(G395,$A$848:$B$856,2,FALSE)</f>
        <v>mars</v>
      </c>
      <c r="I395" s="369">
        <f>K393</f>
        <v>39409.75</v>
      </c>
      <c r="J395" s="377">
        <f t="shared" ref="J395:J403" si="357">ROUND(J$394*VLOOKUP(G395,$A$848:$E$856,5,FALSE),0)</f>
        <v>8</v>
      </c>
      <c r="K395" s="369">
        <f>I395+J395</f>
        <v>39417.75</v>
      </c>
      <c r="L395" s="360">
        <f>L393+1</f>
        <v>343</v>
      </c>
      <c r="O395" s="381"/>
    </row>
    <row r="396" spans="1:15">
      <c r="A396" s="355">
        <f t="shared" ref="A396:A403" si="358">A395+1</f>
        <v>344</v>
      </c>
      <c r="B396" s="372">
        <f>K396</f>
        <v>39437.75</v>
      </c>
      <c r="C396" s="357">
        <f t="shared" si="353"/>
        <v>3</v>
      </c>
      <c r="D396" s="358" t="str">
        <f t="shared" si="354"/>
        <v>sun</v>
      </c>
      <c r="E396" s="368">
        <f t="shared" si="355"/>
        <v>5</v>
      </c>
      <c r="F396" s="367" t="str">
        <f t="shared" si="333"/>
        <v>mars</v>
      </c>
      <c r="G396" s="367">
        <f t="shared" ref="G396:G403" si="359">IF(G395+1&gt;9,G395+1-9,G395+1)</f>
        <v>6</v>
      </c>
      <c r="H396" s="367" t="str">
        <f t="shared" si="356"/>
        <v>rahu</v>
      </c>
      <c r="I396" s="369">
        <f t="shared" ref="I396:I403" si="360">K395</f>
        <v>39417.75</v>
      </c>
      <c r="J396" s="377">
        <f t="shared" si="357"/>
        <v>20</v>
      </c>
      <c r="K396" s="369">
        <f>I396+J396</f>
        <v>39437.75</v>
      </c>
      <c r="L396" s="360">
        <f t="shared" ref="L396:L403" si="361">L395+1</f>
        <v>344</v>
      </c>
      <c r="O396" s="381"/>
    </row>
    <row r="397" spans="1:15">
      <c r="A397" s="355">
        <f t="shared" si="358"/>
        <v>345</v>
      </c>
      <c r="B397" s="372">
        <f t="shared" ref="B397:B403" si="362">K397</f>
        <v>39454.75</v>
      </c>
      <c r="C397" s="357">
        <f t="shared" si="353"/>
        <v>3</v>
      </c>
      <c r="D397" s="358" t="str">
        <f t="shared" si="354"/>
        <v>sun</v>
      </c>
      <c r="E397" s="368">
        <f t="shared" si="355"/>
        <v>5</v>
      </c>
      <c r="F397" s="367" t="str">
        <f t="shared" si="333"/>
        <v>mars</v>
      </c>
      <c r="G397" s="367">
        <f t="shared" si="359"/>
        <v>7</v>
      </c>
      <c r="H397" s="367" t="str">
        <f t="shared" si="356"/>
        <v>jupiter</v>
      </c>
      <c r="I397" s="369">
        <f t="shared" si="360"/>
        <v>39437.75</v>
      </c>
      <c r="J397" s="377">
        <f t="shared" si="357"/>
        <v>17</v>
      </c>
      <c r="K397" s="369">
        <f t="shared" ref="K397:K403" si="363">I397+J397</f>
        <v>39454.75</v>
      </c>
      <c r="L397" s="360">
        <f t="shared" si="361"/>
        <v>345</v>
      </c>
      <c r="O397" s="381"/>
    </row>
    <row r="398" spans="1:15">
      <c r="A398" s="355">
        <f t="shared" si="358"/>
        <v>346</v>
      </c>
      <c r="B398" s="372">
        <f t="shared" si="362"/>
        <v>39475.75</v>
      </c>
      <c r="C398" s="357">
        <f t="shared" si="353"/>
        <v>3</v>
      </c>
      <c r="D398" s="358" t="str">
        <f t="shared" si="354"/>
        <v>sun</v>
      </c>
      <c r="E398" s="368">
        <f t="shared" si="355"/>
        <v>5</v>
      </c>
      <c r="F398" s="367" t="str">
        <f t="shared" si="333"/>
        <v>mars</v>
      </c>
      <c r="G398" s="367">
        <f t="shared" si="359"/>
        <v>8</v>
      </c>
      <c r="H398" s="367" t="str">
        <f t="shared" si="356"/>
        <v>saturn</v>
      </c>
      <c r="I398" s="369">
        <f t="shared" si="360"/>
        <v>39454.75</v>
      </c>
      <c r="J398" s="377">
        <f t="shared" si="357"/>
        <v>21</v>
      </c>
      <c r="K398" s="369">
        <f t="shared" si="363"/>
        <v>39475.75</v>
      </c>
      <c r="L398" s="360">
        <f t="shared" si="361"/>
        <v>346</v>
      </c>
      <c r="O398" s="381"/>
    </row>
    <row r="399" spans="1:15">
      <c r="A399" s="355">
        <f t="shared" si="358"/>
        <v>347</v>
      </c>
      <c r="B399" s="372">
        <f t="shared" si="362"/>
        <v>39493.75</v>
      </c>
      <c r="C399" s="357">
        <f t="shared" si="353"/>
        <v>3</v>
      </c>
      <c r="D399" s="358" t="str">
        <f t="shared" si="354"/>
        <v>sun</v>
      </c>
      <c r="E399" s="368">
        <f t="shared" si="355"/>
        <v>5</v>
      </c>
      <c r="F399" s="367" t="str">
        <f t="shared" si="333"/>
        <v>mars</v>
      </c>
      <c r="G399" s="367">
        <f t="shared" si="359"/>
        <v>9</v>
      </c>
      <c r="H399" s="367" t="str">
        <f t="shared" si="356"/>
        <v>mercury</v>
      </c>
      <c r="I399" s="369">
        <f t="shared" si="360"/>
        <v>39475.75</v>
      </c>
      <c r="J399" s="377">
        <f t="shared" si="357"/>
        <v>18</v>
      </c>
      <c r="K399" s="369">
        <f t="shared" si="363"/>
        <v>39493.75</v>
      </c>
      <c r="L399" s="360">
        <f t="shared" si="361"/>
        <v>347</v>
      </c>
      <c r="O399" s="381"/>
    </row>
    <row r="400" spans="1:15">
      <c r="A400" s="355">
        <f t="shared" si="358"/>
        <v>348</v>
      </c>
      <c r="B400" s="372">
        <f t="shared" si="362"/>
        <v>39501.75</v>
      </c>
      <c r="C400" s="357">
        <f t="shared" si="353"/>
        <v>3</v>
      </c>
      <c r="D400" s="358" t="str">
        <f t="shared" si="354"/>
        <v>sun</v>
      </c>
      <c r="E400" s="368">
        <f t="shared" si="355"/>
        <v>5</v>
      </c>
      <c r="F400" s="367" t="str">
        <f t="shared" si="333"/>
        <v>mars</v>
      </c>
      <c r="G400" s="367">
        <f t="shared" si="359"/>
        <v>1</v>
      </c>
      <c r="H400" s="367" t="str">
        <f t="shared" si="356"/>
        <v>ketu</v>
      </c>
      <c r="I400" s="369">
        <f t="shared" si="360"/>
        <v>39493.75</v>
      </c>
      <c r="J400" s="377">
        <f t="shared" si="357"/>
        <v>8</v>
      </c>
      <c r="K400" s="369">
        <f t="shared" si="363"/>
        <v>39501.75</v>
      </c>
      <c r="L400" s="360">
        <f t="shared" si="361"/>
        <v>348</v>
      </c>
      <c r="O400" s="381"/>
    </row>
    <row r="401" spans="1:15">
      <c r="A401" s="355">
        <f t="shared" si="358"/>
        <v>349</v>
      </c>
      <c r="B401" s="372">
        <f t="shared" si="362"/>
        <v>39523.75</v>
      </c>
      <c r="C401" s="357">
        <f t="shared" si="353"/>
        <v>3</v>
      </c>
      <c r="D401" s="358" t="str">
        <f t="shared" si="354"/>
        <v>sun</v>
      </c>
      <c r="E401" s="368">
        <f t="shared" si="355"/>
        <v>5</v>
      </c>
      <c r="F401" s="367" t="str">
        <f t="shared" si="333"/>
        <v>mars</v>
      </c>
      <c r="G401" s="367">
        <f t="shared" si="359"/>
        <v>2</v>
      </c>
      <c r="H401" s="367" t="str">
        <f t="shared" si="356"/>
        <v>venus</v>
      </c>
      <c r="I401" s="369">
        <f t="shared" si="360"/>
        <v>39501.75</v>
      </c>
      <c r="J401" s="377">
        <f t="shared" si="357"/>
        <v>22</v>
      </c>
      <c r="K401" s="369">
        <f t="shared" si="363"/>
        <v>39523.75</v>
      </c>
      <c r="L401" s="360">
        <f t="shared" si="361"/>
        <v>349</v>
      </c>
      <c r="O401" s="381"/>
    </row>
    <row r="402" spans="1:15">
      <c r="A402" s="355">
        <f t="shared" si="358"/>
        <v>350</v>
      </c>
      <c r="B402" s="372">
        <f t="shared" si="362"/>
        <v>39530.75</v>
      </c>
      <c r="C402" s="357">
        <f t="shared" si="353"/>
        <v>3</v>
      </c>
      <c r="D402" s="358" t="str">
        <f t="shared" si="354"/>
        <v>sun</v>
      </c>
      <c r="E402" s="368">
        <f t="shared" si="355"/>
        <v>5</v>
      </c>
      <c r="F402" s="367" t="str">
        <f t="shared" si="333"/>
        <v>mars</v>
      </c>
      <c r="G402" s="367">
        <f t="shared" si="359"/>
        <v>3</v>
      </c>
      <c r="H402" s="367" t="str">
        <f t="shared" si="356"/>
        <v>sun</v>
      </c>
      <c r="I402" s="369">
        <f t="shared" si="360"/>
        <v>39523.75</v>
      </c>
      <c r="J402" s="377">
        <f t="shared" si="357"/>
        <v>7</v>
      </c>
      <c r="K402" s="369">
        <f t="shared" si="363"/>
        <v>39530.75</v>
      </c>
      <c r="L402" s="360">
        <f t="shared" si="361"/>
        <v>350</v>
      </c>
      <c r="O402" s="381"/>
    </row>
    <row r="403" spans="1:15">
      <c r="A403" s="355">
        <f t="shared" si="358"/>
        <v>351</v>
      </c>
      <c r="B403" s="372">
        <f t="shared" si="362"/>
        <v>39540.75</v>
      </c>
      <c r="C403" s="357">
        <f t="shared" si="353"/>
        <v>3</v>
      </c>
      <c r="D403" s="358" t="str">
        <f t="shared" si="354"/>
        <v>sun</v>
      </c>
      <c r="E403" s="368">
        <f t="shared" si="355"/>
        <v>5</v>
      </c>
      <c r="F403" s="367" t="str">
        <f t="shared" si="333"/>
        <v>mars</v>
      </c>
      <c r="G403" s="367">
        <f t="shared" si="359"/>
        <v>4</v>
      </c>
      <c r="H403" s="367" t="str">
        <f t="shared" si="356"/>
        <v>moon</v>
      </c>
      <c r="I403" s="369">
        <f t="shared" si="360"/>
        <v>39530.75</v>
      </c>
      <c r="J403" s="377">
        <f t="shared" si="357"/>
        <v>10</v>
      </c>
      <c r="K403" s="369">
        <f t="shared" si="363"/>
        <v>39540.75</v>
      </c>
      <c r="L403" s="360">
        <f t="shared" si="361"/>
        <v>351</v>
      </c>
      <c r="N403" s="358">
        <f>SUM(J395:J403)</f>
        <v>131</v>
      </c>
      <c r="O403" s="381"/>
    </row>
    <row r="404" spans="1:15">
      <c r="A404" s="399"/>
      <c r="B404" s="386"/>
      <c r="C404" s="387">
        <f>C394</f>
        <v>3</v>
      </c>
      <c r="D404" s="373" t="str">
        <f>D394</f>
        <v>sun</v>
      </c>
      <c r="E404" s="393">
        <f>IF(E394+1&gt;9,E394+1-9,E394+1)</f>
        <v>6</v>
      </c>
      <c r="F404" s="389" t="str">
        <f t="shared" si="333"/>
        <v>rahu</v>
      </c>
      <c r="G404" s="389"/>
      <c r="H404" s="389"/>
      <c r="I404" s="390">
        <f>K394</f>
        <v>39536.75</v>
      </c>
      <c r="J404" s="373">
        <f>ROUND(J$373*VLOOKUP(E404,$A$848:$E$856,5,FALSE),0)</f>
        <v>329</v>
      </c>
      <c r="K404" s="390">
        <f>I404+J404</f>
        <v>39865.75</v>
      </c>
      <c r="L404" s="400"/>
      <c r="M404" s="373"/>
      <c r="N404" s="373"/>
      <c r="O404" s="381"/>
    </row>
    <row r="405" spans="1:15">
      <c r="A405" s="355">
        <f>A403+1</f>
        <v>352</v>
      </c>
      <c r="B405" s="372">
        <f>K405</f>
        <v>39589.75</v>
      </c>
      <c r="C405" s="357">
        <f t="shared" si="353"/>
        <v>3</v>
      </c>
      <c r="D405" s="358" t="str">
        <f t="shared" si="354"/>
        <v>sun</v>
      </c>
      <c r="E405" s="368">
        <f t="shared" ref="E405:E413" si="364">E404</f>
        <v>6</v>
      </c>
      <c r="F405" s="367" t="str">
        <f t="shared" si="333"/>
        <v>rahu</v>
      </c>
      <c r="G405" s="367">
        <f>E405</f>
        <v>6</v>
      </c>
      <c r="H405" s="367" t="str">
        <f t="shared" ref="H405:H413" si="365">VLOOKUP(G405,$A$848:$B$856,2,FALSE)</f>
        <v>rahu</v>
      </c>
      <c r="I405" s="369">
        <f>K403</f>
        <v>39540.75</v>
      </c>
      <c r="J405" s="377">
        <f t="shared" ref="J405:J413" si="366">ROUND(J$404*VLOOKUP(G405,$A$848:$E$856,5,FALSE),0)</f>
        <v>49</v>
      </c>
      <c r="K405" s="369">
        <f>I405+J405</f>
        <v>39589.75</v>
      </c>
      <c r="L405" s="360">
        <f>L403+1</f>
        <v>352</v>
      </c>
      <c r="O405" s="381"/>
    </row>
    <row r="406" spans="1:15">
      <c r="A406" s="355">
        <f t="shared" ref="A406:A413" si="367">A405+1</f>
        <v>353</v>
      </c>
      <c r="B406" s="372">
        <f>K406</f>
        <v>39632.75</v>
      </c>
      <c r="C406" s="357">
        <f t="shared" si="353"/>
        <v>3</v>
      </c>
      <c r="D406" s="358" t="str">
        <f t="shared" si="354"/>
        <v>sun</v>
      </c>
      <c r="E406" s="368">
        <f t="shared" si="364"/>
        <v>6</v>
      </c>
      <c r="F406" s="367" t="str">
        <f t="shared" ref="F406:F437" si="368">VLOOKUP(E406,$A$848:$B$856,2,FALSE)</f>
        <v>rahu</v>
      </c>
      <c r="G406" s="367">
        <f t="shared" ref="G406:G413" si="369">IF(G405+1&gt;9,G405+1-9,G405+1)</f>
        <v>7</v>
      </c>
      <c r="H406" s="367" t="str">
        <f t="shared" si="365"/>
        <v>jupiter</v>
      </c>
      <c r="I406" s="369">
        <f t="shared" ref="I406:I413" si="370">K405</f>
        <v>39589.75</v>
      </c>
      <c r="J406" s="377">
        <f t="shared" si="366"/>
        <v>43</v>
      </c>
      <c r="K406" s="369">
        <f>I406+J406</f>
        <v>39632.75</v>
      </c>
      <c r="L406" s="360">
        <f t="shared" ref="L406:L413" si="371">L405+1</f>
        <v>353</v>
      </c>
      <c r="O406" s="381"/>
    </row>
    <row r="407" spans="1:15">
      <c r="A407" s="355">
        <f t="shared" si="367"/>
        <v>354</v>
      </c>
      <c r="B407" s="372">
        <f t="shared" ref="B407:B413" si="372">K407</f>
        <v>39685.75</v>
      </c>
      <c r="C407" s="357">
        <f t="shared" si="353"/>
        <v>3</v>
      </c>
      <c r="D407" s="358" t="str">
        <f t="shared" si="354"/>
        <v>sun</v>
      </c>
      <c r="E407" s="368">
        <f t="shared" si="364"/>
        <v>6</v>
      </c>
      <c r="F407" s="367" t="str">
        <f t="shared" si="368"/>
        <v>rahu</v>
      </c>
      <c r="G407" s="367">
        <f t="shared" si="369"/>
        <v>8</v>
      </c>
      <c r="H407" s="367" t="str">
        <f t="shared" si="365"/>
        <v>saturn</v>
      </c>
      <c r="I407" s="369">
        <f t="shared" si="370"/>
        <v>39632.75</v>
      </c>
      <c r="J407" s="377">
        <f t="shared" si="366"/>
        <v>53</v>
      </c>
      <c r="K407" s="369">
        <f t="shared" ref="K407:K413" si="373">I407+J407</f>
        <v>39685.75</v>
      </c>
      <c r="L407" s="360">
        <f t="shared" si="371"/>
        <v>354</v>
      </c>
      <c r="O407" s="381"/>
    </row>
    <row r="408" spans="1:15">
      <c r="A408" s="355">
        <f t="shared" si="367"/>
        <v>355</v>
      </c>
      <c r="B408" s="372">
        <f t="shared" si="372"/>
        <v>39731.75</v>
      </c>
      <c r="C408" s="357">
        <f t="shared" si="353"/>
        <v>3</v>
      </c>
      <c r="D408" s="358" t="str">
        <f t="shared" si="354"/>
        <v>sun</v>
      </c>
      <c r="E408" s="368">
        <f t="shared" si="364"/>
        <v>6</v>
      </c>
      <c r="F408" s="367" t="str">
        <f t="shared" si="368"/>
        <v>rahu</v>
      </c>
      <c r="G408" s="367">
        <f t="shared" si="369"/>
        <v>9</v>
      </c>
      <c r="H408" s="367" t="str">
        <f t="shared" si="365"/>
        <v>mercury</v>
      </c>
      <c r="I408" s="369">
        <f t="shared" si="370"/>
        <v>39685.75</v>
      </c>
      <c r="J408" s="377">
        <f t="shared" si="366"/>
        <v>46</v>
      </c>
      <c r="K408" s="369">
        <f t="shared" si="373"/>
        <v>39731.75</v>
      </c>
      <c r="L408" s="360">
        <f t="shared" si="371"/>
        <v>355</v>
      </c>
      <c r="O408" s="381"/>
    </row>
    <row r="409" spans="1:15">
      <c r="A409" s="355">
        <f t="shared" si="367"/>
        <v>356</v>
      </c>
      <c r="B409" s="372">
        <f t="shared" si="372"/>
        <v>39751.75</v>
      </c>
      <c r="C409" s="357">
        <f t="shared" si="353"/>
        <v>3</v>
      </c>
      <c r="D409" s="358" t="str">
        <f t="shared" si="354"/>
        <v>sun</v>
      </c>
      <c r="E409" s="368">
        <f t="shared" si="364"/>
        <v>6</v>
      </c>
      <c r="F409" s="367" t="str">
        <f t="shared" si="368"/>
        <v>rahu</v>
      </c>
      <c r="G409" s="367">
        <f t="shared" si="369"/>
        <v>1</v>
      </c>
      <c r="H409" s="367" t="str">
        <f t="shared" si="365"/>
        <v>ketu</v>
      </c>
      <c r="I409" s="369">
        <f t="shared" si="370"/>
        <v>39731.75</v>
      </c>
      <c r="J409" s="377">
        <f t="shared" si="366"/>
        <v>20</v>
      </c>
      <c r="K409" s="369">
        <f t="shared" si="373"/>
        <v>39751.75</v>
      </c>
      <c r="L409" s="360">
        <f t="shared" si="371"/>
        <v>356</v>
      </c>
      <c r="O409" s="381"/>
    </row>
    <row r="410" spans="1:15">
      <c r="A410" s="355">
        <f t="shared" si="367"/>
        <v>357</v>
      </c>
      <c r="B410" s="372">
        <f t="shared" si="372"/>
        <v>39807.75</v>
      </c>
      <c r="C410" s="357">
        <f t="shared" si="353"/>
        <v>3</v>
      </c>
      <c r="D410" s="358" t="str">
        <f t="shared" si="354"/>
        <v>sun</v>
      </c>
      <c r="E410" s="368">
        <f t="shared" si="364"/>
        <v>6</v>
      </c>
      <c r="F410" s="367" t="str">
        <f t="shared" si="368"/>
        <v>rahu</v>
      </c>
      <c r="G410" s="367">
        <f t="shared" si="369"/>
        <v>2</v>
      </c>
      <c r="H410" s="367" t="str">
        <f t="shared" si="365"/>
        <v>venus</v>
      </c>
      <c r="I410" s="369">
        <f t="shared" si="370"/>
        <v>39751.75</v>
      </c>
      <c r="J410" s="377">
        <f t="shared" si="366"/>
        <v>56</v>
      </c>
      <c r="K410" s="369">
        <f t="shared" si="373"/>
        <v>39807.75</v>
      </c>
      <c r="L410" s="360">
        <f t="shared" si="371"/>
        <v>357</v>
      </c>
      <c r="O410" s="381"/>
    </row>
    <row r="411" spans="1:15">
      <c r="A411" s="355">
        <f t="shared" si="367"/>
        <v>358</v>
      </c>
      <c r="B411" s="372">
        <f t="shared" si="372"/>
        <v>39823.75</v>
      </c>
      <c r="C411" s="357">
        <f t="shared" si="353"/>
        <v>3</v>
      </c>
      <c r="D411" s="358" t="str">
        <f t="shared" si="354"/>
        <v>sun</v>
      </c>
      <c r="E411" s="368">
        <f t="shared" si="364"/>
        <v>6</v>
      </c>
      <c r="F411" s="367" t="str">
        <f t="shared" si="368"/>
        <v>rahu</v>
      </c>
      <c r="G411" s="367">
        <f t="shared" si="369"/>
        <v>3</v>
      </c>
      <c r="H411" s="367" t="str">
        <f t="shared" si="365"/>
        <v>sun</v>
      </c>
      <c r="I411" s="369">
        <f t="shared" si="370"/>
        <v>39807.75</v>
      </c>
      <c r="J411" s="377">
        <f t="shared" si="366"/>
        <v>16</v>
      </c>
      <c r="K411" s="369">
        <f t="shared" si="373"/>
        <v>39823.75</v>
      </c>
      <c r="L411" s="360">
        <f t="shared" si="371"/>
        <v>358</v>
      </c>
      <c r="O411" s="381"/>
    </row>
    <row r="412" spans="1:15">
      <c r="A412" s="355">
        <f t="shared" si="367"/>
        <v>359</v>
      </c>
      <c r="B412" s="372">
        <f t="shared" si="372"/>
        <v>39849.75</v>
      </c>
      <c r="C412" s="357">
        <f t="shared" si="353"/>
        <v>3</v>
      </c>
      <c r="D412" s="358" t="str">
        <f t="shared" si="354"/>
        <v>sun</v>
      </c>
      <c r="E412" s="368">
        <f t="shared" si="364"/>
        <v>6</v>
      </c>
      <c r="F412" s="367" t="str">
        <f t="shared" si="368"/>
        <v>rahu</v>
      </c>
      <c r="G412" s="367">
        <f t="shared" si="369"/>
        <v>4</v>
      </c>
      <c r="H412" s="367" t="str">
        <f t="shared" si="365"/>
        <v>moon</v>
      </c>
      <c r="I412" s="369">
        <f t="shared" si="370"/>
        <v>39823.75</v>
      </c>
      <c r="J412" s="377">
        <f t="shared" si="366"/>
        <v>26</v>
      </c>
      <c r="K412" s="369">
        <f t="shared" si="373"/>
        <v>39849.75</v>
      </c>
      <c r="L412" s="360">
        <f t="shared" si="371"/>
        <v>359</v>
      </c>
      <c r="O412" s="381"/>
    </row>
    <row r="413" spans="1:15">
      <c r="A413" s="355">
        <f t="shared" si="367"/>
        <v>360</v>
      </c>
      <c r="B413" s="372">
        <f t="shared" si="372"/>
        <v>39869.75</v>
      </c>
      <c r="C413" s="357">
        <f t="shared" si="353"/>
        <v>3</v>
      </c>
      <c r="D413" s="358" t="str">
        <f t="shared" si="354"/>
        <v>sun</v>
      </c>
      <c r="E413" s="368">
        <f t="shared" si="364"/>
        <v>6</v>
      </c>
      <c r="F413" s="367" t="str">
        <f t="shared" si="368"/>
        <v>rahu</v>
      </c>
      <c r="G413" s="367">
        <f t="shared" si="369"/>
        <v>5</v>
      </c>
      <c r="H413" s="367" t="str">
        <f t="shared" si="365"/>
        <v>mars</v>
      </c>
      <c r="I413" s="369">
        <f t="shared" si="370"/>
        <v>39849.75</v>
      </c>
      <c r="J413" s="377">
        <f t="shared" si="366"/>
        <v>20</v>
      </c>
      <c r="K413" s="369">
        <f t="shared" si="373"/>
        <v>39869.75</v>
      </c>
      <c r="L413" s="360">
        <f t="shared" si="371"/>
        <v>360</v>
      </c>
      <c r="N413" s="358">
        <f>SUM(J405:J413)</f>
        <v>329</v>
      </c>
      <c r="O413" s="381"/>
    </row>
    <row r="414" spans="1:15">
      <c r="A414" s="399"/>
      <c r="B414" s="386"/>
      <c r="C414" s="387">
        <f>C404</f>
        <v>3</v>
      </c>
      <c r="D414" s="373" t="str">
        <f>D404</f>
        <v>sun</v>
      </c>
      <c r="E414" s="393">
        <f>IF(E404+1&gt;9,E404+1-9,E404+1)</f>
        <v>7</v>
      </c>
      <c r="F414" s="389" t="str">
        <f t="shared" si="368"/>
        <v>jupiter</v>
      </c>
      <c r="G414" s="389"/>
      <c r="H414" s="389"/>
      <c r="I414" s="390">
        <f>K404</f>
        <v>39865.75</v>
      </c>
      <c r="J414" s="373">
        <f>ROUND(J$373*VLOOKUP(E414,$A$848:$E$856,5,FALSE),0)</f>
        <v>285</v>
      </c>
      <c r="K414" s="390">
        <f>I414+J414</f>
        <v>40150.75</v>
      </c>
      <c r="L414" s="400"/>
      <c r="M414" s="373"/>
      <c r="N414" s="373"/>
      <c r="O414" s="381"/>
    </row>
    <row r="415" spans="1:15">
      <c r="A415" s="355">
        <f>A413+1</f>
        <v>361</v>
      </c>
      <c r="B415" s="372">
        <f>K415</f>
        <v>39906.75</v>
      </c>
      <c r="C415" s="357">
        <f t="shared" si="353"/>
        <v>3</v>
      </c>
      <c r="D415" s="358" t="str">
        <f t="shared" si="354"/>
        <v>sun</v>
      </c>
      <c r="E415" s="368">
        <f t="shared" ref="E415:E423" si="374">E414</f>
        <v>7</v>
      </c>
      <c r="F415" s="367" t="str">
        <f t="shared" si="368"/>
        <v>jupiter</v>
      </c>
      <c r="G415" s="367">
        <f>E415</f>
        <v>7</v>
      </c>
      <c r="H415" s="367" t="str">
        <f t="shared" ref="H415:H423" si="375">VLOOKUP(G415,$A$848:$B$856,2,FALSE)</f>
        <v>jupiter</v>
      </c>
      <c r="I415" s="369">
        <f>K413</f>
        <v>39869.75</v>
      </c>
      <c r="J415" s="377">
        <f t="shared" ref="J415:J423" si="376">ROUND(J$414*VLOOKUP(G415,$A$848:$E$856,5,FALSE),0)</f>
        <v>37</v>
      </c>
      <c r="K415" s="369">
        <f>I415+J415</f>
        <v>39906.75</v>
      </c>
      <c r="L415" s="360">
        <f>L413+1</f>
        <v>361</v>
      </c>
      <c r="O415" s="381"/>
    </row>
    <row r="416" spans="1:15">
      <c r="A416" s="355">
        <f t="shared" ref="A416:A423" si="377">A415+1</f>
        <v>362</v>
      </c>
      <c r="B416" s="372">
        <f>K416</f>
        <v>39952.75</v>
      </c>
      <c r="C416" s="357">
        <f t="shared" si="353"/>
        <v>3</v>
      </c>
      <c r="D416" s="358" t="str">
        <f t="shared" si="354"/>
        <v>sun</v>
      </c>
      <c r="E416" s="368">
        <f t="shared" si="374"/>
        <v>7</v>
      </c>
      <c r="F416" s="367" t="str">
        <f t="shared" si="368"/>
        <v>jupiter</v>
      </c>
      <c r="G416" s="367">
        <f t="shared" ref="G416:G423" si="378">IF(G415+1&gt;9,G415+1-9,G415+1)</f>
        <v>8</v>
      </c>
      <c r="H416" s="367" t="str">
        <f t="shared" si="375"/>
        <v>saturn</v>
      </c>
      <c r="I416" s="369">
        <f t="shared" ref="I416:I423" si="379">K415</f>
        <v>39906.75</v>
      </c>
      <c r="J416" s="377">
        <f t="shared" si="376"/>
        <v>46</v>
      </c>
      <c r="K416" s="369">
        <f>I416+J416</f>
        <v>39952.75</v>
      </c>
      <c r="L416" s="360">
        <f t="shared" ref="L416:L423" si="380">L415+1</f>
        <v>362</v>
      </c>
      <c r="O416" s="381"/>
    </row>
    <row r="417" spans="1:15">
      <c r="A417" s="355">
        <f t="shared" si="377"/>
        <v>363</v>
      </c>
      <c r="B417" s="372">
        <f t="shared" ref="B417:B423" si="381">K417</f>
        <v>39992.75</v>
      </c>
      <c r="C417" s="357">
        <f t="shared" si="353"/>
        <v>3</v>
      </c>
      <c r="D417" s="358" t="str">
        <f t="shared" si="354"/>
        <v>sun</v>
      </c>
      <c r="E417" s="368">
        <f t="shared" si="374"/>
        <v>7</v>
      </c>
      <c r="F417" s="367" t="str">
        <f t="shared" si="368"/>
        <v>jupiter</v>
      </c>
      <c r="G417" s="367">
        <f t="shared" si="378"/>
        <v>9</v>
      </c>
      <c r="H417" s="367" t="str">
        <f t="shared" si="375"/>
        <v>mercury</v>
      </c>
      <c r="I417" s="369">
        <f t="shared" si="379"/>
        <v>39952.75</v>
      </c>
      <c r="J417" s="377">
        <f t="shared" si="376"/>
        <v>40</v>
      </c>
      <c r="K417" s="369">
        <f t="shared" ref="K417:K423" si="382">I417+J417</f>
        <v>39992.75</v>
      </c>
      <c r="L417" s="360">
        <f t="shared" si="380"/>
        <v>363</v>
      </c>
      <c r="O417" s="381"/>
    </row>
    <row r="418" spans="1:15">
      <c r="A418" s="355">
        <f t="shared" si="377"/>
        <v>364</v>
      </c>
      <c r="B418" s="372">
        <f t="shared" si="381"/>
        <v>40009.75</v>
      </c>
      <c r="C418" s="357">
        <f t="shared" si="353"/>
        <v>3</v>
      </c>
      <c r="D418" s="358" t="str">
        <f t="shared" si="354"/>
        <v>sun</v>
      </c>
      <c r="E418" s="368">
        <f t="shared" si="374"/>
        <v>7</v>
      </c>
      <c r="F418" s="367" t="str">
        <f t="shared" si="368"/>
        <v>jupiter</v>
      </c>
      <c r="G418" s="367">
        <f t="shared" si="378"/>
        <v>1</v>
      </c>
      <c r="H418" s="367" t="str">
        <f t="shared" si="375"/>
        <v>ketu</v>
      </c>
      <c r="I418" s="369">
        <f t="shared" si="379"/>
        <v>39992.75</v>
      </c>
      <c r="J418" s="377">
        <f t="shared" si="376"/>
        <v>17</v>
      </c>
      <c r="K418" s="369">
        <f t="shared" si="382"/>
        <v>40009.75</v>
      </c>
      <c r="L418" s="360">
        <f t="shared" si="380"/>
        <v>364</v>
      </c>
      <c r="O418" s="381"/>
    </row>
    <row r="419" spans="1:15">
      <c r="A419" s="355">
        <f t="shared" si="377"/>
        <v>365</v>
      </c>
      <c r="B419" s="372">
        <f t="shared" si="381"/>
        <v>40057.75</v>
      </c>
      <c r="C419" s="357">
        <f t="shared" si="353"/>
        <v>3</v>
      </c>
      <c r="D419" s="358" t="str">
        <f t="shared" si="354"/>
        <v>sun</v>
      </c>
      <c r="E419" s="368">
        <f t="shared" si="374"/>
        <v>7</v>
      </c>
      <c r="F419" s="367" t="str">
        <f t="shared" si="368"/>
        <v>jupiter</v>
      </c>
      <c r="G419" s="367">
        <f t="shared" si="378"/>
        <v>2</v>
      </c>
      <c r="H419" s="367" t="str">
        <f t="shared" si="375"/>
        <v>venus</v>
      </c>
      <c r="I419" s="369">
        <f t="shared" si="379"/>
        <v>40009.75</v>
      </c>
      <c r="J419" s="377">
        <f t="shared" si="376"/>
        <v>48</v>
      </c>
      <c r="K419" s="369">
        <f t="shared" si="382"/>
        <v>40057.75</v>
      </c>
      <c r="L419" s="360">
        <f t="shared" si="380"/>
        <v>365</v>
      </c>
      <c r="O419" s="381"/>
    </row>
    <row r="420" spans="1:15">
      <c r="A420" s="355">
        <f t="shared" si="377"/>
        <v>366</v>
      </c>
      <c r="B420" s="372">
        <f t="shared" si="381"/>
        <v>40071.75</v>
      </c>
      <c r="C420" s="357">
        <f t="shared" si="353"/>
        <v>3</v>
      </c>
      <c r="D420" s="358" t="str">
        <f t="shared" si="354"/>
        <v>sun</v>
      </c>
      <c r="E420" s="368">
        <f t="shared" si="374"/>
        <v>7</v>
      </c>
      <c r="F420" s="367" t="str">
        <f t="shared" si="368"/>
        <v>jupiter</v>
      </c>
      <c r="G420" s="367">
        <f t="shared" si="378"/>
        <v>3</v>
      </c>
      <c r="H420" s="367" t="str">
        <f t="shared" si="375"/>
        <v>sun</v>
      </c>
      <c r="I420" s="369">
        <f t="shared" si="379"/>
        <v>40057.75</v>
      </c>
      <c r="J420" s="377">
        <f t="shared" si="376"/>
        <v>14</v>
      </c>
      <c r="K420" s="369">
        <f t="shared" si="382"/>
        <v>40071.75</v>
      </c>
      <c r="L420" s="360">
        <f t="shared" si="380"/>
        <v>366</v>
      </c>
      <c r="O420" s="381"/>
    </row>
    <row r="421" spans="1:15">
      <c r="A421" s="355">
        <f t="shared" si="377"/>
        <v>367</v>
      </c>
      <c r="B421" s="372">
        <f t="shared" si="381"/>
        <v>40094.75</v>
      </c>
      <c r="C421" s="357">
        <f t="shared" si="353"/>
        <v>3</v>
      </c>
      <c r="D421" s="358" t="str">
        <f t="shared" si="354"/>
        <v>sun</v>
      </c>
      <c r="E421" s="368">
        <f t="shared" si="374"/>
        <v>7</v>
      </c>
      <c r="F421" s="367" t="str">
        <f t="shared" si="368"/>
        <v>jupiter</v>
      </c>
      <c r="G421" s="367">
        <f t="shared" si="378"/>
        <v>4</v>
      </c>
      <c r="H421" s="367" t="str">
        <f t="shared" si="375"/>
        <v>moon</v>
      </c>
      <c r="I421" s="369">
        <f t="shared" si="379"/>
        <v>40071.75</v>
      </c>
      <c r="J421" s="377">
        <f t="shared" si="376"/>
        <v>23</v>
      </c>
      <c r="K421" s="369">
        <f t="shared" si="382"/>
        <v>40094.75</v>
      </c>
      <c r="L421" s="360">
        <f t="shared" si="380"/>
        <v>367</v>
      </c>
      <c r="O421" s="381"/>
    </row>
    <row r="422" spans="1:15">
      <c r="A422" s="355">
        <f t="shared" si="377"/>
        <v>368</v>
      </c>
      <c r="B422" s="372">
        <f t="shared" si="381"/>
        <v>40111.75</v>
      </c>
      <c r="C422" s="357">
        <f t="shared" si="353"/>
        <v>3</v>
      </c>
      <c r="D422" s="358" t="str">
        <f t="shared" si="354"/>
        <v>sun</v>
      </c>
      <c r="E422" s="368">
        <f t="shared" si="374"/>
        <v>7</v>
      </c>
      <c r="F422" s="367" t="str">
        <f t="shared" si="368"/>
        <v>jupiter</v>
      </c>
      <c r="G422" s="367">
        <f t="shared" si="378"/>
        <v>5</v>
      </c>
      <c r="H422" s="367" t="str">
        <f t="shared" si="375"/>
        <v>mars</v>
      </c>
      <c r="I422" s="369">
        <f t="shared" si="379"/>
        <v>40094.75</v>
      </c>
      <c r="J422" s="377">
        <f t="shared" si="376"/>
        <v>17</v>
      </c>
      <c r="K422" s="369">
        <f t="shared" si="382"/>
        <v>40111.75</v>
      </c>
      <c r="L422" s="360">
        <f t="shared" si="380"/>
        <v>368</v>
      </c>
      <c r="O422" s="381"/>
    </row>
    <row r="423" spans="1:15">
      <c r="A423" s="355">
        <f t="shared" si="377"/>
        <v>369</v>
      </c>
      <c r="B423" s="372">
        <f t="shared" si="381"/>
        <v>40154.75</v>
      </c>
      <c r="C423" s="357">
        <f t="shared" si="353"/>
        <v>3</v>
      </c>
      <c r="D423" s="358" t="str">
        <f t="shared" si="354"/>
        <v>sun</v>
      </c>
      <c r="E423" s="368">
        <f t="shared" si="374"/>
        <v>7</v>
      </c>
      <c r="F423" s="367" t="str">
        <f t="shared" si="368"/>
        <v>jupiter</v>
      </c>
      <c r="G423" s="367">
        <f t="shared" si="378"/>
        <v>6</v>
      </c>
      <c r="H423" s="367" t="str">
        <f t="shared" si="375"/>
        <v>rahu</v>
      </c>
      <c r="I423" s="369">
        <f t="shared" si="379"/>
        <v>40111.75</v>
      </c>
      <c r="J423" s="377">
        <f t="shared" si="376"/>
        <v>43</v>
      </c>
      <c r="K423" s="369">
        <f t="shared" si="382"/>
        <v>40154.75</v>
      </c>
      <c r="L423" s="360">
        <f t="shared" si="380"/>
        <v>369</v>
      </c>
      <c r="N423" s="358">
        <f>SUM(J415:J423)</f>
        <v>285</v>
      </c>
      <c r="O423" s="381"/>
    </row>
    <row r="424" spans="1:15">
      <c r="A424" s="399"/>
      <c r="B424" s="386"/>
      <c r="C424" s="387">
        <f>C414</f>
        <v>3</v>
      </c>
      <c r="D424" s="373" t="str">
        <f>D414</f>
        <v>sun</v>
      </c>
      <c r="E424" s="393">
        <f>IF(E414+1&gt;9,E414+1-9,E414+1)</f>
        <v>8</v>
      </c>
      <c r="F424" s="389" t="str">
        <f t="shared" si="368"/>
        <v>saturn</v>
      </c>
      <c r="G424" s="389"/>
      <c r="H424" s="389"/>
      <c r="I424" s="390">
        <f>K414</f>
        <v>40150.75</v>
      </c>
      <c r="J424" s="373">
        <f>ROUND(J$373*VLOOKUP(E424,$A$848:$E$856,5,FALSE),0)</f>
        <v>351</v>
      </c>
      <c r="K424" s="390">
        <f>I424+J424</f>
        <v>40501.75</v>
      </c>
      <c r="L424" s="400"/>
      <c r="M424" s="373"/>
      <c r="N424" s="373"/>
      <c r="O424" s="381"/>
    </row>
    <row r="425" spans="1:15">
      <c r="A425" s="355">
        <f>A423+1</f>
        <v>370</v>
      </c>
      <c r="B425" s="372">
        <f>K425</f>
        <v>40210.75</v>
      </c>
      <c r="C425" s="357">
        <f t="shared" si="353"/>
        <v>3</v>
      </c>
      <c r="D425" s="358" t="str">
        <f t="shared" si="354"/>
        <v>sun</v>
      </c>
      <c r="E425" s="368">
        <f t="shared" ref="E425:E433" si="383">E424</f>
        <v>8</v>
      </c>
      <c r="F425" s="367" t="str">
        <f t="shared" si="368"/>
        <v>saturn</v>
      </c>
      <c r="G425" s="367">
        <f>E425</f>
        <v>8</v>
      </c>
      <c r="H425" s="367" t="str">
        <f t="shared" ref="H425:H433" si="384">VLOOKUP(G425,$A$848:$B$856,2,FALSE)</f>
        <v>saturn</v>
      </c>
      <c r="I425" s="369">
        <f>K423</f>
        <v>40154.75</v>
      </c>
      <c r="J425" s="377">
        <f t="shared" ref="J425:J433" si="385">ROUND(J$424*VLOOKUP(G425,$A$848:$E$856,5,FALSE),0)</f>
        <v>56</v>
      </c>
      <c r="K425" s="369">
        <f>I425+J425</f>
        <v>40210.75</v>
      </c>
      <c r="L425" s="360">
        <f>L423+1</f>
        <v>370</v>
      </c>
      <c r="O425" s="381"/>
    </row>
    <row r="426" spans="1:15">
      <c r="A426" s="355">
        <f t="shared" ref="A426:A433" si="386">A425+1</f>
        <v>371</v>
      </c>
      <c r="B426" s="372">
        <f>K426</f>
        <v>40259.75</v>
      </c>
      <c r="C426" s="357">
        <f t="shared" si="353"/>
        <v>3</v>
      </c>
      <c r="D426" s="358" t="str">
        <f t="shared" si="354"/>
        <v>sun</v>
      </c>
      <c r="E426" s="368">
        <f t="shared" si="383"/>
        <v>8</v>
      </c>
      <c r="F426" s="367" t="str">
        <f t="shared" si="368"/>
        <v>saturn</v>
      </c>
      <c r="G426" s="367">
        <f>IF(G425+1&gt;9,G425+1-9,G425+1)</f>
        <v>9</v>
      </c>
      <c r="H426" s="367" t="str">
        <f t="shared" si="384"/>
        <v>mercury</v>
      </c>
      <c r="I426" s="369">
        <f t="shared" ref="I426:I433" si="387">K425</f>
        <v>40210.75</v>
      </c>
      <c r="J426" s="377">
        <f t="shared" si="385"/>
        <v>49</v>
      </c>
      <c r="K426" s="369">
        <f>I426+J426</f>
        <v>40259.75</v>
      </c>
      <c r="L426" s="360">
        <f t="shared" ref="L426:L433" si="388">L425+1</f>
        <v>371</v>
      </c>
      <c r="O426" s="381"/>
    </row>
    <row r="427" spans="1:15">
      <c r="A427" s="355">
        <f t="shared" si="386"/>
        <v>372</v>
      </c>
      <c r="B427" s="372">
        <f t="shared" ref="B427:B433" si="389">K427</f>
        <v>40280.75</v>
      </c>
      <c r="C427" s="357">
        <f t="shared" si="353"/>
        <v>3</v>
      </c>
      <c r="D427" s="358" t="str">
        <f t="shared" si="354"/>
        <v>sun</v>
      </c>
      <c r="E427" s="368">
        <f t="shared" si="383"/>
        <v>8</v>
      </c>
      <c r="F427" s="367" t="str">
        <f t="shared" si="368"/>
        <v>saturn</v>
      </c>
      <c r="G427" s="367">
        <f t="shared" ref="G427:G433" si="390">IF(G426+1&gt;9,G426+1-9,G426+1)</f>
        <v>1</v>
      </c>
      <c r="H427" s="367" t="str">
        <f t="shared" si="384"/>
        <v>ketu</v>
      </c>
      <c r="I427" s="369">
        <f t="shared" si="387"/>
        <v>40259.75</v>
      </c>
      <c r="J427" s="377">
        <f t="shared" si="385"/>
        <v>21</v>
      </c>
      <c r="K427" s="369">
        <f t="shared" ref="K427:K433" si="391">I427+J427</f>
        <v>40280.75</v>
      </c>
      <c r="L427" s="360">
        <f t="shared" si="388"/>
        <v>372</v>
      </c>
      <c r="O427" s="381"/>
    </row>
    <row r="428" spans="1:15">
      <c r="A428" s="355">
        <f t="shared" si="386"/>
        <v>373</v>
      </c>
      <c r="B428" s="372">
        <f t="shared" si="389"/>
        <v>40340.75</v>
      </c>
      <c r="C428" s="357">
        <f t="shared" si="353"/>
        <v>3</v>
      </c>
      <c r="D428" s="358" t="str">
        <f t="shared" si="354"/>
        <v>sun</v>
      </c>
      <c r="E428" s="368">
        <f t="shared" si="383"/>
        <v>8</v>
      </c>
      <c r="F428" s="367" t="str">
        <f t="shared" si="368"/>
        <v>saturn</v>
      </c>
      <c r="G428" s="367">
        <f t="shared" si="390"/>
        <v>2</v>
      </c>
      <c r="H428" s="367" t="str">
        <f t="shared" si="384"/>
        <v>venus</v>
      </c>
      <c r="I428" s="369">
        <f t="shared" si="387"/>
        <v>40280.75</v>
      </c>
      <c r="J428" s="377">
        <f t="shared" si="385"/>
        <v>60</v>
      </c>
      <c r="K428" s="369">
        <f t="shared" si="391"/>
        <v>40340.75</v>
      </c>
      <c r="L428" s="360">
        <f t="shared" si="388"/>
        <v>373</v>
      </c>
      <c r="O428" s="381"/>
    </row>
    <row r="429" spans="1:15">
      <c r="A429" s="355">
        <f t="shared" si="386"/>
        <v>374</v>
      </c>
      <c r="B429" s="372">
        <f t="shared" si="389"/>
        <v>40358.75</v>
      </c>
      <c r="C429" s="357">
        <f t="shared" si="353"/>
        <v>3</v>
      </c>
      <c r="D429" s="358" t="str">
        <f t="shared" si="354"/>
        <v>sun</v>
      </c>
      <c r="E429" s="368">
        <f t="shared" si="383"/>
        <v>8</v>
      </c>
      <c r="F429" s="367" t="str">
        <f t="shared" si="368"/>
        <v>saturn</v>
      </c>
      <c r="G429" s="367">
        <f t="shared" si="390"/>
        <v>3</v>
      </c>
      <c r="H429" s="367" t="str">
        <f t="shared" si="384"/>
        <v>sun</v>
      </c>
      <c r="I429" s="369">
        <f t="shared" si="387"/>
        <v>40340.75</v>
      </c>
      <c r="J429" s="377">
        <f t="shared" si="385"/>
        <v>18</v>
      </c>
      <c r="K429" s="369">
        <f t="shared" si="391"/>
        <v>40358.75</v>
      </c>
      <c r="L429" s="360">
        <f t="shared" si="388"/>
        <v>374</v>
      </c>
      <c r="O429" s="381"/>
    </row>
    <row r="430" spans="1:15">
      <c r="A430" s="355">
        <f t="shared" si="386"/>
        <v>375</v>
      </c>
      <c r="B430" s="372">
        <f t="shared" si="389"/>
        <v>40386.75</v>
      </c>
      <c r="C430" s="357">
        <f t="shared" si="353"/>
        <v>3</v>
      </c>
      <c r="D430" s="358" t="str">
        <f t="shared" si="354"/>
        <v>sun</v>
      </c>
      <c r="E430" s="368">
        <f t="shared" si="383"/>
        <v>8</v>
      </c>
      <c r="F430" s="367" t="str">
        <f t="shared" si="368"/>
        <v>saturn</v>
      </c>
      <c r="G430" s="367">
        <f t="shared" si="390"/>
        <v>4</v>
      </c>
      <c r="H430" s="367" t="str">
        <f t="shared" si="384"/>
        <v>moon</v>
      </c>
      <c r="I430" s="369">
        <f t="shared" si="387"/>
        <v>40358.75</v>
      </c>
      <c r="J430" s="377">
        <f t="shared" si="385"/>
        <v>28</v>
      </c>
      <c r="K430" s="369">
        <f t="shared" si="391"/>
        <v>40386.75</v>
      </c>
      <c r="L430" s="360">
        <f t="shared" si="388"/>
        <v>375</v>
      </c>
      <c r="O430" s="381"/>
    </row>
    <row r="431" spans="1:15">
      <c r="A431" s="355">
        <f t="shared" si="386"/>
        <v>376</v>
      </c>
      <c r="B431" s="372">
        <f t="shared" si="389"/>
        <v>40407.75</v>
      </c>
      <c r="C431" s="357">
        <f t="shared" si="353"/>
        <v>3</v>
      </c>
      <c r="D431" s="358" t="str">
        <f t="shared" si="354"/>
        <v>sun</v>
      </c>
      <c r="E431" s="368">
        <f t="shared" si="383"/>
        <v>8</v>
      </c>
      <c r="F431" s="367" t="str">
        <f t="shared" si="368"/>
        <v>saturn</v>
      </c>
      <c r="G431" s="367">
        <f t="shared" si="390"/>
        <v>5</v>
      </c>
      <c r="H431" s="367" t="str">
        <f t="shared" si="384"/>
        <v>mars</v>
      </c>
      <c r="I431" s="369">
        <f t="shared" si="387"/>
        <v>40386.75</v>
      </c>
      <c r="J431" s="377">
        <f t="shared" si="385"/>
        <v>21</v>
      </c>
      <c r="K431" s="369">
        <f t="shared" si="391"/>
        <v>40407.75</v>
      </c>
      <c r="L431" s="360">
        <f t="shared" si="388"/>
        <v>376</v>
      </c>
      <c r="O431" s="381"/>
    </row>
    <row r="432" spans="1:15">
      <c r="A432" s="355">
        <f t="shared" si="386"/>
        <v>377</v>
      </c>
      <c r="B432" s="372">
        <f t="shared" si="389"/>
        <v>40460.75</v>
      </c>
      <c r="C432" s="357">
        <f t="shared" si="353"/>
        <v>3</v>
      </c>
      <c r="D432" s="358" t="str">
        <f t="shared" si="354"/>
        <v>sun</v>
      </c>
      <c r="E432" s="368">
        <f t="shared" si="383"/>
        <v>8</v>
      </c>
      <c r="F432" s="367" t="str">
        <f t="shared" si="368"/>
        <v>saturn</v>
      </c>
      <c r="G432" s="367">
        <f t="shared" si="390"/>
        <v>6</v>
      </c>
      <c r="H432" s="367" t="str">
        <f t="shared" si="384"/>
        <v>rahu</v>
      </c>
      <c r="I432" s="369">
        <f t="shared" si="387"/>
        <v>40407.75</v>
      </c>
      <c r="J432" s="377">
        <f t="shared" si="385"/>
        <v>53</v>
      </c>
      <c r="K432" s="369">
        <f t="shared" si="391"/>
        <v>40460.75</v>
      </c>
      <c r="L432" s="360">
        <f t="shared" si="388"/>
        <v>377</v>
      </c>
      <c r="O432" s="381"/>
    </row>
    <row r="433" spans="1:15">
      <c r="A433" s="355">
        <f t="shared" si="386"/>
        <v>378</v>
      </c>
      <c r="B433" s="372">
        <f t="shared" si="389"/>
        <v>40506.75</v>
      </c>
      <c r="C433" s="357">
        <f t="shared" si="353"/>
        <v>3</v>
      </c>
      <c r="D433" s="358" t="str">
        <f t="shared" si="354"/>
        <v>sun</v>
      </c>
      <c r="E433" s="368">
        <f t="shared" si="383"/>
        <v>8</v>
      </c>
      <c r="F433" s="367" t="str">
        <f t="shared" si="368"/>
        <v>saturn</v>
      </c>
      <c r="G433" s="367">
        <f t="shared" si="390"/>
        <v>7</v>
      </c>
      <c r="H433" s="367" t="str">
        <f t="shared" si="384"/>
        <v>jupiter</v>
      </c>
      <c r="I433" s="369">
        <f t="shared" si="387"/>
        <v>40460.75</v>
      </c>
      <c r="J433" s="377">
        <f t="shared" si="385"/>
        <v>46</v>
      </c>
      <c r="K433" s="369">
        <f t="shared" si="391"/>
        <v>40506.75</v>
      </c>
      <c r="L433" s="360">
        <f t="shared" si="388"/>
        <v>378</v>
      </c>
      <c r="N433" s="358">
        <f>SUM(J425:J433)</f>
        <v>352</v>
      </c>
      <c r="O433" s="381"/>
    </row>
    <row r="434" spans="1:15">
      <c r="A434" s="399"/>
      <c r="B434" s="386"/>
      <c r="C434" s="387">
        <f>C424</f>
        <v>3</v>
      </c>
      <c r="D434" s="373" t="str">
        <f>D424</f>
        <v>sun</v>
      </c>
      <c r="E434" s="393">
        <f>IF(E424+1&gt;9,E424+1-9,E424+1)</f>
        <v>9</v>
      </c>
      <c r="F434" s="389" t="str">
        <f t="shared" si="368"/>
        <v>mercury</v>
      </c>
      <c r="G434" s="389"/>
      <c r="H434" s="389"/>
      <c r="I434" s="390">
        <f>K424</f>
        <v>40501.75</v>
      </c>
      <c r="J434" s="373">
        <f>ROUND(J$373*VLOOKUP(E434,$A$848:$E$856,5,FALSE),0)</f>
        <v>307</v>
      </c>
      <c r="K434" s="390">
        <f>I434+J434</f>
        <v>40808.75</v>
      </c>
      <c r="L434" s="400"/>
      <c r="M434" s="373"/>
      <c r="N434" s="373"/>
      <c r="O434" s="381"/>
    </row>
    <row r="435" spans="1:15">
      <c r="A435" s="355">
        <f>A433+1</f>
        <v>379</v>
      </c>
      <c r="B435" s="372">
        <f>K435</f>
        <v>40549.75</v>
      </c>
      <c r="C435" s="357">
        <f t="shared" si="353"/>
        <v>3</v>
      </c>
      <c r="D435" s="358" t="str">
        <f t="shared" si="354"/>
        <v>sun</v>
      </c>
      <c r="E435" s="368">
        <f t="shared" ref="E435:E443" si="392">E434</f>
        <v>9</v>
      </c>
      <c r="F435" s="367" t="str">
        <f t="shared" si="368"/>
        <v>mercury</v>
      </c>
      <c r="G435" s="367">
        <f>E435</f>
        <v>9</v>
      </c>
      <c r="H435" s="367" t="str">
        <f t="shared" ref="H435:H443" si="393">VLOOKUP(G435,$A$848:$B$856,2,FALSE)</f>
        <v>mercury</v>
      </c>
      <c r="I435" s="369">
        <f>K433</f>
        <v>40506.75</v>
      </c>
      <c r="J435" s="377">
        <f t="shared" ref="J435:J443" si="394">ROUND(J$434*VLOOKUP(G435,$A$848:$E$856,5,FALSE),0)</f>
        <v>43</v>
      </c>
      <c r="K435" s="369">
        <f>I435+J435</f>
        <v>40549.75</v>
      </c>
      <c r="L435" s="360">
        <f>L433+1</f>
        <v>379</v>
      </c>
      <c r="O435" s="381"/>
    </row>
    <row r="436" spans="1:15">
      <c r="A436" s="355">
        <f t="shared" ref="A436:A443" si="395">A435+1</f>
        <v>380</v>
      </c>
      <c r="B436" s="372">
        <f>K436</f>
        <v>40567.75</v>
      </c>
      <c r="C436" s="357">
        <f t="shared" si="353"/>
        <v>3</v>
      </c>
      <c r="D436" s="358" t="str">
        <f t="shared" si="354"/>
        <v>sun</v>
      </c>
      <c r="E436" s="368">
        <f t="shared" si="392"/>
        <v>9</v>
      </c>
      <c r="F436" s="367" t="str">
        <f t="shared" si="368"/>
        <v>mercury</v>
      </c>
      <c r="G436" s="367">
        <f>IF(G435+1&gt;9,G435+1-9,G435+1)</f>
        <v>1</v>
      </c>
      <c r="H436" s="367" t="str">
        <f t="shared" si="393"/>
        <v>ketu</v>
      </c>
      <c r="I436" s="369">
        <f t="shared" ref="I436:I443" si="396">K435</f>
        <v>40549.75</v>
      </c>
      <c r="J436" s="377">
        <f t="shared" si="394"/>
        <v>18</v>
      </c>
      <c r="K436" s="369">
        <f>I436+J436</f>
        <v>40567.75</v>
      </c>
      <c r="L436" s="360">
        <f t="shared" ref="L436:L443" si="397">L435+1</f>
        <v>380</v>
      </c>
      <c r="O436" s="381"/>
    </row>
    <row r="437" spans="1:15">
      <c r="A437" s="355">
        <f t="shared" si="395"/>
        <v>381</v>
      </c>
      <c r="B437" s="372">
        <f t="shared" ref="B437:B443" si="398">K437</f>
        <v>40619.75</v>
      </c>
      <c r="C437" s="357">
        <f t="shared" si="353"/>
        <v>3</v>
      </c>
      <c r="D437" s="358" t="str">
        <f t="shared" si="354"/>
        <v>sun</v>
      </c>
      <c r="E437" s="368">
        <f t="shared" si="392"/>
        <v>9</v>
      </c>
      <c r="F437" s="367" t="str">
        <f t="shared" si="368"/>
        <v>mercury</v>
      </c>
      <c r="G437" s="367">
        <f t="shared" ref="G437:G443" si="399">IF(G436+1&gt;9,G436+1-9,G436+1)</f>
        <v>2</v>
      </c>
      <c r="H437" s="367" t="str">
        <f t="shared" si="393"/>
        <v>venus</v>
      </c>
      <c r="I437" s="369">
        <f t="shared" si="396"/>
        <v>40567.75</v>
      </c>
      <c r="J437" s="377">
        <f t="shared" si="394"/>
        <v>52</v>
      </c>
      <c r="K437" s="369">
        <f t="shared" ref="K437:K443" si="400">I437+J437</f>
        <v>40619.75</v>
      </c>
      <c r="L437" s="360">
        <f t="shared" si="397"/>
        <v>381</v>
      </c>
      <c r="O437" s="381"/>
    </row>
    <row r="438" spans="1:15">
      <c r="A438" s="355">
        <f t="shared" si="395"/>
        <v>382</v>
      </c>
      <c r="B438" s="372">
        <f t="shared" si="398"/>
        <v>40634.75</v>
      </c>
      <c r="C438" s="357">
        <f t="shared" si="353"/>
        <v>3</v>
      </c>
      <c r="D438" s="358" t="str">
        <f t="shared" si="354"/>
        <v>sun</v>
      </c>
      <c r="E438" s="368">
        <f t="shared" si="392"/>
        <v>9</v>
      </c>
      <c r="F438" s="367" t="str">
        <f t="shared" ref="F438:F463" si="401">VLOOKUP(E438,$A$848:$B$856,2,FALSE)</f>
        <v>mercury</v>
      </c>
      <c r="G438" s="367">
        <f t="shared" si="399"/>
        <v>3</v>
      </c>
      <c r="H438" s="367" t="str">
        <f t="shared" si="393"/>
        <v>sun</v>
      </c>
      <c r="I438" s="369">
        <f t="shared" si="396"/>
        <v>40619.75</v>
      </c>
      <c r="J438" s="377">
        <f t="shared" si="394"/>
        <v>15</v>
      </c>
      <c r="K438" s="369">
        <f t="shared" si="400"/>
        <v>40634.75</v>
      </c>
      <c r="L438" s="360">
        <f t="shared" si="397"/>
        <v>382</v>
      </c>
      <c r="O438" s="381"/>
    </row>
    <row r="439" spans="1:15">
      <c r="A439" s="355">
        <f t="shared" si="395"/>
        <v>383</v>
      </c>
      <c r="B439" s="372">
        <f t="shared" si="398"/>
        <v>40659.75</v>
      </c>
      <c r="C439" s="357">
        <f t="shared" si="353"/>
        <v>3</v>
      </c>
      <c r="D439" s="358" t="str">
        <f t="shared" si="354"/>
        <v>sun</v>
      </c>
      <c r="E439" s="368">
        <f t="shared" si="392"/>
        <v>9</v>
      </c>
      <c r="F439" s="367" t="str">
        <f t="shared" si="401"/>
        <v>mercury</v>
      </c>
      <c r="G439" s="367">
        <f t="shared" si="399"/>
        <v>4</v>
      </c>
      <c r="H439" s="367" t="str">
        <f t="shared" si="393"/>
        <v>moon</v>
      </c>
      <c r="I439" s="369">
        <f t="shared" si="396"/>
        <v>40634.75</v>
      </c>
      <c r="J439" s="377">
        <f t="shared" si="394"/>
        <v>25</v>
      </c>
      <c r="K439" s="369">
        <f t="shared" si="400"/>
        <v>40659.75</v>
      </c>
      <c r="L439" s="360">
        <f t="shared" si="397"/>
        <v>383</v>
      </c>
      <c r="O439" s="381"/>
    </row>
    <row r="440" spans="1:15">
      <c r="A440" s="355">
        <f t="shared" si="395"/>
        <v>384</v>
      </c>
      <c r="B440" s="372">
        <f t="shared" si="398"/>
        <v>40677.75</v>
      </c>
      <c r="C440" s="357">
        <f t="shared" si="353"/>
        <v>3</v>
      </c>
      <c r="D440" s="358" t="str">
        <f t="shared" si="354"/>
        <v>sun</v>
      </c>
      <c r="E440" s="368">
        <f t="shared" si="392"/>
        <v>9</v>
      </c>
      <c r="F440" s="367" t="str">
        <f t="shared" si="401"/>
        <v>mercury</v>
      </c>
      <c r="G440" s="367">
        <f t="shared" si="399"/>
        <v>5</v>
      </c>
      <c r="H440" s="367" t="str">
        <f t="shared" si="393"/>
        <v>mars</v>
      </c>
      <c r="I440" s="369">
        <f t="shared" si="396"/>
        <v>40659.75</v>
      </c>
      <c r="J440" s="377">
        <f t="shared" si="394"/>
        <v>18</v>
      </c>
      <c r="K440" s="369">
        <f t="shared" si="400"/>
        <v>40677.75</v>
      </c>
      <c r="L440" s="360">
        <f t="shared" si="397"/>
        <v>384</v>
      </c>
      <c r="O440" s="381"/>
    </row>
    <row r="441" spans="1:15">
      <c r="A441" s="355">
        <f t="shared" si="395"/>
        <v>385</v>
      </c>
      <c r="B441" s="372">
        <f t="shared" si="398"/>
        <v>40723.75</v>
      </c>
      <c r="C441" s="357">
        <f t="shared" si="353"/>
        <v>3</v>
      </c>
      <c r="D441" s="358" t="str">
        <f t="shared" si="354"/>
        <v>sun</v>
      </c>
      <c r="E441" s="368">
        <f t="shared" si="392"/>
        <v>9</v>
      </c>
      <c r="F441" s="367" t="str">
        <f t="shared" si="401"/>
        <v>mercury</v>
      </c>
      <c r="G441" s="367">
        <f t="shared" si="399"/>
        <v>6</v>
      </c>
      <c r="H441" s="367" t="str">
        <f t="shared" si="393"/>
        <v>rahu</v>
      </c>
      <c r="I441" s="369">
        <f t="shared" si="396"/>
        <v>40677.75</v>
      </c>
      <c r="J441" s="377">
        <f t="shared" si="394"/>
        <v>46</v>
      </c>
      <c r="K441" s="369">
        <f t="shared" si="400"/>
        <v>40723.75</v>
      </c>
      <c r="L441" s="360">
        <f t="shared" si="397"/>
        <v>385</v>
      </c>
      <c r="O441" s="381"/>
    </row>
    <row r="442" spans="1:15">
      <c r="A442" s="355">
        <f t="shared" si="395"/>
        <v>386</v>
      </c>
      <c r="B442" s="372">
        <f t="shared" si="398"/>
        <v>40763.75</v>
      </c>
      <c r="C442" s="357">
        <f t="shared" si="353"/>
        <v>3</v>
      </c>
      <c r="D442" s="358" t="str">
        <f t="shared" si="354"/>
        <v>sun</v>
      </c>
      <c r="E442" s="368">
        <f t="shared" si="392"/>
        <v>9</v>
      </c>
      <c r="F442" s="367" t="str">
        <f t="shared" si="401"/>
        <v>mercury</v>
      </c>
      <c r="G442" s="367">
        <f t="shared" si="399"/>
        <v>7</v>
      </c>
      <c r="H442" s="367" t="str">
        <f t="shared" si="393"/>
        <v>jupiter</v>
      </c>
      <c r="I442" s="369">
        <f t="shared" si="396"/>
        <v>40723.75</v>
      </c>
      <c r="J442" s="377">
        <f t="shared" si="394"/>
        <v>40</v>
      </c>
      <c r="K442" s="369">
        <f t="shared" si="400"/>
        <v>40763.75</v>
      </c>
      <c r="L442" s="360">
        <f t="shared" si="397"/>
        <v>386</v>
      </c>
      <c r="O442" s="381"/>
    </row>
    <row r="443" spans="1:15">
      <c r="A443" s="355">
        <f t="shared" si="395"/>
        <v>387</v>
      </c>
      <c r="B443" s="372">
        <f t="shared" si="398"/>
        <v>40812.75</v>
      </c>
      <c r="C443" s="357">
        <f t="shared" si="353"/>
        <v>3</v>
      </c>
      <c r="D443" s="358" t="str">
        <f t="shared" si="354"/>
        <v>sun</v>
      </c>
      <c r="E443" s="368">
        <f t="shared" si="392"/>
        <v>9</v>
      </c>
      <c r="F443" s="367" t="str">
        <f t="shared" si="401"/>
        <v>mercury</v>
      </c>
      <c r="G443" s="367">
        <f t="shared" si="399"/>
        <v>8</v>
      </c>
      <c r="H443" s="367" t="str">
        <f t="shared" si="393"/>
        <v>saturn</v>
      </c>
      <c r="I443" s="369">
        <f t="shared" si="396"/>
        <v>40763.75</v>
      </c>
      <c r="J443" s="377">
        <f t="shared" si="394"/>
        <v>49</v>
      </c>
      <c r="K443" s="369">
        <f t="shared" si="400"/>
        <v>40812.75</v>
      </c>
      <c r="L443" s="360">
        <f t="shared" si="397"/>
        <v>387</v>
      </c>
      <c r="N443" s="358">
        <f>SUM(J435:J443)</f>
        <v>306</v>
      </c>
      <c r="O443" s="381"/>
    </row>
    <row r="444" spans="1:15">
      <c r="A444" s="399"/>
      <c r="B444" s="386"/>
      <c r="C444" s="387">
        <f>C434</f>
        <v>3</v>
      </c>
      <c r="D444" s="373" t="str">
        <f>D434</f>
        <v>sun</v>
      </c>
      <c r="E444" s="393">
        <f>IF(E434+1&gt;9,E434+1-9,E434+1)</f>
        <v>1</v>
      </c>
      <c r="F444" s="389" t="str">
        <f t="shared" si="401"/>
        <v>ketu</v>
      </c>
      <c r="G444" s="389"/>
      <c r="H444" s="389"/>
      <c r="I444" s="390">
        <f>K434</f>
        <v>40808.75</v>
      </c>
      <c r="J444" s="373">
        <f>ROUND(J$373*VLOOKUP(E444,$A$848:$E$856,5,FALSE),0)</f>
        <v>131</v>
      </c>
      <c r="K444" s="390">
        <f>I444+J444</f>
        <v>40939.75</v>
      </c>
      <c r="L444" s="400"/>
      <c r="M444" s="373"/>
      <c r="N444" s="373"/>
      <c r="O444" s="381"/>
    </row>
    <row r="445" spans="1:15">
      <c r="A445" s="355">
        <f>A443+1</f>
        <v>388</v>
      </c>
      <c r="B445" s="372">
        <f>K445</f>
        <v>40820.75</v>
      </c>
      <c r="C445" s="357">
        <f t="shared" si="353"/>
        <v>3</v>
      </c>
      <c r="D445" s="358" t="str">
        <f t="shared" si="354"/>
        <v>sun</v>
      </c>
      <c r="E445" s="368">
        <f t="shared" ref="E445:E453" si="402">E444</f>
        <v>1</v>
      </c>
      <c r="F445" s="367" t="str">
        <f t="shared" si="401"/>
        <v>ketu</v>
      </c>
      <c r="G445" s="367">
        <f>E445</f>
        <v>1</v>
      </c>
      <c r="H445" s="367" t="str">
        <f t="shared" ref="H445:H453" si="403">VLOOKUP(G445,$A$848:$B$856,2,FALSE)</f>
        <v>ketu</v>
      </c>
      <c r="I445" s="369">
        <f>K443</f>
        <v>40812.75</v>
      </c>
      <c r="J445" s="377">
        <f t="shared" ref="J445:J453" si="404">ROUND(J$444*VLOOKUP(G445,$A$848:$E$856,5,FALSE),0)</f>
        <v>8</v>
      </c>
      <c r="K445" s="369">
        <f>I445+J445</f>
        <v>40820.75</v>
      </c>
      <c r="L445" s="360">
        <f>L443+1</f>
        <v>388</v>
      </c>
      <c r="O445" s="381"/>
    </row>
    <row r="446" spans="1:15">
      <c r="A446" s="355">
        <f t="shared" ref="A446:A453" si="405">A445+1</f>
        <v>389</v>
      </c>
      <c r="B446" s="372">
        <f>K446</f>
        <v>40842.75</v>
      </c>
      <c r="C446" s="357">
        <f t="shared" si="353"/>
        <v>3</v>
      </c>
      <c r="D446" s="358" t="str">
        <f t="shared" si="354"/>
        <v>sun</v>
      </c>
      <c r="E446" s="368">
        <f t="shared" si="402"/>
        <v>1</v>
      </c>
      <c r="F446" s="367" t="str">
        <f t="shared" si="401"/>
        <v>ketu</v>
      </c>
      <c r="G446" s="367">
        <f>IF(G445+1&gt;9,G445+1-9,G445+1)</f>
        <v>2</v>
      </c>
      <c r="H446" s="367" t="str">
        <f t="shared" si="403"/>
        <v>venus</v>
      </c>
      <c r="I446" s="369">
        <f t="shared" ref="I446:I453" si="406">K445</f>
        <v>40820.75</v>
      </c>
      <c r="J446" s="377">
        <f t="shared" si="404"/>
        <v>22</v>
      </c>
      <c r="K446" s="369">
        <f>I446+J446</f>
        <v>40842.75</v>
      </c>
      <c r="L446" s="360">
        <f t="shared" ref="L446:L453" si="407">L445+1</f>
        <v>389</v>
      </c>
      <c r="O446" s="381"/>
    </row>
    <row r="447" spans="1:15">
      <c r="A447" s="355">
        <f t="shared" si="405"/>
        <v>390</v>
      </c>
      <c r="B447" s="372">
        <f t="shared" ref="B447:B453" si="408">K447</f>
        <v>40849.75</v>
      </c>
      <c r="C447" s="357">
        <f t="shared" si="353"/>
        <v>3</v>
      </c>
      <c r="D447" s="358" t="str">
        <f t="shared" si="354"/>
        <v>sun</v>
      </c>
      <c r="E447" s="368">
        <f t="shared" si="402"/>
        <v>1</v>
      </c>
      <c r="F447" s="367" t="str">
        <f t="shared" si="401"/>
        <v>ketu</v>
      </c>
      <c r="G447" s="367">
        <f t="shared" ref="G447:G453" si="409">IF(G446+1&gt;9,G446+1-9,G446+1)</f>
        <v>3</v>
      </c>
      <c r="H447" s="367" t="str">
        <f t="shared" si="403"/>
        <v>sun</v>
      </c>
      <c r="I447" s="369">
        <f t="shared" si="406"/>
        <v>40842.75</v>
      </c>
      <c r="J447" s="377">
        <f t="shared" si="404"/>
        <v>7</v>
      </c>
      <c r="K447" s="369">
        <f t="shared" ref="K447:K453" si="410">I447+J447</f>
        <v>40849.75</v>
      </c>
      <c r="L447" s="360">
        <f t="shared" si="407"/>
        <v>390</v>
      </c>
      <c r="O447" s="381"/>
    </row>
    <row r="448" spans="1:15">
      <c r="A448" s="355">
        <f t="shared" si="405"/>
        <v>391</v>
      </c>
      <c r="B448" s="372">
        <f t="shared" si="408"/>
        <v>40859.75</v>
      </c>
      <c r="C448" s="357">
        <f t="shared" si="353"/>
        <v>3</v>
      </c>
      <c r="D448" s="358" t="str">
        <f t="shared" si="354"/>
        <v>sun</v>
      </c>
      <c r="E448" s="368">
        <f t="shared" si="402"/>
        <v>1</v>
      </c>
      <c r="F448" s="367" t="str">
        <f t="shared" si="401"/>
        <v>ketu</v>
      </c>
      <c r="G448" s="367">
        <f t="shared" si="409"/>
        <v>4</v>
      </c>
      <c r="H448" s="367" t="str">
        <f t="shared" si="403"/>
        <v>moon</v>
      </c>
      <c r="I448" s="369">
        <f t="shared" si="406"/>
        <v>40849.75</v>
      </c>
      <c r="J448" s="377">
        <f t="shared" si="404"/>
        <v>10</v>
      </c>
      <c r="K448" s="369">
        <f t="shared" si="410"/>
        <v>40859.75</v>
      </c>
      <c r="L448" s="360">
        <f t="shared" si="407"/>
        <v>391</v>
      </c>
      <c r="O448" s="381"/>
    </row>
    <row r="449" spans="1:16">
      <c r="A449" s="355">
        <f t="shared" si="405"/>
        <v>392</v>
      </c>
      <c r="B449" s="372">
        <f t="shared" si="408"/>
        <v>40867.75</v>
      </c>
      <c r="C449" s="357">
        <f t="shared" si="353"/>
        <v>3</v>
      </c>
      <c r="D449" s="358" t="str">
        <f t="shared" si="354"/>
        <v>sun</v>
      </c>
      <c r="E449" s="368">
        <f t="shared" si="402"/>
        <v>1</v>
      </c>
      <c r="F449" s="367" t="str">
        <f t="shared" si="401"/>
        <v>ketu</v>
      </c>
      <c r="G449" s="367">
        <f t="shared" si="409"/>
        <v>5</v>
      </c>
      <c r="H449" s="367" t="str">
        <f t="shared" si="403"/>
        <v>mars</v>
      </c>
      <c r="I449" s="369">
        <f t="shared" si="406"/>
        <v>40859.75</v>
      </c>
      <c r="J449" s="377">
        <f t="shared" si="404"/>
        <v>8</v>
      </c>
      <c r="K449" s="369">
        <f t="shared" si="410"/>
        <v>40867.75</v>
      </c>
      <c r="L449" s="360">
        <f t="shared" si="407"/>
        <v>392</v>
      </c>
      <c r="O449" s="381"/>
    </row>
    <row r="450" spans="1:16">
      <c r="A450" s="355">
        <f t="shared" si="405"/>
        <v>393</v>
      </c>
      <c r="B450" s="372">
        <f t="shared" si="408"/>
        <v>40887.75</v>
      </c>
      <c r="C450" s="357">
        <f t="shared" si="353"/>
        <v>3</v>
      </c>
      <c r="D450" s="358" t="str">
        <f t="shared" si="354"/>
        <v>sun</v>
      </c>
      <c r="E450" s="368">
        <f t="shared" si="402"/>
        <v>1</v>
      </c>
      <c r="F450" s="367" t="str">
        <f t="shared" si="401"/>
        <v>ketu</v>
      </c>
      <c r="G450" s="367">
        <f t="shared" si="409"/>
        <v>6</v>
      </c>
      <c r="H450" s="367" t="str">
        <f t="shared" si="403"/>
        <v>rahu</v>
      </c>
      <c r="I450" s="369">
        <f t="shared" si="406"/>
        <v>40867.75</v>
      </c>
      <c r="J450" s="377">
        <f t="shared" si="404"/>
        <v>20</v>
      </c>
      <c r="K450" s="369">
        <f t="shared" si="410"/>
        <v>40887.75</v>
      </c>
      <c r="L450" s="360">
        <f t="shared" si="407"/>
        <v>393</v>
      </c>
      <c r="O450" s="381"/>
    </row>
    <row r="451" spans="1:16">
      <c r="A451" s="355">
        <f t="shared" si="405"/>
        <v>394</v>
      </c>
      <c r="B451" s="372">
        <f t="shared" si="408"/>
        <v>40904.75</v>
      </c>
      <c r="C451" s="357">
        <f t="shared" si="353"/>
        <v>3</v>
      </c>
      <c r="D451" s="358" t="str">
        <f t="shared" si="354"/>
        <v>sun</v>
      </c>
      <c r="E451" s="368">
        <f t="shared" si="402"/>
        <v>1</v>
      </c>
      <c r="F451" s="367" t="str">
        <f t="shared" si="401"/>
        <v>ketu</v>
      </c>
      <c r="G451" s="367">
        <f t="shared" si="409"/>
        <v>7</v>
      </c>
      <c r="H451" s="367" t="str">
        <f t="shared" si="403"/>
        <v>jupiter</v>
      </c>
      <c r="I451" s="369">
        <f t="shared" si="406"/>
        <v>40887.75</v>
      </c>
      <c r="J451" s="377">
        <f t="shared" si="404"/>
        <v>17</v>
      </c>
      <c r="K451" s="369">
        <f t="shared" si="410"/>
        <v>40904.75</v>
      </c>
      <c r="L451" s="360">
        <f t="shared" si="407"/>
        <v>394</v>
      </c>
      <c r="O451" s="381"/>
    </row>
    <row r="452" spans="1:16">
      <c r="A452" s="355">
        <f t="shared" si="405"/>
        <v>395</v>
      </c>
      <c r="B452" s="372">
        <f t="shared" si="408"/>
        <v>40925.75</v>
      </c>
      <c r="C452" s="357">
        <f t="shared" si="353"/>
        <v>3</v>
      </c>
      <c r="D452" s="358" t="str">
        <f t="shared" si="354"/>
        <v>sun</v>
      </c>
      <c r="E452" s="368">
        <f t="shared" si="402"/>
        <v>1</v>
      </c>
      <c r="F452" s="367" t="str">
        <f t="shared" si="401"/>
        <v>ketu</v>
      </c>
      <c r="G452" s="367">
        <f t="shared" si="409"/>
        <v>8</v>
      </c>
      <c r="H452" s="367" t="str">
        <f t="shared" si="403"/>
        <v>saturn</v>
      </c>
      <c r="I452" s="369">
        <f t="shared" si="406"/>
        <v>40904.75</v>
      </c>
      <c r="J452" s="377">
        <f t="shared" si="404"/>
        <v>21</v>
      </c>
      <c r="K452" s="369">
        <f t="shared" si="410"/>
        <v>40925.75</v>
      </c>
      <c r="L452" s="360">
        <f t="shared" si="407"/>
        <v>395</v>
      </c>
      <c r="O452" s="381"/>
    </row>
    <row r="453" spans="1:16">
      <c r="A453" s="355">
        <f t="shared" si="405"/>
        <v>396</v>
      </c>
      <c r="B453" s="372">
        <f t="shared" si="408"/>
        <v>40943.75</v>
      </c>
      <c r="C453" s="357">
        <f t="shared" si="353"/>
        <v>3</v>
      </c>
      <c r="D453" s="358" t="str">
        <f t="shared" si="354"/>
        <v>sun</v>
      </c>
      <c r="E453" s="368">
        <f t="shared" si="402"/>
        <v>1</v>
      </c>
      <c r="F453" s="367" t="str">
        <f t="shared" si="401"/>
        <v>ketu</v>
      </c>
      <c r="G453" s="367">
        <f t="shared" si="409"/>
        <v>9</v>
      </c>
      <c r="H453" s="367" t="str">
        <f t="shared" si="403"/>
        <v>mercury</v>
      </c>
      <c r="I453" s="369">
        <f t="shared" si="406"/>
        <v>40925.75</v>
      </c>
      <c r="J453" s="377">
        <f t="shared" si="404"/>
        <v>18</v>
      </c>
      <c r="K453" s="369">
        <f t="shared" si="410"/>
        <v>40943.75</v>
      </c>
      <c r="L453" s="360">
        <f t="shared" si="407"/>
        <v>396</v>
      </c>
      <c r="N453" s="358">
        <f>SUM(J445:J453)</f>
        <v>131</v>
      </c>
      <c r="O453" s="381"/>
    </row>
    <row r="454" spans="1:16">
      <c r="A454" s="399"/>
      <c r="B454" s="386"/>
      <c r="C454" s="387">
        <f>C444</f>
        <v>3</v>
      </c>
      <c r="D454" s="373" t="str">
        <f>D444</f>
        <v>sun</v>
      </c>
      <c r="E454" s="393">
        <f>IF(E444+1&gt;9,E444+1-9,E444+1)</f>
        <v>2</v>
      </c>
      <c r="F454" s="389" t="str">
        <f t="shared" si="401"/>
        <v>venus</v>
      </c>
      <c r="G454" s="389"/>
      <c r="H454" s="389"/>
      <c r="I454" s="390">
        <f>K444</f>
        <v>40939.75</v>
      </c>
      <c r="J454" s="373">
        <f>ROUND(J$373*VLOOKUP(E454,$A$848:$E$856,5,FALSE),0)</f>
        <v>373</v>
      </c>
      <c r="K454" s="390">
        <f>I454+J454</f>
        <v>41312.75</v>
      </c>
      <c r="L454" s="400"/>
      <c r="M454" s="373"/>
      <c r="N454" s="373"/>
      <c r="O454" s="381"/>
    </row>
    <row r="455" spans="1:16">
      <c r="A455" s="355">
        <f>A453+1</f>
        <v>397</v>
      </c>
      <c r="B455" s="372">
        <f>K455</f>
        <v>41006.75</v>
      </c>
      <c r="C455" s="357">
        <f t="shared" si="353"/>
        <v>3</v>
      </c>
      <c r="D455" s="358" t="str">
        <f t="shared" si="354"/>
        <v>sun</v>
      </c>
      <c r="E455" s="368">
        <f t="shared" ref="E455:E463" si="411">E454</f>
        <v>2</v>
      </c>
      <c r="F455" s="367" t="str">
        <f t="shared" si="401"/>
        <v>venus</v>
      </c>
      <c r="G455" s="367">
        <f>E455</f>
        <v>2</v>
      </c>
      <c r="H455" s="367" t="str">
        <f t="shared" ref="H455:H463" si="412">VLOOKUP(G455,$A$848:$B$856,2,FALSE)</f>
        <v>venus</v>
      </c>
      <c r="I455" s="369">
        <f>K453</f>
        <v>40943.75</v>
      </c>
      <c r="J455" s="377">
        <f t="shared" ref="J455:J463" si="413">ROUND(J$454*VLOOKUP(G455,$A$848:$E$856,5,FALSE),0)</f>
        <v>63</v>
      </c>
      <c r="K455" s="369">
        <f>I455+J455</f>
        <v>41006.75</v>
      </c>
      <c r="L455" s="360">
        <f>L453+1</f>
        <v>397</v>
      </c>
      <c r="O455" s="381"/>
    </row>
    <row r="456" spans="1:16">
      <c r="A456" s="355">
        <f t="shared" ref="A456:A463" si="414">A455+1</f>
        <v>398</v>
      </c>
      <c r="B456" s="372">
        <f>K456</f>
        <v>41025.75</v>
      </c>
      <c r="C456" s="357">
        <f t="shared" si="353"/>
        <v>3</v>
      </c>
      <c r="D456" s="358" t="str">
        <f t="shared" si="354"/>
        <v>sun</v>
      </c>
      <c r="E456" s="368">
        <f t="shared" si="411"/>
        <v>2</v>
      </c>
      <c r="F456" s="367" t="str">
        <f t="shared" si="401"/>
        <v>venus</v>
      </c>
      <c r="G456" s="367">
        <f>IF(G455+1&gt;9,G455+1-9,G455+1)</f>
        <v>3</v>
      </c>
      <c r="H456" s="367" t="str">
        <f t="shared" si="412"/>
        <v>sun</v>
      </c>
      <c r="I456" s="369">
        <f t="shared" ref="I456:I463" si="415">K455</f>
        <v>41006.75</v>
      </c>
      <c r="J456" s="377">
        <f t="shared" si="413"/>
        <v>19</v>
      </c>
      <c r="K456" s="369">
        <f>I456+J456</f>
        <v>41025.75</v>
      </c>
      <c r="L456" s="360">
        <f t="shared" ref="L456:L463" si="416">L455+1</f>
        <v>398</v>
      </c>
      <c r="O456" s="381"/>
    </row>
    <row r="457" spans="1:16">
      <c r="A457" s="355">
        <f t="shared" si="414"/>
        <v>399</v>
      </c>
      <c r="B457" s="372">
        <f t="shared" ref="B457:B463" si="417">K457</f>
        <v>41055.75</v>
      </c>
      <c r="C457" s="357">
        <f t="shared" si="353"/>
        <v>3</v>
      </c>
      <c r="D457" s="358" t="str">
        <f t="shared" si="354"/>
        <v>sun</v>
      </c>
      <c r="E457" s="368">
        <f t="shared" si="411"/>
        <v>2</v>
      </c>
      <c r="F457" s="367" t="str">
        <f t="shared" si="401"/>
        <v>venus</v>
      </c>
      <c r="G457" s="367">
        <f t="shared" ref="G457:G463" si="418">IF(G456+1&gt;9,G456+1-9,G456+1)</f>
        <v>4</v>
      </c>
      <c r="H457" s="367" t="str">
        <f t="shared" si="412"/>
        <v>moon</v>
      </c>
      <c r="I457" s="369">
        <f t="shared" si="415"/>
        <v>41025.75</v>
      </c>
      <c r="J457" s="377">
        <f t="shared" si="413"/>
        <v>30</v>
      </c>
      <c r="K457" s="369">
        <f t="shared" ref="K457:K463" si="419">I457+J457</f>
        <v>41055.75</v>
      </c>
      <c r="L457" s="360">
        <f t="shared" si="416"/>
        <v>399</v>
      </c>
      <c r="O457" s="381"/>
    </row>
    <row r="458" spans="1:16">
      <c r="A458" s="355">
        <f t="shared" si="414"/>
        <v>400</v>
      </c>
      <c r="B458" s="372">
        <f t="shared" si="417"/>
        <v>41077.75</v>
      </c>
      <c r="C458" s="357">
        <f t="shared" si="353"/>
        <v>3</v>
      </c>
      <c r="D458" s="358" t="str">
        <f t="shared" si="354"/>
        <v>sun</v>
      </c>
      <c r="E458" s="368">
        <f t="shared" si="411"/>
        <v>2</v>
      </c>
      <c r="F458" s="367" t="str">
        <f t="shared" si="401"/>
        <v>venus</v>
      </c>
      <c r="G458" s="367">
        <f t="shared" si="418"/>
        <v>5</v>
      </c>
      <c r="H458" s="367" t="str">
        <f t="shared" si="412"/>
        <v>mars</v>
      </c>
      <c r="I458" s="369">
        <f t="shared" si="415"/>
        <v>41055.75</v>
      </c>
      <c r="J458" s="377">
        <f t="shared" si="413"/>
        <v>22</v>
      </c>
      <c r="K458" s="369">
        <f t="shared" si="419"/>
        <v>41077.75</v>
      </c>
      <c r="L458" s="360">
        <f t="shared" si="416"/>
        <v>400</v>
      </c>
      <c r="O458" s="381"/>
    </row>
    <row r="459" spans="1:16">
      <c r="A459" s="355">
        <f t="shared" si="414"/>
        <v>401</v>
      </c>
      <c r="B459" s="372">
        <f t="shared" si="417"/>
        <v>41133.75</v>
      </c>
      <c r="C459" s="357">
        <f t="shared" si="353"/>
        <v>3</v>
      </c>
      <c r="D459" s="358" t="str">
        <f t="shared" si="354"/>
        <v>sun</v>
      </c>
      <c r="E459" s="368">
        <f t="shared" si="411"/>
        <v>2</v>
      </c>
      <c r="F459" s="367" t="str">
        <f t="shared" si="401"/>
        <v>venus</v>
      </c>
      <c r="G459" s="367">
        <f t="shared" si="418"/>
        <v>6</v>
      </c>
      <c r="H459" s="367" t="str">
        <f t="shared" si="412"/>
        <v>rahu</v>
      </c>
      <c r="I459" s="369">
        <f t="shared" si="415"/>
        <v>41077.75</v>
      </c>
      <c r="J459" s="377">
        <f t="shared" si="413"/>
        <v>56</v>
      </c>
      <c r="K459" s="369">
        <f t="shared" si="419"/>
        <v>41133.75</v>
      </c>
      <c r="L459" s="360">
        <f t="shared" si="416"/>
        <v>401</v>
      </c>
      <c r="O459" s="381"/>
    </row>
    <row r="460" spans="1:16">
      <c r="A460" s="355">
        <f t="shared" si="414"/>
        <v>402</v>
      </c>
      <c r="B460" s="372">
        <f t="shared" si="417"/>
        <v>41181.75</v>
      </c>
      <c r="C460" s="357">
        <f t="shared" si="353"/>
        <v>3</v>
      </c>
      <c r="D460" s="358" t="str">
        <f t="shared" si="354"/>
        <v>sun</v>
      </c>
      <c r="E460" s="368">
        <f t="shared" si="411"/>
        <v>2</v>
      </c>
      <c r="F460" s="367" t="str">
        <f t="shared" si="401"/>
        <v>venus</v>
      </c>
      <c r="G460" s="367">
        <f t="shared" si="418"/>
        <v>7</v>
      </c>
      <c r="H460" s="367" t="str">
        <f t="shared" si="412"/>
        <v>jupiter</v>
      </c>
      <c r="I460" s="369">
        <f t="shared" si="415"/>
        <v>41133.75</v>
      </c>
      <c r="J460" s="377">
        <f t="shared" si="413"/>
        <v>48</v>
      </c>
      <c r="K460" s="369">
        <f t="shared" si="419"/>
        <v>41181.75</v>
      </c>
      <c r="L460" s="360">
        <f t="shared" si="416"/>
        <v>402</v>
      </c>
      <c r="O460" s="381"/>
    </row>
    <row r="461" spans="1:16">
      <c r="A461" s="355">
        <f t="shared" si="414"/>
        <v>403</v>
      </c>
      <c r="B461" s="372">
        <f t="shared" si="417"/>
        <v>41241.75</v>
      </c>
      <c r="C461" s="357">
        <f t="shared" si="353"/>
        <v>3</v>
      </c>
      <c r="D461" s="358" t="str">
        <f t="shared" si="354"/>
        <v>sun</v>
      </c>
      <c r="E461" s="368">
        <f t="shared" si="411"/>
        <v>2</v>
      </c>
      <c r="F461" s="367" t="str">
        <f t="shared" si="401"/>
        <v>venus</v>
      </c>
      <c r="G461" s="367">
        <f t="shared" si="418"/>
        <v>8</v>
      </c>
      <c r="H461" s="367" t="str">
        <f t="shared" si="412"/>
        <v>saturn</v>
      </c>
      <c r="I461" s="369">
        <f t="shared" si="415"/>
        <v>41181.75</v>
      </c>
      <c r="J461" s="377">
        <f t="shared" si="413"/>
        <v>60</v>
      </c>
      <c r="K461" s="369">
        <f t="shared" si="419"/>
        <v>41241.75</v>
      </c>
      <c r="L461" s="360">
        <f t="shared" si="416"/>
        <v>403</v>
      </c>
      <c r="O461" s="381"/>
    </row>
    <row r="462" spans="1:16">
      <c r="A462" s="355">
        <f t="shared" si="414"/>
        <v>404</v>
      </c>
      <c r="B462" s="372">
        <f t="shared" si="417"/>
        <v>41293.75</v>
      </c>
      <c r="C462" s="357">
        <f t="shared" si="353"/>
        <v>3</v>
      </c>
      <c r="D462" s="358" t="str">
        <f t="shared" si="354"/>
        <v>sun</v>
      </c>
      <c r="E462" s="368">
        <f t="shared" si="411"/>
        <v>2</v>
      </c>
      <c r="F462" s="367" t="str">
        <f t="shared" si="401"/>
        <v>venus</v>
      </c>
      <c r="G462" s="367">
        <f t="shared" si="418"/>
        <v>9</v>
      </c>
      <c r="H462" s="367" t="str">
        <f t="shared" si="412"/>
        <v>mercury</v>
      </c>
      <c r="I462" s="369">
        <f t="shared" si="415"/>
        <v>41241.75</v>
      </c>
      <c r="J462" s="377">
        <f t="shared" si="413"/>
        <v>52</v>
      </c>
      <c r="K462" s="369">
        <f t="shared" si="419"/>
        <v>41293.75</v>
      </c>
      <c r="L462" s="360">
        <f t="shared" si="416"/>
        <v>404</v>
      </c>
      <c r="O462" s="381"/>
    </row>
    <row r="463" spans="1:16" ht="13.8" thickBot="1">
      <c r="A463" s="355">
        <f t="shared" si="414"/>
        <v>405</v>
      </c>
      <c r="B463" s="372">
        <f t="shared" si="417"/>
        <v>41315.75</v>
      </c>
      <c r="C463" s="357">
        <f t="shared" si="353"/>
        <v>3</v>
      </c>
      <c r="D463" s="358" t="str">
        <f t="shared" si="354"/>
        <v>sun</v>
      </c>
      <c r="E463" s="368">
        <f t="shared" si="411"/>
        <v>2</v>
      </c>
      <c r="F463" s="367" t="str">
        <f t="shared" si="401"/>
        <v>venus</v>
      </c>
      <c r="G463" s="367">
        <f t="shared" si="418"/>
        <v>1</v>
      </c>
      <c r="H463" s="367" t="str">
        <f t="shared" si="412"/>
        <v>ketu</v>
      </c>
      <c r="I463" s="369">
        <f t="shared" si="415"/>
        <v>41293.75</v>
      </c>
      <c r="J463" s="377">
        <f t="shared" si="413"/>
        <v>22</v>
      </c>
      <c r="K463" s="369">
        <f t="shared" si="419"/>
        <v>41315.75</v>
      </c>
      <c r="L463" s="360">
        <f t="shared" si="416"/>
        <v>405</v>
      </c>
      <c r="N463" s="358">
        <f>SUM(J455:J463)</f>
        <v>372</v>
      </c>
      <c r="O463" s="413" t="s">
        <v>554</v>
      </c>
      <c r="P463" s="413"/>
    </row>
    <row r="464" spans="1:16">
      <c r="A464" s="404"/>
      <c r="B464" s="405"/>
      <c r="C464" s="406">
        <f>IF(C373+1&gt;9,C373+1-9,C373+1)</f>
        <v>4</v>
      </c>
      <c r="D464" s="407" t="str">
        <f>VLOOKUP(C464,$A$848:$B$856,2,FALSE)</f>
        <v>moon</v>
      </c>
      <c r="E464" s="408"/>
      <c r="F464" s="383"/>
      <c r="G464" s="383"/>
      <c r="H464" s="383"/>
      <c r="I464" s="410">
        <f>K373</f>
        <v>41312.25</v>
      </c>
      <c r="J464" s="370">
        <f>VLOOKUP(C464,$A$848:$D$856,4,FALSE)</f>
        <v>3652.5</v>
      </c>
      <c r="K464" s="376">
        <f t="shared" ref="K464:K487" si="420">I464+J464</f>
        <v>44964.75</v>
      </c>
      <c r="L464" s="409"/>
      <c r="M464" s="376">
        <f>K373</f>
        <v>41312.25</v>
      </c>
      <c r="N464" s="370">
        <f>N383+N393+N403+N413+N423+N433+N443+N453+N463</f>
        <v>2195</v>
      </c>
      <c r="O464" s="413">
        <f>J373-N464</f>
        <v>-3.5</v>
      </c>
      <c r="P464" s="413">
        <f>K463-I464</f>
        <v>3.5</v>
      </c>
    </row>
    <row r="465" spans="1:15">
      <c r="A465" s="399"/>
      <c r="B465" s="386"/>
      <c r="C465" s="387">
        <f t="shared" ref="C465:C474" si="421">C464</f>
        <v>4</v>
      </c>
      <c r="D465" s="373" t="str">
        <f t="shared" ref="D465:D474" si="422">D464</f>
        <v>moon</v>
      </c>
      <c r="E465" s="388">
        <f t="shared" ref="E465:E474" si="423">C464</f>
        <v>4</v>
      </c>
      <c r="F465" s="389" t="str">
        <f t="shared" ref="F465:F496" si="424">VLOOKUP(E465,$A$848:$B$856,2,FALSE)</f>
        <v>moon</v>
      </c>
      <c r="G465" s="389"/>
      <c r="H465" s="389"/>
      <c r="I465" s="402">
        <f>I464</f>
        <v>41312.25</v>
      </c>
      <c r="J465" s="373">
        <f>ROUND(J$464*VLOOKUP(E465,$A$848:$E$856,5,FALSE),0)</f>
        <v>292</v>
      </c>
      <c r="K465" s="390">
        <f t="shared" si="420"/>
        <v>41604.25</v>
      </c>
      <c r="L465" s="400"/>
      <c r="M465" s="373"/>
      <c r="N465" s="373"/>
      <c r="O465" s="381"/>
    </row>
    <row r="466" spans="1:15" ht="13.8" thickBot="1">
      <c r="A466" s="355">
        <f>A463+1</f>
        <v>406</v>
      </c>
      <c r="B466" s="372">
        <f t="shared" ref="B466:B474" si="425">K466</f>
        <v>41335.25</v>
      </c>
      <c r="C466" s="357">
        <f t="shared" si="421"/>
        <v>4</v>
      </c>
      <c r="D466" s="358" t="str">
        <f t="shared" si="422"/>
        <v>moon</v>
      </c>
      <c r="E466" s="359">
        <f t="shared" si="423"/>
        <v>4</v>
      </c>
      <c r="F466" s="367" t="str">
        <f t="shared" si="424"/>
        <v>moon</v>
      </c>
      <c r="G466" s="367">
        <f>E466</f>
        <v>4</v>
      </c>
      <c r="H466" s="367" t="str">
        <f t="shared" ref="H466:H474" si="426">VLOOKUP(G466,$A$848:$B$856,2,FALSE)</f>
        <v>moon</v>
      </c>
      <c r="I466" s="403">
        <f>I464</f>
        <v>41312.25</v>
      </c>
      <c r="J466" s="377">
        <f t="shared" ref="J466:J474" si="427">ROUND(J$465*VLOOKUP(G466,$A$848:$E$856,5,FALSE),0)</f>
        <v>23</v>
      </c>
      <c r="K466" s="369">
        <f t="shared" si="420"/>
        <v>41335.25</v>
      </c>
      <c r="L466" s="360">
        <f>L463+1</f>
        <v>406</v>
      </c>
      <c r="O466" s="381"/>
    </row>
    <row r="467" spans="1:15">
      <c r="A467" s="355">
        <f t="shared" ref="A467:A474" si="428">A466+1</f>
        <v>407</v>
      </c>
      <c r="B467" s="372">
        <f t="shared" si="425"/>
        <v>41353.25</v>
      </c>
      <c r="C467" s="357">
        <f t="shared" si="421"/>
        <v>4</v>
      </c>
      <c r="D467" s="358" t="str">
        <f t="shared" si="422"/>
        <v>moon</v>
      </c>
      <c r="E467" s="359">
        <f t="shared" si="423"/>
        <v>4</v>
      </c>
      <c r="F467" s="367" t="str">
        <f t="shared" si="424"/>
        <v>moon</v>
      </c>
      <c r="G467" s="367">
        <f>IF(G466+1&gt;9,G466+1-9,G466+1)</f>
        <v>5</v>
      </c>
      <c r="H467" s="367" t="str">
        <f t="shared" si="426"/>
        <v>mars</v>
      </c>
      <c r="I467" s="369">
        <f t="shared" ref="I467:I474" si="429">K466</f>
        <v>41335.25</v>
      </c>
      <c r="J467" s="377">
        <f t="shared" si="427"/>
        <v>18</v>
      </c>
      <c r="K467" s="369">
        <f t="shared" si="420"/>
        <v>41353.25</v>
      </c>
      <c r="L467" s="360">
        <f t="shared" ref="L467:L474" si="430">L466+1</f>
        <v>407</v>
      </c>
      <c r="O467" s="381"/>
    </row>
    <row r="468" spans="1:15">
      <c r="A468" s="355">
        <f t="shared" si="428"/>
        <v>408</v>
      </c>
      <c r="B468" s="372">
        <f t="shared" si="425"/>
        <v>41397.25</v>
      </c>
      <c r="C468" s="357">
        <f t="shared" si="421"/>
        <v>4</v>
      </c>
      <c r="D468" s="358" t="str">
        <f t="shared" si="422"/>
        <v>moon</v>
      </c>
      <c r="E468" s="359">
        <f t="shared" si="423"/>
        <v>4</v>
      </c>
      <c r="F468" s="367" t="str">
        <f t="shared" si="424"/>
        <v>moon</v>
      </c>
      <c r="G468" s="367">
        <f t="shared" ref="G468:G474" si="431">IF(G467+1&gt;9,G467+1-9,G467+1)</f>
        <v>6</v>
      </c>
      <c r="H468" s="367" t="str">
        <f t="shared" si="426"/>
        <v>rahu</v>
      </c>
      <c r="I468" s="369">
        <f t="shared" si="429"/>
        <v>41353.25</v>
      </c>
      <c r="J468" s="377">
        <f t="shared" si="427"/>
        <v>44</v>
      </c>
      <c r="K468" s="369">
        <f t="shared" si="420"/>
        <v>41397.25</v>
      </c>
      <c r="L468" s="360">
        <f t="shared" si="430"/>
        <v>408</v>
      </c>
      <c r="O468" s="381"/>
    </row>
    <row r="469" spans="1:15">
      <c r="A469" s="355">
        <f t="shared" si="428"/>
        <v>409</v>
      </c>
      <c r="B469" s="372">
        <f t="shared" si="425"/>
        <v>41435.25</v>
      </c>
      <c r="C469" s="357">
        <f t="shared" si="421"/>
        <v>4</v>
      </c>
      <c r="D469" s="358" t="str">
        <f t="shared" si="422"/>
        <v>moon</v>
      </c>
      <c r="E469" s="359">
        <f t="shared" si="423"/>
        <v>4</v>
      </c>
      <c r="F469" s="367" t="str">
        <f t="shared" si="424"/>
        <v>moon</v>
      </c>
      <c r="G469" s="367">
        <f t="shared" si="431"/>
        <v>7</v>
      </c>
      <c r="H469" s="367" t="str">
        <f t="shared" si="426"/>
        <v>jupiter</v>
      </c>
      <c r="I469" s="369">
        <f t="shared" si="429"/>
        <v>41397.25</v>
      </c>
      <c r="J469" s="377">
        <f t="shared" si="427"/>
        <v>38</v>
      </c>
      <c r="K469" s="369">
        <f t="shared" si="420"/>
        <v>41435.25</v>
      </c>
      <c r="L469" s="360">
        <f t="shared" si="430"/>
        <v>409</v>
      </c>
      <c r="O469" s="381"/>
    </row>
    <row r="470" spans="1:15">
      <c r="A470" s="355">
        <f t="shared" si="428"/>
        <v>410</v>
      </c>
      <c r="B470" s="372">
        <f t="shared" si="425"/>
        <v>41482.25</v>
      </c>
      <c r="C470" s="357">
        <f t="shared" si="421"/>
        <v>4</v>
      </c>
      <c r="D470" s="358" t="str">
        <f t="shared" si="422"/>
        <v>moon</v>
      </c>
      <c r="E470" s="359">
        <f t="shared" si="423"/>
        <v>4</v>
      </c>
      <c r="F470" s="367" t="str">
        <f t="shared" si="424"/>
        <v>moon</v>
      </c>
      <c r="G470" s="367">
        <f t="shared" si="431"/>
        <v>8</v>
      </c>
      <c r="H470" s="367" t="str">
        <f t="shared" si="426"/>
        <v>saturn</v>
      </c>
      <c r="I470" s="369">
        <f t="shared" si="429"/>
        <v>41435.25</v>
      </c>
      <c r="J470" s="377">
        <f t="shared" si="427"/>
        <v>47</v>
      </c>
      <c r="K470" s="369">
        <f t="shared" si="420"/>
        <v>41482.25</v>
      </c>
      <c r="L470" s="360">
        <f t="shared" si="430"/>
        <v>410</v>
      </c>
      <c r="O470" s="381"/>
    </row>
    <row r="471" spans="1:15">
      <c r="A471" s="355">
        <f t="shared" si="428"/>
        <v>411</v>
      </c>
      <c r="B471" s="372">
        <f t="shared" si="425"/>
        <v>41523.25</v>
      </c>
      <c r="C471" s="357">
        <f t="shared" si="421"/>
        <v>4</v>
      </c>
      <c r="D471" s="358" t="str">
        <f t="shared" si="422"/>
        <v>moon</v>
      </c>
      <c r="E471" s="359">
        <f t="shared" si="423"/>
        <v>4</v>
      </c>
      <c r="F471" s="367" t="str">
        <f t="shared" si="424"/>
        <v>moon</v>
      </c>
      <c r="G471" s="367">
        <f t="shared" si="431"/>
        <v>9</v>
      </c>
      <c r="H471" s="367" t="str">
        <f t="shared" si="426"/>
        <v>mercury</v>
      </c>
      <c r="I471" s="369">
        <f t="shared" si="429"/>
        <v>41482.25</v>
      </c>
      <c r="J471" s="377">
        <f t="shared" si="427"/>
        <v>41</v>
      </c>
      <c r="K471" s="369">
        <f t="shared" si="420"/>
        <v>41523.25</v>
      </c>
      <c r="L471" s="360">
        <f t="shared" si="430"/>
        <v>411</v>
      </c>
      <c r="O471" s="381"/>
    </row>
    <row r="472" spans="1:15">
      <c r="A472" s="355">
        <f t="shared" si="428"/>
        <v>412</v>
      </c>
      <c r="B472" s="372">
        <f t="shared" si="425"/>
        <v>41541.25</v>
      </c>
      <c r="C472" s="357">
        <f t="shared" si="421"/>
        <v>4</v>
      </c>
      <c r="D472" s="358" t="str">
        <f t="shared" si="422"/>
        <v>moon</v>
      </c>
      <c r="E472" s="359">
        <f t="shared" si="423"/>
        <v>4</v>
      </c>
      <c r="F472" s="367" t="str">
        <f t="shared" si="424"/>
        <v>moon</v>
      </c>
      <c r="G472" s="367">
        <f t="shared" si="431"/>
        <v>1</v>
      </c>
      <c r="H472" s="367" t="str">
        <f t="shared" si="426"/>
        <v>ketu</v>
      </c>
      <c r="I472" s="369">
        <f t="shared" si="429"/>
        <v>41523.25</v>
      </c>
      <c r="J472" s="377">
        <f t="shared" si="427"/>
        <v>18</v>
      </c>
      <c r="K472" s="369">
        <f t="shared" si="420"/>
        <v>41541.25</v>
      </c>
      <c r="L472" s="360">
        <f t="shared" si="430"/>
        <v>412</v>
      </c>
      <c r="O472" s="381"/>
    </row>
    <row r="473" spans="1:15">
      <c r="A473" s="355">
        <f t="shared" si="428"/>
        <v>413</v>
      </c>
      <c r="B473" s="372">
        <f t="shared" si="425"/>
        <v>41591.25</v>
      </c>
      <c r="C473" s="357">
        <f t="shared" si="421"/>
        <v>4</v>
      </c>
      <c r="D473" s="358" t="str">
        <f t="shared" si="422"/>
        <v>moon</v>
      </c>
      <c r="E473" s="359">
        <f t="shared" si="423"/>
        <v>4</v>
      </c>
      <c r="F473" s="367" t="str">
        <f t="shared" si="424"/>
        <v>moon</v>
      </c>
      <c r="G473" s="367">
        <f t="shared" si="431"/>
        <v>2</v>
      </c>
      <c r="H473" s="367" t="str">
        <f t="shared" si="426"/>
        <v>venus</v>
      </c>
      <c r="I473" s="369">
        <f t="shared" si="429"/>
        <v>41541.25</v>
      </c>
      <c r="J473" s="377">
        <f t="shared" si="427"/>
        <v>50</v>
      </c>
      <c r="K473" s="369">
        <f t="shared" si="420"/>
        <v>41591.25</v>
      </c>
      <c r="L473" s="360">
        <f t="shared" si="430"/>
        <v>413</v>
      </c>
      <c r="O473" s="381"/>
    </row>
    <row r="474" spans="1:15">
      <c r="A474" s="355">
        <f t="shared" si="428"/>
        <v>414</v>
      </c>
      <c r="B474" s="372">
        <f t="shared" si="425"/>
        <v>41606.25</v>
      </c>
      <c r="C474" s="357">
        <f t="shared" si="421"/>
        <v>4</v>
      </c>
      <c r="D474" s="358" t="str">
        <f t="shared" si="422"/>
        <v>moon</v>
      </c>
      <c r="E474" s="359">
        <f t="shared" si="423"/>
        <v>4</v>
      </c>
      <c r="F474" s="367" t="str">
        <f t="shared" si="424"/>
        <v>moon</v>
      </c>
      <c r="G474" s="367">
        <f t="shared" si="431"/>
        <v>3</v>
      </c>
      <c r="H474" s="367" t="str">
        <f t="shared" si="426"/>
        <v>sun</v>
      </c>
      <c r="I474" s="369">
        <f t="shared" si="429"/>
        <v>41591.25</v>
      </c>
      <c r="J474" s="377">
        <f t="shared" si="427"/>
        <v>15</v>
      </c>
      <c r="K474" s="369">
        <f t="shared" si="420"/>
        <v>41606.25</v>
      </c>
      <c r="L474" s="360">
        <f t="shared" si="430"/>
        <v>414</v>
      </c>
      <c r="N474" s="358">
        <f>SUM(J466:J474)</f>
        <v>294</v>
      </c>
      <c r="O474" s="381"/>
    </row>
    <row r="475" spans="1:15">
      <c r="A475" s="399"/>
      <c r="B475" s="386"/>
      <c r="C475" s="387">
        <f>C465</f>
        <v>4</v>
      </c>
      <c r="D475" s="373" t="str">
        <f>D465</f>
        <v>moon</v>
      </c>
      <c r="E475" s="393">
        <f>IF(E465+1&gt;9,E465+1-9,E465+1)</f>
        <v>5</v>
      </c>
      <c r="F475" s="389" t="str">
        <f t="shared" si="424"/>
        <v>mars</v>
      </c>
      <c r="G475" s="389"/>
      <c r="H475" s="389"/>
      <c r="I475" s="390">
        <f>K465</f>
        <v>41604.25</v>
      </c>
      <c r="J475" s="373">
        <f>ROUND(J$464*VLOOKUP(E475,$A$848:$E$856,5,FALSE),0)</f>
        <v>219</v>
      </c>
      <c r="K475" s="390">
        <f t="shared" si="420"/>
        <v>41823.25</v>
      </c>
      <c r="L475" s="400"/>
      <c r="M475" s="373"/>
      <c r="N475" s="373"/>
      <c r="O475" s="381"/>
    </row>
    <row r="476" spans="1:15">
      <c r="A476" s="355">
        <f>A474+1</f>
        <v>415</v>
      </c>
      <c r="B476" s="372">
        <f>K476</f>
        <v>41619.25</v>
      </c>
      <c r="C476" s="357">
        <f t="shared" ref="C476:C484" si="432">C475</f>
        <v>4</v>
      </c>
      <c r="D476" s="358" t="str">
        <f t="shared" ref="D476:D484" si="433">D475</f>
        <v>moon</v>
      </c>
      <c r="E476" s="368">
        <f t="shared" ref="E476:E484" si="434">E475</f>
        <v>5</v>
      </c>
      <c r="F476" s="367" t="str">
        <f t="shared" si="424"/>
        <v>mars</v>
      </c>
      <c r="G476" s="367">
        <f>E476</f>
        <v>5</v>
      </c>
      <c r="H476" s="367" t="str">
        <f t="shared" ref="H476:H484" si="435">VLOOKUP(G476,$A$848:$B$856,2,FALSE)</f>
        <v>mars</v>
      </c>
      <c r="I476" s="369">
        <f>K474</f>
        <v>41606.25</v>
      </c>
      <c r="J476" s="377">
        <f t="shared" ref="J476:J484" si="436">ROUND(J$475*VLOOKUP(G476,$A$848:$E$856,5,FALSE),0)</f>
        <v>13</v>
      </c>
      <c r="K476" s="369">
        <f t="shared" si="420"/>
        <v>41619.25</v>
      </c>
      <c r="L476" s="360">
        <f>L474+1</f>
        <v>415</v>
      </c>
      <c r="O476" s="381"/>
    </row>
    <row r="477" spans="1:15">
      <c r="A477" s="355">
        <f t="shared" ref="A477:A484" si="437">A476+1</f>
        <v>416</v>
      </c>
      <c r="B477" s="372">
        <f>K477</f>
        <v>41652.25</v>
      </c>
      <c r="C477" s="357">
        <f t="shared" si="432"/>
        <v>4</v>
      </c>
      <c r="D477" s="358" t="str">
        <f t="shared" si="433"/>
        <v>moon</v>
      </c>
      <c r="E477" s="368">
        <f t="shared" si="434"/>
        <v>5</v>
      </c>
      <c r="F477" s="367" t="str">
        <f t="shared" si="424"/>
        <v>mars</v>
      </c>
      <c r="G477" s="367">
        <f>IF(G476+1&gt;9,G476+1-9,G476+1)</f>
        <v>6</v>
      </c>
      <c r="H477" s="367" t="str">
        <f t="shared" si="435"/>
        <v>rahu</v>
      </c>
      <c r="I477" s="369">
        <f t="shared" ref="I477:I484" si="438">K476</f>
        <v>41619.25</v>
      </c>
      <c r="J477" s="377">
        <f t="shared" si="436"/>
        <v>33</v>
      </c>
      <c r="K477" s="369">
        <f t="shared" si="420"/>
        <v>41652.25</v>
      </c>
      <c r="L477" s="360">
        <f t="shared" ref="L477:L484" si="439">L476+1</f>
        <v>416</v>
      </c>
      <c r="O477" s="381"/>
    </row>
    <row r="478" spans="1:15">
      <c r="A478" s="355">
        <f t="shared" si="437"/>
        <v>417</v>
      </c>
      <c r="B478" s="372">
        <f t="shared" ref="B478:B484" si="440">K478</f>
        <v>41680.25</v>
      </c>
      <c r="C478" s="357">
        <f t="shared" si="432"/>
        <v>4</v>
      </c>
      <c r="D478" s="358" t="str">
        <f t="shared" si="433"/>
        <v>moon</v>
      </c>
      <c r="E478" s="368">
        <f t="shared" si="434"/>
        <v>5</v>
      </c>
      <c r="F478" s="367" t="str">
        <f t="shared" si="424"/>
        <v>mars</v>
      </c>
      <c r="G478" s="367">
        <f t="shared" ref="G478:G484" si="441">IF(G477+1&gt;9,G477+1-9,G477+1)</f>
        <v>7</v>
      </c>
      <c r="H478" s="367" t="str">
        <f t="shared" si="435"/>
        <v>jupiter</v>
      </c>
      <c r="I478" s="369">
        <f t="shared" si="438"/>
        <v>41652.25</v>
      </c>
      <c r="J478" s="377">
        <f t="shared" si="436"/>
        <v>28</v>
      </c>
      <c r="K478" s="369">
        <f t="shared" si="420"/>
        <v>41680.25</v>
      </c>
      <c r="L478" s="360">
        <f t="shared" si="439"/>
        <v>417</v>
      </c>
      <c r="O478" s="381"/>
    </row>
    <row r="479" spans="1:15">
      <c r="A479" s="355">
        <f t="shared" si="437"/>
        <v>418</v>
      </c>
      <c r="B479" s="372">
        <f t="shared" si="440"/>
        <v>41715.25</v>
      </c>
      <c r="C479" s="357">
        <f t="shared" si="432"/>
        <v>4</v>
      </c>
      <c r="D479" s="358" t="str">
        <f t="shared" si="433"/>
        <v>moon</v>
      </c>
      <c r="E479" s="368">
        <f t="shared" si="434"/>
        <v>5</v>
      </c>
      <c r="F479" s="367" t="str">
        <f t="shared" si="424"/>
        <v>mars</v>
      </c>
      <c r="G479" s="367">
        <f t="shared" si="441"/>
        <v>8</v>
      </c>
      <c r="H479" s="367" t="str">
        <f t="shared" si="435"/>
        <v>saturn</v>
      </c>
      <c r="I479" s="369">
        <f t="shared" si="438"/>
        <v>41680.25</v>
      </c>
      <c r="J479" s="377">
        <f t="shared" si="436"/>
        <v>35</v>
      </c>
      <c r="K479" s="369">
        <f t="shared" si="420"/>
        <v>41715.25</v>
      </c>
      <c r="L479" s="360">
        <f t="shared" si="439"/>
        <v>418</v>
      </c>
      <c r="O479" s="381"/>
    </row>
    <row r="480" spans="1:15">
      <c r="A480" s="355">
        <f t="shared" si="437"/>
        <v>419</v>
      </c>
      <c r="B480" s="372">
        <f t="shared" si="440"/>
        <v>41746.25</v>
      </c>
      <c r="C480" s="357">
        <f t="shared" si="432"/>
        <v>4</v>
      </c>
      <c r="D480" s="358" t="str">
        <f t="shared" si="433"/>
        <v>moon</v>
      </c>
      <c r="E480" s="368">
        <f t="shared" si="434"/>
        <v>5</v>
      </c>
      <c r="F480" s="367" t="str">
        <f t="shared" si="424"/>
        <v>mars</v>
      </c>
      <c r="G480" s="367">
        <f t="shared" si="441"/>
        <v>9</v>
      </c>
      <c r="H480" s="367" t="str">
        <f t="shared" si="435"/>
        <v>mercury</v>
      </c>
      <c r="I480" s="369">
        <f t="shared" si="438"/>
        <v>41715.25</v>
      </c>
      <c r="J480" s="377">
        <f t="shared" si="436"/>
        <v>31</v>
      </c>
      <c r="K480" s="369">
        <f t="shared" si="420"/>
        <v>41746.25</v>
      </c>
      <c r="L480" s="360">
        <f t="shared" si="439"/>
        <v>419</v>
      </c>
      <c r="O480" s="381"/>
    </row>
    <row r="481" spans="1:15">
      <c r="A481" s="355">
        <f t="shared" si="437"/>
        <v>420</v>
      </c>
      <c r="B481" s="372">
        <f t="shared" si="440"/>
        <v>41759.25</v>
      </c>
      <c r="C481" s="357">
        <f t="shared" si="432"/>
        <v>4</v>
      </c>
      <c r="D481" s="358" t="str">
        <f t="shared" si="433"/>
        <v>moon</v>
      </c>
      <c r="E481" s="368">
        <f t="shared" si="434"/>
        <v>5</v>
      </c>
      <c r="F481" s="367" t="str">
        <f t="shared" si="424"/>
        <v>mars</v>
      </c>
      <c r="G481" s="367">
        <f t="shared" si="441"/>
        <v>1</v>
      </c>
      <c r="H481" s="367" t="str">
        <f t="shared" si="435"/>
        <v>ketu</v>
      </c>
      <c r="I481" s="369">
        <f t="shared" si="438"/>
        <v>41746.25</v>
      </c>
      <c r="J481" s="377">
        <f t="shared" si="436"/>
        <v>13</v>
      </c>
      <c r="K481" s="369">
        <f t="shared" si="420"/>
        <v>41759.25</v>
      </c>
      <c r="L481" s="360">
        <f t="shared" si="439"/>
        <v>420</v>
      </c>
      <c r="O481" s="381"/>
    </row>
    <row r="482" spans="1:15">
      <c r="A482" s="355">
        <f t="shared" si="437"/>
        <v>421</v>
      </c>
      <c r="B482" s="372">
        <f t="shared" si="440"/>
        <v>41796.25</v>
      </c>
      <c r="C482" s="357">
        <f t="shared" si="432"/>
        <v>4</v>
      </c>
      <c r="D482" s="358" t="str">
        <f t="shared" si="433"/>
        <v>moon</v>
      </c>
      <c r="E482" s="368">
        <f t="shared" si="434"/>
        <v>5</v>
      </c>
      <c r="F482" s="367" t="str">
        <f t="shared" si="424"/>
        <v>mars</v>
      </c>
      <c r="G482" s="367">
        <f t="shared" si="441"/>
        <v>2</v>
      </c>
      <c r="H482" s="367" t="str">
        <f t="shared" si="435"/>
        <v>venus</v>
      </c>
      <c r="I482" s="369">
        <f t="shared" si="438"/>
        <v>41759.25</v>
      </c>
      <c r="J482" s="377">
        <f t="shared" si="436"/>
        <v>37</v>
      </c>
      <c r="K482" s="369">
        <f t="shared" si="420"/>
        <v>41796.25</v>
      </c>
      <c r="L482" s="360">
        <f t="shared" si="439"/>
        <v>421</v>
      </c>
      <c r="O482" s="381"/>
    </row>
    <row r="483" spans="1:15">
      <c r="A483" s="355">
        <f t="shared" si="437"/>
        <v>422</v>
      </c>
      <c r="B483" s="372">
        <f t="shared" si="440"/>
        <v>41807.25</v>
      </c>
      <c r="C483" s="357">
        <f t="shared" si="432"/>
        <v>4</v>
      </c>
      <c r="D483" s="358" t="str">
        <f t="shared" si="433"/>
        <v>moon</v>
      </c>
      <c r="E483" s="368">
        <f t="shared" si="434"/>
        <v>5</v>
      </c>
      <c r="F483" s="367" t="str">
        <f t="shared" si="424"/>
        <v>mars</v>
      </c>
      <c r="G483" s="367">
        <f t="shared" si="441"/>
        <v>3</v>
      </c>
      <c r="H483" s="367" t="str">
        <f t="shared" si="435"/>
        <v>sun</v>
      </c>
      <c r="I483" s="369">
        <f t="shared" si="438"/>
        <v>41796.25</v>
      </c>
      <c r="J483" s="377">
        <f t="shared" si="436"/>
        <v>11</v>
      </c>
      <c r="K483" s="369">
        <f t="shared" si="420"/>
        <v>41807.25</v>
      </c>
      <c r="L483" s="360">
        <f t="shared" si="439"/>
        <v>422</v>
      </c>
      <c r="O483" s="381"/>
    </row>
    <row r="484" spans="1:15">
      <c r="A484" s="355">
        <f t="shared" si="437"/>
        <v>423</v>
      </c>
      <c r="B484" s="372">
        <f t="shared" si="440"/>
        <v>41825.25</v>
      </c>
      <c r="C484" s="357">
        <f t="shared" si="432"/>
        <v>4</v>
      </c>
      <c r="D484" s="358" t="str">
        <f t="shared" si="433"/>
        <v>moon</v>
      </c>
      <c r="E484" s="368">
        <f t="shared" si="434"/>
        <v>5</v>
      </c>
      <c r="F484" s="367" t="str">
        <f t="shared" si="424"/>
        <v>mars</v>
      </c>
      <c r="G484" s="367">
        <f t="shared" si="441"/>
        <v>4</v>
      </c>
      <c r="H484" s="367" t="str">
        <f t="shared" si="435"/>
        <v>moon</v>
      </c>
      <c r="I484" s="369">
        <f t="shared" si="438"/>
        <v>41807.25</v>
      </c>
      <c r="J484" s="377">
        <f t="shared" si="436"/>
        <v>18</v>
      </c>
      <c r="K484" s="369">
        <f t="shared" si="420"/>
        <v>41825.25</v>
      </c>
      <c r="L484" s="360">
        <f t="shared" si="439"/>
        <v>423</v>
      </c>
      <c r="N484" s="358">
        <f>SUM(J476:J484)</f>
        <v>219</v>
      </c>
      <c r="O484" s="381"/>
    </row>
    <row r="485" spans="1:15">
      <c r="A485" s="399"/>
      <c r="B485" s="386"/>
      <c r="C485" s="387">
        <f>C475</f>
        <v>4</v>
      </c>
      <c r="D485" s="373" t="str">
        <f>D475</f>
        <v>moon</v>
      </c>
      <c r="E485" s="393">
        <f>IF(E475+1&gt;9,E475+1-9,E475+1)</f>
        <v>6</v>
      </c>
      <c r="F485" s="389" t="str">
        <f t="shared" si="424"/>
        <v>rahu</v>
      </c>
      <c r="G485" s="389"/>
      <c r="H485" s="389"/>
      <c r="I485" s="390">
        <f>K475</f>
        <v>41823.25</v>
      </c>
      <c r="J485" s="373">
        <f>ROUND(J$464*VLOOKUP(E485,$A$848:$E$856,5,FALSE),0)</f>
        <v>548</v>
      </c>
      <c r="K485" s="390">
        <f t="shared" si="420"/>
        <v>42371.25</v>
      </c>
      <c r="L485" s="400"/>
      <c r="M485" s="373"/>
      <c r="N485" s="373"/>
      <c r="O485" s="381"/>
    </row>
    <row r="486" spans="1:15">
      <c r="A486" s="355">
        <f>A484+1</f>
        <v>424</v>
      </c>
      <c r="B486" s="372">
        <f>K486</f>
        <v>41907.25</v>
      </c>
      <c r="C486" s="357">
        <f t="shared" ref="C486:C554" si="442">C485</f>
        <v>4</v>
      </c>
      <c r="D486" s="358" t="str">
        <f t="shared" ref="D486:D554" si="443">D485</f>
        <v>moon</v>
      </c>
      <c r="E486" s="368">
        <f t="shared" ref="E486:E494" si="444">E485</f>
        <v>6</v>
      </c>
      <c r="F486" s="367" t="str">
        <f t="shared" si="424"/>
        <v>rahu</v>
      </c>
      <c r="G486" s="367">
        <f>E486</f>
        <v>6</v>
      </c>
      <c r="H486" s="367" t="str">
        <f t="shared" ref="H486:H494" si="445">VLOOKUP(G486,$A$848:$B$856,2,FALSE)</f>
        <v>rahu</v>
      </c>
      <c r="I486" s="369">
        <f>K484</f>
        <v>41825.25</v>
      </c>
      <c r="J486" s="377">
        <f t="shared" ref="J486:J494" si="446">ROUND(J$485*VLOOKUP(G486,$A$848:$E$856,5,FALSE),0)</f>
        <v>82</v>
      </c>
      <c r="K486" s="369">
        <f t="shared" si="420"/>
        <v>41907.25</v>
      </c>
      <c r="L486" s="360">
        <f>L484+1</f>
        <v>424</v>
      </c>
      <c r="O486" s="381"/>
    </row>
    <row r="487" spans="1:15">
      <c r="A487" s="355">
        <f t="shared" ref="A487:A494" si="447">A486+1</f>
        <v>425</v>
      </c>
      <c r="B487" s="372">
        <f>K487</f>
        <v>41978.25</v>
      </c>
      <c r="C487" s="357">
        <f t="shared" si="442"/>
        <v>4</v>
      </c>
      <c r="D487" s="358" t="str">
        <f t="shared" si="443"/>
        <v>moon</v>
      </c>
      <c r="E487" s="368">
        <f t="shared" si="444"/>
        <v>6</v>
      </c>
      <c r="F487" s="367" t="str">
        <f t="shared" si="424"/>
        <v>rahu</v>
      </c>
      <c r="G487" s="367">
        <f>IF(G486+1&gt;9,G486+1-9,G486+1)</f>
        <v>7</v>
      </c>
      <c r="H487" s="367" t="str">
        <f t="shared" si="445"/>
        <v>jupiter</v>
      </c>
      <c r="I487" s="369">
        <f t="shared" ref="I487:I494" si="448">K486</f>
        <v>41907.25</v>
      </c>
      <c r="J487" s="377">
        <f t="shared" si="446"/>
        <v>71</v>
      </c>
      <c r="K487" s="369">
        <f t="shared" si="420"/>
        <v>41978.25</v>
      </c>
      <c r="L487" s="360">
        <f t="shared" ref="L487:L494" si="449">L486+1</f>
        <v>425</v>
      </c>
      <c r="O487" s="381"/>
    </row>
    <row r="488" spans="1:15">
      <c r="A488" s="355">
        <f t="shared" si="447"/>
        <v>426</v>
      </c>
      <c r="B488" s="372">
        <f t="shared" ref="B488:B494" si="450">K488</f>
        <v>42066.25</v>
      </c>
      <c r="C488" s="357">
        <f t="shared" si="442"/>
        <v>4</v>
      </c>
      <c r="D488" s="358" t="str">
        <f t="shared" si="443"/>
        <v>moon</v>
      </c>
      <c r="E488" s="368">
        <f t="shared" si="444"/>
        <v>6</v>
      </c>
      <c r="F488" s="367" t="str">
        <f t="shared" si="424"/>
        <v>rahu</v>
      </c>
      <c r="G488" s="367">
        <f t="shared" ref="G488:G494" si="451">IF(G487+1&gt;9,G487+1-9,G487+1)</f>
        <v>8</v>
      </c>
      <c r="H488" s="367" t="str">
        <f t="shared" si="445"/>
        <v>saturn</v>
      </c>
      <c r="I488" s="369">
        <f t="shared" si="448"/>
        <v>41978.25</v>
      </c>
      <c r="J488" s="377">
        <f t="shared" si="446"/>
        <v>88</v>
      </c>
      <c r="K488" s="369">
        <f t="shared" ref="K488:K494" si="452">I488+J488</f>
        <v>42066.25</v>
      </c>
      <c r="L488" s="360">
        <f t="shared" si="449"/>
        <v>426</v>
      </c>
      <c r="O488" s="381"/>
    </row>
    <row r="489" spans="1:15">
      <c r="A489" s="355">
        <f t="shared" si="447"/>
        <v>427</v>
      </c>
      <c r="B489" s="372">
        <f t="shared" si="450"/>
        <v>42143.25</v>
      </c>
      <c r="C489" s="357">
        <f t="shared" si="442"/>
        <v>4</v>
      </c>
      <c r="D489" s="358" t="str">
        <f t="shared" si="443"/>
        <v>moon</v>
      </c>
      <c r="E489" s="368">
        <f t="shared" si="444"/>
        <v>6</v>
      </c>
      <c r="F489" s="367" t="str">
        <f t="shared" si="424"/>
        <v>rahu</v>
      </c>
      <c r="G489" s="367">
        <f t="shared" si="451"/>
        <v>9</v>
      </c>
      <c r="H489" s="367" t="str">
        <f t="shared" si="445"/>
        <v>mercury</v>
      </c>
      <c r="I489" s="369">
        <f t="shared" si="448"/>
        <v>42066.25</v>
      </c>
      <c r="J489" s="377">
        <f t="shared" si="446"/>
        <v>77</v>
      </c>
      <c r="K489" s="369">
        <f t="shared" si="452"/>
        <v>42143.25</v>
      </c>
      <c r="L489" s="360">
        <f t="shared" si="449"/>
        <v>427</v>
      </c>
      <c r="O489" s="381"/>
    </row>
    <row r="490" spans="1:15">
      <c r="A490" s="355">
        <f t="shared" si="447"/>
        <v>428</v>
      </c>
      <c r="B490" s="372">
        <f t="shared" si="450"/>
        <v>42176.25</v>
      </c>
      <c r="C490" s="357">
        <f t="shared" si="442"/>
        <v>4</v>
      </c>
      <c r="D490" s="358" t="str">
        <f t="shared" si="443"/>
        <v>moon</v>
      </c>
      <c r="E490" s="368">
        <f t="shared" si="444"/>
        <v>6</v>
      </c>
      <c r="F490" s="367" t="str">
        <f t="shared" si="424"/>
        <v>rahu</v>
      </c>
      <c r="G490" s="367">
        <f t="shared" si="451"/>
        <v>1</v>
      </c>
      <c r="H490" s="367" t="str">
        <f t="shared" si="445"/>
        <v>ketu</v>
      </c>
      <c r="I490" s="369">
        <f t="shared" si="448"/>
        <v>42143.25</v>
      </c>
      <c r="J490" s="377">
        <f t="shared" si="446"/>
        <v>33</v>
      </c>
      <c r="K490" s="369">
        <f t="shared" si="452"/>
        <v>42176.25</v>
      </c>
      <c r="L490" s="360">
        <f t="shared" si="449"/>
        <v>428</v>
      </c>
      <c r="O490" s="381"/>
    </row>
    <row r="491" spans="1:15">
      <c r="A491" s="355">
        <f t="shared" si="447"/>
        <v>429</v>
      </c>
      <c r="B491" s="372">
        <f t="shared" si="450"/>
        <v>42269.25</v>
      </c>
      <c r="C491" s="357">
        <f t="shared" si="442"/>
        <v>4</v>
      </c>
      <c r="D491" s="358" t="str">
        <f t="shared" si="443"/>
        <v>moon</v>
      </c>
      <c r="E491" s="368">
        <f t="shared" si="444"/>
        <v>6</v>
      </c>
      <c r="F491" s="367" t="str">
        <f t="shared" si="424"/>
        <v>rahu</v>
      </c>
      <c r="G491" s="367">
        <f t="shared" si="451"/>
        <v>2</v>
      </c>
      <c r="H491" s="367" t="str">
        <f t="shared" si="445"/>
        <v>venus</v>
      </c>
      <c r="I491" s="369">
        <f t="shared" si="448"/>
        <v>42176.25</v>
      </c>
      <c r="J491" s="377">
        <f t="shared" si="446"/>
        <v>93</v>
      </c>
      <c r="K491" s="369">
        <f t="shared" si="452"/>
        <v>42269.25</v>
      </c>
      <c r="L491" s="360">
        <f t="shared" si="449"/>
        <v>429</v>
      </c>
      <c r="O491" s="381"/>
    </row>
    <row r="492" spans="1:15">
      <c r="A492" s="355">
        <f t="shared" si="447"/>
        <v>430</v>
      </c>
      <c r="B492" s="372">
        <f t="shared" si="450"/>
        <v>42296.25</v>
      </c>
      <c r="C492" s="357">
        <f t="shared" si="442"/>
        <v>4</v>
      </c>
      <c r="D492" s="358" t="str">
        <f t="shared" si="443"/>
        <v>moon</v>
      </c>
      <c r="E492" s="368">
        <f t="shared" si="444"/>
        <v>6</v>
      </c>
      <c r="F492" s="367" t="str">
        <f t="shared" si="424"/>
        <v>rahu</v>
      </c>
      <c r="G492" s="367">
        <f t="shared" si="451"/>
        <v>3</v>
      </c>
      <c r="H492" s="367" t="str">
        <f t="shared" si="445"/>
        <v>sun</v>
      </c>
      <c r="I492" s="369">
        <f t="shared" si="448"/>
        <v>42269.25</v>
      </c>
      <c r="J492" s="377">
        <f t="shared" si="446"/>
        <v>27</v>
      </c>
      <c r="K492" s="369">
        <f t="shared" si="452"/>
        <v>42296.25</v>
      </c>
      <c r="L492" s="360">
        <f t="shared" si="449"/>
        <v>430</v>
      </c>
      <c r="O492" s="381"/>
    </row>
    <row r="493" spans="1:15">
      <c r="A493" s="355">
        <f t="shared" si="447"/>
        <v>431</v>
      </c>
      <c r="B493" s="372">
        <f t="shared" si="450"/>
        <v>42340.25</v>
      </c>
      <c r="C493" s="357">
        <f t="shared" si="442"/>
        <v>4</v>
      </c>
      <c r="D493" s="358" t="str">
        <f t="shared" si="443"/>
        <v>moon</v>
      </c>
      <c r="E493" s="368">
        <f t="shared" si="444"/>
        <v>6</v>
      </c>
      <c r="F493" s="367" t="str">
        <f t="shared" si="424"/>
        <v>rahu</v>
      </c>
      <c r="G493" s="367">
        <f t="shared" si="451"/>
        <v>4</v>
      </c>
      <c r="H493" s="367" t="str">
        <f t="shared" si="445"/>
        <v>moon</v>
      </c>
      <c r="I493" s="369">
        <f t="shared" si="448"/>
        <v>42296.25</v>
      </c>
      <c r="J493" s="377">
        <f t="shared" si="446"/>
        <v>44</v>
      </c>
      <c r="K493" s="369">
        <f t="shared" si="452"/>
        <v>42340.25</v>
      </c>
      <c r="L493" s="360">
        <f t="shared" si="449"/>
        <v>431</v>
      </c>
      <c r="O493" s="381"/>
    </row>
    <row r="494" spans="1:15">
      <c r="A494" s="355">
        <f t="shared" si="447"/>
        <v>432</v>
      </c>
      <c r="B494" s="372">
        <f t="shared" si="450"/>
        <v>42373.25</v>
      </c>
      <c r="C494" s="357">
        <f t="shared" si="442"/>
        <v>4</v>
      </c>
      <c r="D494" s="358" t="str">
        <f t="shared" si="443"/>
        <v>moon</v>
      </c>
      <c r="E494" s="368">
        <f t="shared" si="444"/>
        <v>6</v>
      </c>
      <c r="F494" s="367" t="str">
        <f t="shared" si="424"/>
        <v>rahu</v>
      </c>
      <c r="G494" s="367">
        <f t="shared" si="451"/>
        <v>5</v>
      </c>
      <c r="H494" s="367" t="str">
        <f t="shared" si="445"/>
        <v>mars</v>
      </c>
      <c r="I494" s="369">
        <f t="shared" si="448"/>
        <v>42340.25</v>
      </c>
      <c r="J494" s="377">
        <f t="shared" si="446"/>
        <v>33</v>
      </c>
      <c r="K494" s="369">
        <f t="shared" si="452"/>
        <v>42373.25</v>
      </c>
      <c r="L494" s="360">
        <f t="shared" si="449"/>
        <v>432</v>
      </c>
      <c r="N494" s="358">
        <f>SUM(J486:J494)</f>
        <v>548</v>
      </c>
      <c r="O494" s="381"/>
    </row>
    <row r="495" spans="1:15">
      <c r="A495" s="399"/>
      <c r="B495" s="386"/>
      <c r="C495" s="387">
        <f>C485</f>
        <v>4</v>
      </c>
      <c r="D495" s="373" t="str">
        <f>D485</f>
        <v>moon</v>
      </c>
      <c r="E495" s="393">
        <f>IF(E485+1&gt;9,E485+1-9,E485+1)</f>
        <v>7</v>
      </c>
      <c r="F495" s="389" t="str">
        <f t="shared" si="424"/>
        <v>jupiter</v>
      </c>
      <c r="G495" s="389"/>
      <c r="H495" s="389"/>
      <c r="I495" s="390">
        <f>K485</f>
        <v>42371.25</v>
      </c>
      <c r="J495" s="373">
        <f>ROUND(J$464*VLOOKUP(E495,$A$848:$E$856,5,FALSE),0)</f>
        <v>475</v>
      </c>
      <c r="K495" s="390">
        <f>I495+J495</f>
        <v>42846.25</v>
      </c>
      <c r="L495" s="400"/>
      <c r="M495" s="373"/>
      <c r="N495" s="373"/>
      <c r="O495" s="381"/>
    </row>
    <row r="496" spans="1:15">
      <c r="A496" s="355">
        <f>A494+1</f>
        <v>433</v>
      </c>
      <c r="B496" s="372">
        <f>K496</f>
        <v>42435.25</v>
      </c>
      <c r="C496" s="357">
        <f t="shared" si="442"/>
        <v>4</v>
      </c>
      <c r="D496" s="358" t="str">
        <f t="shared" si="443"/>
        <v>moon</v>
      </c>
      <c r="E496" s="368">
        <f t="shared" ref="E496:E504" si="453">E495</f>
        <v>7</v>
      </c>
      <c r="F496" s="367" t="str">
        <f t="shared" si="424"/>
        <v>jupiter</v>
      </c>
      <c r="G496" s="367">
        <f>E496</f>
        <v>7</v>
      </c>
      <c r="H496" s="367" t="str">
        <f t="shared" ref="H496:H504" si="454">VLOOKUP(G496,$A$848:$B$856,2,FALSE)</f>
        <v>jupiter</v>
      </c>
      <c r="I496" s="369">
        <f>K494</f>
        <v>42373.25</v>
      </c>
      <c r="J496" s="377">
        <f t="shared" ref="J496:J504" si="455">ROUND(J$495*VLOOKUP(G496,$A$848:$E$856,5,FALSE),0)</f>
        <v>62</v>
      </c>
      <c r="K496" s="369">
        <f>I496+J496</f>
        <v>42435.25</v>
      </c>
      <c r="L496" s="360">
        <f>L494+1</f>
        <v>433</v>
      </c>
      <c r="O496" s="381"/>
    </row>
    <row r="497" spans="1:15">
      <c r="A497" s="355">
        <f t="shared" ref="A497:A504" si="456">A496+1</f>
        <v>434</v>
      </c>
      <c r="B497" s="372">
        <f>K497</f>
        <v>42511.25</v>
      </c>
      <c r="C497" s="357">
        <f t="shared" si="442"/>
        <v>4</v>
      </c>
      <c r="D497" s="358" t="str">
        <f t="shared" si="443"/>
        <v>moon</v>
      </c>
      <c r="E497" s="368">
        <f t="shared" si="453"/>
        <v>7</v>
      </c>
      <c r="F497" s="367" t="str">
        <f t="shared" ref="F497:F528" si="457">VLOOKUP(E497,$A$848:$B$856,2,FALSE)</f>
        <v>jupiter</v>
      </c>
      <c r="G497" s="367">
        <f>IF(G496+1&gt;9,G496+1-9,G496+1)</f>
        <v>8</v>
      </c>
      <c r="H497" s="367" t="str">
        <f t="shared" si="454"/>
        <v>saturn</v>
      </c>
      <c r="I497" s="369">
        <f t="shared" ref="I497:I504" si="458">K496</f>
        <v>42435.25</v>
      </c>
      <c r="J497" s="377">
        <f t="shared" si="455"/>
        <v>76</v>
      </c>
      <c r="K497" s="369">
        <f>I497+J497</f>
        <v>42511.25</v>
      </c>
      <c r="L497" s="360">
        <f t="shared" ref="L497:L504" si="459">L496+1</f>
        <v>434</v>
      </c>
      <c r="O497" s="381"/>
    </row>
    <row r="498" spans="1:15">
      <c r="A498" s="355">
        <f t="shared" si="456"/>
        <v>435</v>
      </c>
      <c r="B498" s="372">
        <f t="shared" ref="B498:B504" si="460">K498</f>
        <v>42578.25</v>
      </c>
      <c r="C498" s="357">
        <f t="shared" si="442"/>
        <v>4</v>
      </c>
      <c r="D498" s="358" t="str">
        <f t="shared" si="443"/>
        <v>moon</v>
      </c>
      <c r="E498" s="368">
        <f t="shared" si="453"/>
        <v>7</v>
      </c>
      <c r="F498" s="367" t="str">
        <f t="shared" si="457"/>
        <v>jupiter</v>
      </c>
      <c r="G498" s="367">
        <f t="shared" ref="G498:G504" si="461">IF(G497+1&gt;9,G497+1-9,G497+1)</f>
        <v>9</v>
      </c>
      <c r="H498" s="367" t="str">
        <f t="shared" si="454"/>
        <v>mercury</v>
      </c>
      <c r="I498" s="369">
        <f t="shared" si="458"/>
        <v>42511.25</v>
      </c>
      <c r="J498" s="377">
        <f t="shared" si="455"/>
        <v>67</v>
      </c>
      <c r="K498" s="369">
        <f t="shared" ref="K498:K504" si="462">I498+J498</f>
        <v>42578.25</v>
      </c>
      <c r="L498" s="360">
        <f t="shared" si="459"/>
        <v>435</v>
      </c>
      <c r="O498" s="381"/>
    </row>
    <row r="499" spans="1:15">
      <c r="A499" s="355">
        <f t="shared" si="456"/>
        <v>436</v>
      </c>
      <c r="B499" s="372">
        <f t="shared" si="460"/>
        <v>42607.25</v>
      </c>
      <c r="C499" s="357">
        <f t="shared" si="442"/>
        <v>4</v>
      </c>
      <c r="D499" s="358" t="str">
        <f t="shared" si="443"/>
        <v>moon</v>
      </c>
      <c r="E499" s="368">
        <f t="shared" si="453"/>
        <v>7</v>
      </c>
      <c r="F499" s="367" t="str">
        <f t="shared" si="457"/>
        <v>jupiter</v>
      </c>
      <c r="G499" s="367">
        <f t="shared" si="461"/>
        <v>1</v>
      </c>
      <c r="H499" s="367" t="str">
        <f t="shared" si="454"/>
        <v>ketu</v>
      </c>
      <c r="I499" s="369">
        <f t="shared" si="458"/>
        <v>42578.25</v>
      </c>
      <c r="J499" s="377">
        <f t="shared" si="455"/>
        <v>29</v>
      </c>
      <c r="K499" s="369">
        <f t="shared" si="462"/>
        <v>42607.25</v>
      </c>
      <c r="L499" s="360">
        <f t="shared" si="459"/>
        <v>436</v>
      </c>
      <c r="O499" s="381"/>
    </row>
    <row r="500" spans="1:15">
      <c r="A500" s="355">
        <f t="shared" si="456"/>
        <v>437</v>
      </c>
      <c r="B500" s="372">
        <f t="shared" si="460"/>
        <v>42688.25</v>
      </c>
      <c r="C500" s="357">
        <f t="shared" si="442"/>
        <v>4</v>
      </c>
      <c r="D500" s="358" t="str">
        <f t="shared" si="443"/>
        <v>moon</v>
      </c>
      <c r="E500" s="368">
        <f t="shared" si="453"/>
        <v>7</v>
      </c>
      <c r="F500" s="367" t="str">
        <f t="shared" si="457"/>
        <v>jupiter</v>
      </c>
      <c r="G500" s="367">
        <f t="shared" si="461"/>
        <v>2</v>
      </c>
      <c r="H500" s="367" t="str">
        <f t="shared" si="454"/>
        <v>venus</v>
      </c>
      <c r="I500" s="369">
        <f t="shared" si="458"/>
        <v>42607.25</v>
      </c>
      <c r="J500" s="377">
        <f t="shared" si="455"/>
        <v>81</v>
      </c>
      <c r="K500" s="369">
        <f t="shared" si="462"/>
        <v>42688.25</v>
      </c>
      <c r="L500" s="360">
        <f t="shared" si="459"/>
        <v>437</v>
      </c>
      <c r="O500" s="381"/>
    </row>
    <row r="501" spans="1:15">
      <c r="A501" s="355">
        <f t="shared" si="456"/>
        <v>438</v>
      </c>
      <c r="B501" s="372">
        <f t="shared" si="460"/>
        <v>42712.25</v>
      </c>
      <c r="C501" s="357">
        <f t="shared" si="442"/>
        <v>4</v>
      </c>
      <c r="D501" s="358" t="str">
        <f t="shared" si="443"/>
        <v>moon</v>
      </c>
      <c r="E501" s="368">
        <f t="shared" si="453"/>
        <v>7</v>
      </c>
      <c r="F501" s="367" t="str">
        <f t="shared" si="457"/>
        <v>jupiter</v>
      </c>
      <c r="G501" s="367">
        <f t="shared" si="461"/>
        <v>3</v>
      </c>
      <c r="H501" s="367" t="str">
        <f t="shared" si="454"/>
        <v>sun</v>
      </c>
      <c r="I501" s="369">
        <f t="shared" si="458"/>
        <v>42688.25</v>
      </c>
      <c r="J501" s="377">
        <f t="shared" si="455"/>
        <v>24</v>
      </c>
      <c r="K501" s="369">
        <f t="shared" si="462"/>
        <v>42712.25</v>
      </c>
      <c r="L501" s="360">
        <f t="shared" si="459"/>
        <v>438</v>
      </c>
      <c r="O501" s="381"/>
    </row>
    <row r="502" spans="1:15">
      <c r="A502" s="355">
        <f t="shared" si="456"/>
        <v>439</v>
      </c>
      <c r="B502" s="372">
        <f t="shared" si="460"/>
        <v>42750.25</v>
      </c>
      <c r="C502" s="357">
        <f t="shared" si="442"/>
        <v>4</v>
      </c>
      <c r="D502" s="358" t="str">
        <f t="shared" si="443"/>
        <v>moon</v>
      </c>
      <c r="E502" s="368">
        <f t="shared" si="453"/>
        <v>7</v>
      </c>
      <c r="F502" s="367" t="str">
        <f t="shared" si="457"/>
        <v>jupiter</v>
      </c>
      <c r="G502" s="367">
        <f t="shared" si="461"/>
        <v>4</v>
      </c>
      <c r="H502" s="367" t="str">
        <f t="shared" si="454"/>
        <v>moon</v>
      </c>
      <c r="I502" s="369">
        <f t="shared" si="458"/>
        <v>42712.25</v>
      </c>
      <c r="J502" s="377">
        <f t="shared" si="455"/>
        <v>38</v>
      </c>
      <c r="K502" s="369">
        <f t="shared" si="462"/>
        <v>42750.25</v>
      </c>
      <c r="L502" s="360">
        <f t="shared" si="459"/>
        <v>439</v>
      </c>
      <c r="O502" s="381"/>
    </row>
    <row r="503" spans="1:15">
      <c r="A503" s="355">
        <f t="shared" si="456"/>
        <v>440</v>
      </c>
      <c r="B503" s="372">
        <f t="shared" si="460"/>
        <v>42779.25</v>
      </c>
      <c r="C503" s="357">
        <f t="shared" si="442"/>
        <v>4</v>
      </c>
      <c r="D503" s="358" t="str">
        <f t="shared" si="443"/>
        <v>moon</v>
      </c>
      <c r="E503" s="368">
        <f t="shared" si="453"/>
        <v>7</v>
      </c>
      <c r="F503" s="367" t="str">
        <f t="shared" si="457"/>
        <v>jupiter</v>
      </c>
      <c r="G503" s="367">
        <f t="shared" si="461"/>
        <v>5</v>
      </c>
      <c r="H503" s="367" t="str">
        <f t="shared" si="454"/>
        <v>mars</v>
      </c>
      <c r="I503" s="369">
        <f t="shared" si="458"/>
        <v>42750.25</v>
      </c>
      <c r="J503" s="377">
        <f t="shared" si="455"/>
        <v>29</v>
      </c>
      <c r="K503" s="369">
        <f t="shared" si="462"/>
        <v>42779.25</v>
      </c>
      <c r="L503" s="360">
        <f t="shared" si="459"/>
        <v>440</v>
      </c>
      <c r="O503" s="381"/>
    </row>
    <row r="504" spans="1:15">
      <c r="A504" s="355">
        <f t="shared" si="456"/>
        <v>441</v>
      </c>
      <c r="B504" s="372">
        <f t="shared" si="460"/>
        <v>42850.25</v>
      </c>
      <c r="C504" s="357">
        <f t="shared" si="442"/>
        <v>4</v>
      </c>
      <c r="D504" s="358" t="str">
        <f t="shared" si="443"/>
        <v>moon</v>
      </c>
      <c r="E504" s="368">
        <f t="shared" si="453"/>
        <v>7</v>
      </c>
      <c r="F504" s="367" t="str">
        <f t="shared" si="457"/>
        <v>jupiter</v>
      </c>
      <c r="G504" s="367">
        <f t="shared" si="461"/>
        <v>6</v>
      </c>
      <c r="H504" s="367" t="str">
        <f t="shared" si="454"/>
        <v>rahu</v>
      </c>
      <c r="I504" s="369">
        <f t="shared" si="458"/>
        <v>42779.25</v>
      </c>
      <c r="J504" s="377">
        <f t="shared" si="455"/>
        <v>71</v>
      </c>
      <c r="K504" s="369">
        <f t="shared" si="462"/>
        <v>42850.25</v>
      </c>
      <c r="L504" s="360">
        <f t="shared" si="459"/>
        <v>441</v>
      </c>
      <c r="N504" s="358">
        <f>SUM(J496:J504)</f>
        <v>477</v>
      </c>
      <c r="O504" s="381"/>
    </row>
    <row r="505" spans="1:15">
      <c r="A505" s="399"/>
      <c r="B505" s="386"/>
      <c r="C505" s="387">
        <f>C495</f>
        <v>4</v>
      </c>
      <c r="D505" s="373" t="str">
        <f>D495</f>
        <v>moon</v>
      </c>
      <c r="E505" s="393">
        <f>IF(E495+1&gt;9,E495+1-9,E495+1)</f>
        <v>8</v>
      </c>
      <c r="F505" s="389" t="str">
        <f t="shared" si="457"/>
        <v>saturn</v>
      </c>
      <c r="G505" s="389"/>
      <c r="H505" s="389"/>
      <c r="I505" s="390">
        <f>K495</f>
        <v>42846.25</v>
      </c>
      <c r="J505" s="373">
        <f>ROUND(J$464*VLOOKUP(E505,$A$848:$E$856,5,FALSE),0)</f>
        <v>584</v>
      </c>
      <c r="K505" s="390">
        <f>I505+J505</f>
        <v>43430.25</v>
      </c>
      <c r="L505" s="400"/>
      <c r="M505" s="373"/>
      <c r="N505" s="373"/>
      <c r="O505" s="381"/>
    </row>
    <row r="506" spans="1:15">
      <c r="A506" s="355">
        <f>A504+1</f>
        <v>442</v>
      </c>
      <c r="B506" s="372">
        <f>K506</f>
        <v>42943.25</v>
      </c>
      <c r="C506" s="357">
        <f t="shared" si="442"/>
        <v>4</v>
      </c>
      <c r="D506" s="358" t="str">
        <f t="shared" si="443"/>
        <v>moon</v>
      </c>
      <c r="E506" s="368">
        <f t="shared" ref="E506:E514" si="463">E505</f>
        <v>8</v>
      </c>
      <c r="F506" s="367" t="str">
        <f t="shared" si="457"/>
        <v>saturn</v>
      </c>
      <c r="G506" s="367">
        <f>E506</f>
        <v>8</v>
      </c>
      <c r="H506" s="367" t="str">
        <f t="shared" ref="H506:H514" si="464">VLOOKUP(G506,$A$848:$B$856,2,FALSE)</f>
        <v>saturn</v>
      </c>
      <c r="I506" s="369">
        <f>K504</f>
        <v>42850.25</v>
      </c>
      <c r="J506" s="377">
        <f t="shared" ref="J506:J514" si="465">ROUND(J$505*VLOOKUP(G506,$A$848:$E$856,5,FALSE),0)</f>
        <v>93</v>
      </c>
      <c r="K506" s="369">
        <f>I506+J506</f>
        <v>42943.25</v>
      </c>
      <c r="L506" s="360">
        <f>L504+1</f>
        <v>442</v>
      </c>
      <c r="O506" s="381"/>
    </row>
    <row r="507" spans="1:15">
      <c r="A507" s="355">
        <f t="shared" ref="A507:A514" si="466">A506+1</f>
        <v>443</v>
      </c>
      <c r="B507" s="372">
        <f>K507</f>
        <v>43025.25</v>
      </c>
      <c r="C507" s="357">
        <f t="shared" si="442"/>
        <v>4</v>
      </c>
      <c r="D507" s="358" t="str">
        <f t="shared" si="443"/>
        <v>moon</v>
      </c>
      <c r="E507" s="368">
        <f t="shared" si="463"/>
        <v>8</v>
      </c>
      <c r="F507" s="367" t="str">
        <f t="shared" si="457"/>
        <v>saturn</v>
      </c>
      <c r="G507" s="367">
        <f>IF(G506+1&gt;9,G506+1-9,G506+1)</f>
        <v>9</v>
      </c>
      <c r="H507" s="367" t="str">
        <f t="shared" si="464"/>
        <v>mercury</v>
      </c>
      <c r="I507" s="369">
        <f t="shared" ref="I507:I514" si="467">K506</f>
        <v>42943.25</v>
      </c>
      <c r="J507" s="377">
        <f t="shared" si="465"/>
        <v>82</v>
      </c>
      <c r="K507" s="369">
        <f>I507+J507</f>
        <v>43025.25</v>
      </c>
      <c r="L507" s="360">
        <f t="shared" ref="L507:L514" si="468">L506+1</f>
        <v>443</v>
      </c>
      <c r="O507" s="381"/>
    </row>
    <row r="508" spans="1:15">
      <c r="A508" s="355">
        <f t="shared" si="466"/>
        <v>444</v>
      </c>
      <c r="B508" s="372">
        <f t="shared" ref="B508:B514" si="469">K508</f>
        <v>43060.25</v>
      </c>
      <c r="C508" s="357">
        <f t="shared" si="442"/>
        <v>4</v>
      </c>
      <c r="D508" s="358" t="str">
        <f t="shared" si="443"/>
        <v>moon</v>
      </c>
      <c r="E508" s="368">
        <f t="shared" si="463"/>
        <v>8</v>
      </c>
      <c r="F508" s="367" t="str">
        <f t="shared" si="457"/>
        <v>saturn</v>
      </c>
      <c r="G508" s="367">
        <f t="shared" ref="G508:G514" si="470">IF(G507+1&gt;9,G507+1-9,G507+1)</f>
        <v>1</v>
      </c>
      <c r="H508" s="367" t="str">
        <f t="shared" si="464"/>
        <v>ketu</v>
      </c>
      <c r="I508" s="369">
        <f t="shared" si="467"/>
        <v>43025.25</v>
      </c>
      <c r="J508" s="377">
        <f t="shared" si="465"/>
        <v>35</v>
      </c>
      <c r="K508" s="369">
        <f t="shared" ref="K508:K514" si="471">I508+J508</f>
        <v>43060.25</v>
      </c>
      <c r="L508" s="360">
        <f t="shared" si="468"/>
        <v>444</v>
      </c>
      <c r="O508" s="381"/>
    </row>
    <row r="509" spans="1:15">
      <c r="A509" s="355">
        <f t="shared" si="466"/>
        <v>445</v>
      </c>
      <c r="B509" s="372">
        <f t="shared" si="469"/>
        <v>43159.25</v>
      </c>
      <c r="C509" s="357">
        <f t="shared" si="442"/>
        <v>4</v>
      </c>
      <c r="D509" s="358" t="str">
        <f t="shared" si="443"/>
        <v>moon</v>
      </c>
      <c r="E509" s="368">
        <f t="shared" si="463"/>
        <v>8</v>
      </c>
      <c r="F509" s="367" t="str">
        <f t="shared" si="457"/>
        <v>saturn</v>
      </c>
      <c r="G509" s="367">
        <f t="shared" si="470"/>
        <v>2</v>
      </c>
      <c r="H509" s="367" t="str">
        <f t="shared" si="464"/>
        <v>venus</v>
      </c>
      <c r="I509" s="369">
        <f t="shared" si="467"/>
        <v>43060.25</v>
      </c>
      <c r="J509" s="377">
        <f t="shared" si="465"/>
        <v>99</v>
      </c>
      <c r="K509" s="369">
        <f t="shared" si="471"/>
        <v>43159.25</v>
      </c>
      <c r="L509" s="360">
        <f t="shared" si="468"/>
        <v>445</v>
      </c>
      <c r="O509" s="381"/>
    </row>
    <row r="510" spans="1:15">
      <c r="A510" s="355">
        <f t="shared" si="466"/>
        <v>446</v>
      </c>
      <c r="B510" s="372">
        <f t="shared" si="469"/>
        <v>43188.25</v>
      </c>
      <c r="C510" s="357">
        <f t="shared" si="442"/>
        <v>4</v>
      </c>
      <c r="D510" s="358" t="str">
        <f t="shared" si="443"/>
        <v>moon</v>
      </c>
      <c r="E510" s="368">
        <f t="shared" si="463"/>
        <v>8</v>
      </c>
      <c r="F510" s="367" t="str">
        <f t="shared" si="457"/>
        <v>saturn</v>
      </c>
      <c r="G510" s="367">
        <f t="shared" si="470"/>
        <v>3</v>
      </c>
      <c r="H510" s="367" t="str">
        <f t="shared" si="464"/>
        <v>sun</v>
      </c>
      <c r="I510" s="369">
        <f t="shared" si="467"/>
        <v>43159.25</v>
      </c>
      <c r="J510" s="377">
        <f t="shared" si="465"/>
        <v>29</v>
      </c>
      <c r="K510" s="369">
        <f t="shared" si="471"/>
        <v>43188.25</v>
      </c>
      <c r="L510" s="360">
        <f t="shared" si="468"/>
        <v>446</v>
      </c>
      <c r="O510" s="381"/>
    </row>
    <row r="511" spans="1:15">
      <c r="A511" s="355">
        <f t="shared" si="466"/>
        <v>447</v>
      </c>
      <c r="B511" s="372">
        <f t="shared" si="469"/>
        <v>43235.25</v>
      </c>
      <c r="C511" s="357">
        <f t="shared" si="442"/>
        <v>4</v>
      </c>
      <c r="D511" s="358" t="str">
        <f t="shared" si="443"/>
        <v>moon</v>
      </c>
      <c r="E511" s="368">
        <f t="shared" si="463"/>
        <v>8</v>
      </c>
      <c r="F511" s="367" t="str">
        <f t="shared" si="457"/>
        <v>saturn</v>
      </c>
      <c r="G511" s="367">
        <f t="shared" si="470"/>
        <v>4</v>
      </c>
      <c r="H511" s="367" t="str">
        <f t="shared" si="464"/>
        <v>moon</v>
      </c>
      <c r="I511" s="369">
        <f t="shared" si="467"/>
        <v>43188.25</v>
      </c>
      <c r="J511" s="377">
        <f t="shared" si="465"/>
        <v>47</v>
      </c>
      <c r="K511" s="369">
        <f t="shared" si="471"/>
        <v>43235.25</v>
      </c>
      <c r="L511" s="360">
        <f t="shared" si="468"/>
        <v>447</v>
      </c>
      <c r="O511" s="381"/>
    </row>
    <row r="512" spans="1:15">
      <c r="A512" s="355">
        <f t="shared" si="466"/>
        <v>448</v>
      </c>
      <c r="B512" s="372">
        <f t="shared" si="469"/>
        <v>43270.25</v>
      </c>
      <c r="C512" s="357">
        <f t="shared" si="442"/>
        <v>4</v>
      </c>
      <c r="D512" s="358" t="str">
        <f t="shared" si="443"/>
        <v>moon</v>
      </c>
      <c r="E512" s="368">
        <f t="shared" si="463"/>
        <v>8</v>
      </c>
      <c r="F512" s="367" t="str">
        <f t="shared" si="457"/>
        <v>saturn</v>
      </c>
      <c r="G512" s="367">
        <f t="shared" si="470"/>
        <v>5</v>
      </c>
      <c r="H512" s="367" t="str">
        <f t="shared" si="464"/>
        <v>mars</v>
      </c>
      <c r="I512" s="369">
        <f t="shared" si="467"/>
        <v>43235.25</v>
      </c>
      <c r="J512" s="377">
        <f t="shared" si="465"/>
        <v>35</v>
      </c>
      <c r="K512" s="369">
        <f t="shared" si="471"/>
        <v>43270.25</v>
      </c>
      <c r="L512" s="360">
        <f t="shared" si="468"/>
        <v>448</v>
      </c>
      <c r="O512" s="381"/>
    </row>
    <row r="513" spans="1:15">
      <c r="A513" s="355">
        <f t="shared" si="466"/>
        <v>449</v>
      </c>
      <c r="B513" s="372">
        <f t="shared" si="469"/>
        <v>43358.25</v>
      </c>
      <c r="C513" s="357">
        <f t="shared" si="442"/>
        <v>4</v>
      </c>
      <c r="D513" s="358" t="str">
        <f t="shared" si="443"/>
        <v>moon</v>
      </c>
      <c r="E513" s="368">
        <f t="shared" si="463"/>
        <v>8</v>
      </c>
      <c r="F513" s="367" t="str">
        <f t="shared" si="457"/>
        <v>saturn</v>
      </c>
      <c r="G513" s="367">
        <f t="shared" si="470"/>
        <v>6</v>
      </c>
      <c r="H513" s="367" t="str">
        <f t="shared" si="464"/>
        <v>rahu</v>
      </c>
      <c r="I513" s="369">
        <f t="shared" si="467"/>
        <v>43270.25</v>
      </c>
      <c r="J513" s="377">
        <f t="shared" si="465"/>
        <v>88</v>
      </c>
      <c r="K513" s="369">
        <f t="shared" si="471"/>
        <v>43358.25</v>
      </c>
      <c r="L513" s="360">
        <f t="shared" si="468"/>
        <v>449</v>
      </c>
      <c r="O513" s="381"/>
    </row>
    <row r="514" spans="1:15">
      <c r="A514" s="355">
        <f t="shared" si="466"/>
        <v>450</v>
      </c>
      <c r="B514" s="372">
        <f t="shared" si="469"/>
        <v>43434.25</v>
      </c>
      <c r="C514" s="357">
        <f t="shared" si="442"/>
        <v>4</v>
      </c>
      <c r="D514" s="358" t="str">
        <f t="shared" si="443"/>
        <v>moon</v>
      </c>
      <c r="E514" s="368">
        <f t="shared" si="463"/>
        <v>8</v>
      </c>
      <c r="F514" s="367" t="str">
        <f t="shared" si="457"/>
        <v>saturn</v>
      </c>
      <c r="G514" s="367">
        <f t="shared" si="470"/>
        <v>7</v>
      </c>
      <c r="H514" s="367" t="str">
        <f t="shared" si="464"/>
        <v>jupiter</v>
      </c>
      <c r="I514" s="369">
        <f t="shared" si="467"/>
        <v>43358.25</v>
      </c>
      <c r="J514" s="377">
        <f t="shared" si="465"/>
        <v>76</v>
      </c>
      <c r="K514" s="369">
        <f t="shared" si="471"/>
        <v>43434.25</v>
      </c>
      <c r="L514" s="360">
        <f t="shared" si="468"/>
        <v>450</v>
      </c>
      <c r="N514" s="358">
        <f>SUM(J506:J514)</f>
        <v>584</v>
      </c>
      <c r="O514" s="381"/>
    </row>
    <row r="515" spans="1:15">
      <c r="A515" s="399"/>
      <c r="B515" s="386"/>
      <c r="C515" s="387">
        <f>C505</f>
        <v>4</v>
      </c>
      <c r="D515" s="373" t="str">
        <f>D505</f>
        <v>moon</v>
      </c>
      <c r="E515" s="393">
        <f>IF(E505+1&gt;9,E505+1-9,E505+1)</f>
        <v>9</v>
      </c>
      <c r="F515" s="389" t="str">
        <f t="shared" si="457"/>
        <v>mercury</v>
      </c>
      <c r="G515" s="389"/>
      <c r="H515" s="389"/>
      <c r="I515" s="390">
        <f>K505</f>
        <v>43430.25</v>
      </c>
      <c r="J515" s="373">
        <f>ROUND(J$464*VLOOKUP(E515,$A$848:$E$856,5,FALSE),0)</f>
        <v>511</v>
      </c>
      <c r="K515" s="390">
        <f>I515+J515</f>
        <v>43941.25</v>
      </c>
      <c r="L515" s="400"/>
      <c r="M515" s="373"/>
      <c r="N515" s="373"/>
      <c r="O515" s="381"/>
    </row>
    <row r="516" spans="1:15">
      <c r="A516" s="355">
        <f>A514+1</f>
        <v>451</v>
      </c>
      <c r="B516" s="372">
        <f>K516</f>
        <v>43506.25</v>
      </c>
      <c r="C516" s="357">
        <f t="shared" si="442"/>
        <v>4</v>
      </c>
      <c r="D516" s="358" t="str">
        <f t="shared" si="443"/>
        <v>moon</v>
      </c>
      <c r="E516" s="368">
        <f t="shared" ref="E516:E524" si="472">E515</f>
        <v>9</v>
      </c>
      <c r="F516" s="367" t="str">
        <f t="shared" si="457"/>
        <v>mercury</v>
      </c>
      <c r="G516" s="367">
        <f>E516</f>
        <v>9</v>
      </c>
      <c r="H516" s="367" t="str">
        <f t="shared" ref="H516:H524" si="473">VLOOKUP(G516,$A$848:$B$856,2,FALSE)</f>
        <v>mercury</v>
      </c>
      <c r="I516" s="369">
        <f>K514</f>
        <v>43434.25</v>
      </c>
      <c r="J516" s="377">
        <f t="shared" ref="J516:J524" si="474">ROUND(J$515*VLOOKUP(G516,$A$848:$E$856,5,FALSE),0)</f>
        <v>72</v>
      </c>
      <c r="K516" s="369">
        <f>I516+J516</f>
        <v>43506.25</v>
      </c>
      <c r="L516" s="360">
        <f>L514+1</f>
        <v>451</v>
      </c>
      <c r="O516" s="381"/>
    </row>
    <row r="517" spans="1:15">
      <c r="A517" s="355">
        <f t="shared" ref="A517:A524" si="475">A516+1</f>
        <v>452</v>
      </c>
      <c r="B517" s="372">
        <f>K517</f>
        <v>43537.25</v>
      </c>
      <c r="C517" s="357">
        <f t="shared" si="442"/>
        <v>4</v>
      </c>
      <c r="D517" s="358" t="str">
        <f t="shared" si="443"/>
        <v>moon</v>
      </c>
      <c r="E517" s="368">
        <f t="shared" si="472"/>
        <v>9</v>
      </c>
      <c r="F517" s="367" t="str">
        <f t="shared" si="457"/>
        <v>mercury</v>
      </c>
      <c r="G517" s="367">
        <f>IF(G516+1&gt;9,G516+1-9,G516+1)</f>
        <v>1</v>
      </c>
      <c r="H517" s="367" t="str">
        <f t="shared" si="473"/>
        <v>ketu</v>
      </c>
      <c r="I517" s="369">
        <f t="shared" ref="I517:I524" si="476">K516</f>
        <v>43506.25</v>
      </c>
      <c r="J517" s="377">
        <f t="shared" si="474"/>
        <v>31</v>
      </c>
      <c r="K517" s="369">
        <f>I517+J517</f>
        <v>43537.25</v>
      </c>
      <c r="L517" s="360">
        <f t="shared" ref="L517:L524" si="477">L516+1</f>
        <v>452</v>
      </c>
      <c r="O517" s="381"/>
    </row>
    <row r="518" spans="1:15">
      <c r="A518" s="355">
        <f t="shared" si="475"/>
        <v>453</v>
      </c>
      <c r="B518" s="372">
        <f t="shared" ref="B518:B524" si="478">K518</f>
        <v>43624.25</v>
      </c>
      <c r="C518" s="357">
        <f t="shared" si="442"/>
        <v>4</v>
      </c>
      <c r="D518" s="358" t="str">
        <f t="shared" si="443"/>
        <v>moon</v>
      </c>
      <c r="E518" s="368">
        <f t="shared" si="472"/>
        <v>9</v>
      </c>
      <c r="F518" s="367" t="str">
        <f t="shared" si="457"/>
        <v>mercury</v>
      </c>
      <c r="G518" s="367">
        <f t="shared" ref="G518:G524" si="479">IF(G517+1&gt;9,G517+1-9,G517+1)</f>
        <v>2</v>
      </c>
      <c r="H518" s="367" t="str">
        <f t="shared" si="473"/>
        <v>venus</v>
      </c>
      <c r="I518" s="369">
        <f t="shared" si="476"/>
        <v>43537.25</v>
      </c>
      <c r="J518" s="377">
        <f t="shared" si="474"/>
        <v>87</v>
      </c>
      <c r="K518" s="369">
        <f t="shared" ref="K518:K524" si="480">I518+J518</f>
        <v>43624.25</v>
      </c>
      <c r="L518" s="360">
        <f t="shared" si="477"/>
        <v>453</v>
      </c>
      <c r="O518" s="381"/>
    </row>
    <row r="519" spans="1:15">
      <c r="A519" s="355">
        <f t="shared" si="475"/>
        <v>454</v>
      </c>
      <c r="B519" s="372">
        <f t="shared" si="478"/>
        <v>43650.25</v>
      </c>
      <c r="C519" s="357">
        <f t="shared" si="442"/>
        <v>4</v>
      </c>
      <c r="D519" s="358" t="str">
        <f t="shared" si="443"/>
        <v>moon</v>
      </c>
      <c r="E519" s="368">
        <f t="shared" si="472"/>
        <v>9</v>
      </c>
      <c r="F519" s="367" t="str">
        <f t="shared" si="457"/>
        <v>mercury</v>
      </c>
      <c r="G519" s="367">
        <f t="shared" si="479"/>
        <v>3</v>
      </c>
      <c r="H519" s="367" t="str">
        <f t="shared" si="473"/>
        <v>sun</v>
      </c>
      <c r="I519" s="369">
        <f t="shared" si="476"/>
        <v>43624.25</v>
      </c>
      <c r="J519" s="377">
        <f t="shared" si="474"/>
        <v>26</v>
      </c>
      <c r="K519" s="369">
        <f t="shared" si="480"/>
        <v>43650.25</v>
      </c>
      <c r="L519" s="360">
        <f t="shared" si="477"/>
        <v>454</v>
      </c>
      <c r="O519" s="381"/>
    </row>
    <row r="520" spans="1:15">
      <c r="A520" s="355">
        <f t="shared" si="475"/>
        <v>455</v>
      </c>
      <c r="B520" s="372">
        <f t="shared" si="478"/>
        <v>43691.25</v>
      </c>
      <c r="C520" s="357">
        <f t="shared" si="442"/>
        <v>4</v>
      </c>
      <c r="D520" s="358" t="str">
        <f t="shared" si="443"/>
        <v>moon</v>
      </c>
      <c r="E520" s="368">
        <f t="shared" si="472"/>
        <v>9</v>
      </c>
      <c r="F520" s="367" t="str">
        <f t="shared" si="457"/>
        <v>mercury</v>
      </c>
      <c r="G520" s="367">
        <f t="shared" si="479"/>
        <v>4</v>
      </c>
      <c r="H520" s="367" t="str">
        <f t="shared" si="473"/>
        <v>moon</v>
      </c>
      <c r="I520" s="369">
        <f t="shared" si="476"/>
        <v>43650.25</v>
      </c>
      <c r="J520" s="377">
        <f t="shared" si="474"/>
        <v>41</v>
      </c>
      <c r="K520" s="369">
        <f t="shared" si="480"/>
        <v>43691.25</v>
      </c>
      <c r="L520" s="360">
        <f t="shared" si="477"/>
        <v>455</v>
      </c>
      <c r="O520" s="381"/>
    </row>
    <row r="521" spans="1:15">
      <c r="A521" s="355">
        <f t="shared" si="475"/>
        <v>456</v>
      </c>
      <c r="B521" s="372">
        <f t="shared" si="478"/>
        <v>43722.25</v>
      </c>
      <c r="C521" s="357">
        <f t="shared" si="442"/>
        <v>4</v>
      </c>
      <c r="D521" s="358" t="str">
        <f t="shared" si="443"/>
        <v>moon</v>
      </c>
      <c r="E521" s="368">
        <f t="shared" si="472"/>
        <v>9</v>
      </c>
      <c r="F521" s="367" t="str">
        <f t="shared" si="457"/>
        <v>mercury</v>
      </c>
      <c r="G521" s="367">
        <f t="shared" si="479"/>
        <v>5</v>
      </c>
      <c r="H521" s="367" t="str">
        <f t="shared" si="473"/>
        <v>mars</v>
      </c>
      <c r="I521" s="369">
        <f t="shared" si="476"/>
        <v>43691.25</v>
      </c>
      <c r="J521" s="377">
        <f t="shared" si="474"/>
        <v>31</v>
      </c>
      <c r="K521" s="369">
        <f t="shared" si="480"/>
        <v>43722.25</v>
      </c>
      <c r="L521" s="360">
        <f t="shared" si="477"/>
        <v>456</v>
      </c>
      <c r="O521" s="381"/>
    </row>
    <row r="522" spans="1:15">
      <c r="A522" s="355">
        <f t="shared" si="475"/>
        <v>457</v>
      </c>
      <c r="B522" s="372">
        <f t="shared" si="478"/>
        <v>43799.25</v>
      </c>
      <c r="C522" s="357">
        <f t="shared" si="442"/>
        <v>4</v>
      </c>
      <c r="D522" s="358" t="str">
        <f t="shared" si="443"/>
        <v>moon</v>
      </c>
      <c r="E522" s="368">
        <f t="shared" si="472"/>
        <v>9</v>
      </c>
      <c r="F522" s="367" t="str">
        <f t="shared" si="457"/>
        <v>mercury</v>
      </c>
      <c r="G522" s="367">
        <f t="shared" si="479"/>
        <v>6</v>
      </c>
      <c r="H522" s="367" t="str">
        <f t="shared" si="473"/>
        <v>rahu</v>
      </c>
      <c r="I522" s="369">
        <f t="shared" si="476"/>
        <v>43722.25</v>
      </c>
      <c r="J522" s="377">
        <f t="shared" si="474"/>
        <v>77</v>
      </c>
      <c r="K522" s="369">
        <f t="shared" si="480"/>
        <v>43799.25</v>
      </c>
      <c r="L522" s="360">
        <f t="shared" si="477"/>
        <v>457</v>
      </c>
      <c r="O522" s="381"/>
    </row>
    <row r="523" spans="1:15">
      <c r="A523" s="355">
        <f t="shared" si="475"/>
        <v>458</v>
      </c>
      <c r="B523" s="372">
        <f t="shared" si="478"/>
        <v>43865.25</v>
      </c>
      <c r="C523" s="357">
        <f t="shared" si="442"/>
        <v>4</v>
      </c>
      <c r="D523" s="358" t="str">
        <f t="shared" si="443"/>
        <v>moon</v>
      </c>
      <c r="E523" s="368">
        <f t="shared" si="472"/>
        <v>9</v>
      </c>
      <c r="F523" s="367" t="str">
        <f t="shared" si="457"/>
        <v>mercury</v>
      </c>
      <c r="G523" s="367">
        <f t="shared" si="479"/>
        <v>7</v>
      </c>
      <c r="H523" s="367" t="str">
        <f t="shared" si="473"/>
        <v>jupiter</v>
      </c>
      <c r="I523" s="369">
        <f t="shared" si="476"/>
        <v>43799.25</v>
      </c>
      <c r="J523" s="377">
        <f t="shared" si="474"/>
        <v>66</v>
      </c>
      <c r="K523" s="369">
        <f t="shared" si="480"/>
        <v>43865.25</v>
      </c>
      <c r="L523" s="360">
        <f t="shared" si="477"/>
        <v>458</v>
      </c>
      <c r="O523" s="381"/>
    </row>
    <row r="524" spans="1:15">
      <c r="A524" s="355">
        <f t="shared" si="475"/>
        <v>459</v>
      </c>
      <c r="B524" s="372">
        <f t="shared" si="478"/>
        <v>43947.25</v>
      </c>
      <c r="C524" s="357">
        <f t="shared" si="442"/>
        <v>4</v>
      </c>
      <c r="D524" s="358" t="str">
        <f t="shared" si="443"/>
        <v>moon</v>
      </c>
      <c r="E524" s="368">
        <f t="shared" si="472"/>
        <v>9</v>
      </c>
      <c r="F524" s="367" t="str">
        <f t="shared" si="457"/>
        <v>mercury</v>
      </c>
      <c r="G524" s="367">
        <f t="shared" si="479"/>
        <v>8</v>
      </c>
      <c r="H524" s="367" t="str">
        <f t="shared" si="473"/>
        <v>saturn</v>
      </c>
      <c r="I524" s="369">
        <f t="shared" si="476"/>
        <v>43865.25</v>
      </c>
      <c r="J524" s="377">
        <f t="shared" si="474"/>
        <v>82</v>
      </c>
      <c r="K524" s="369">
        <f t="shared" si="480"/>
        <v>43947.25</v>
      </c>
      <c r="L524" s="360">
        <f t="shared" si="477"/>
        <v>459</v>
      </c>
      <c r="N524" s="358">
        <f>SUM(J516:J524)</f>
        <v>513</v>
      </c>
      <c r="O524" s="381"/>
    </row>
    <row r="525" spans="1:15">
      <c r="A525" s="399"/>
      <c r="B525" s="386"/>
      <c r="C525" s="387">
        <f>C515</f>
        <v>4</v>
      </c>
      <c r="D525" s="373" t="str">
        <f>D515</f>
        <v>moon</v>
      </c>
      <c r="E525" s="393">
        <f>IF(E515+1&gt;9,E515+1-9,E515+1)</f>
        <v>1</v>
      </c>
      <c r="F525" s="389" t="str">
        <f t="shared" si="457"/>
        <v>ketu</v>
      </c>
      <c r="G525" s="389"/>
      <c r="H525" s="389"/>
      <c r="I525" s="390">
        <f>K515</f>
        <v>43941.25</v>
      </c>
      <c r="J525" s="373">
        <f>ROUND(J$464*VLOOKUP(E525,$A$848:$E$856,5,FALSE),0)</f>
        <v>219</v>
      </c>
      <c r="K525" s="390">
        <f>I525+J525</f>
        <v>44160.25</v>
      </c>
      <c r="L525" s="400"/>
      <c r="M525" s="373"/>
      <c r="N525" s="373"/>
      <c r="O525" s="381"/>
    </row>
    <row r="526" spans="1:15">
      <c r="A526" s="355">
        <f>A524+1</f>
        <v>460</v>
      </c>
      <c r="B526" s="372">
        <f>K526</f>
        <v>43960.25</v>
      </c>
      <c r="C526" s="357">
        <f t="shared" si="442"/>
        <v>4</v>
      </c>
      <c r="D526" s="358" t="str">
        <f t="shared" si="443"/>
        <v>moon</v>
      </c>
      <c r="E526" s="368">
        <f t="shared" ref="E526:E534" si="481">E525</f>
        <v>1</v>
      </c>
      <c r="F526" s="367" t="str">
        <f t="shared" si="457"/>
        <v>ketu</v>
      </c>
      <c r="G526" s="367">
        <f>E526</f>
        <v>1</v>
      </c>
      <c r="H526" s="367" t="str">
        <f t="shared" ref="H526:H534" si="482">VLOOKUP(G526,$A$848:$B$856,2,FALSE)</f>
        <v>ketu</v>
      </c>
      <c r="I526" s="369">
        <f>K524</f>
        <v>43947.25</v>
      </c>
      <c r="J526" s="377">
        <f t="shared" ref="J526:J534" si="483">ROUND(J$525*VLOOKUP(G526,$A$848:$E$856,5,FALSE),0)</f>
        <v>13</v>
      </c>
      <c r="K526" s="369">
        <f>I526+J526</f>
        <v>43960.25</v>
      </c>
      <c r="L526" s="360">
        <f>L524+1</f>
        <v>460</v>
      </c>
      <c r="O526" s="381"/>
    </row>
    <row r="527" spans="1:15">
      <c r="A527" s="355">
        <f t="shared" ref="A527:A534" si="484">A526+1</f>
        <v>461</v>
      </c>
      <c r="B527" s="372">
        <f>K527</f>
        <v>43997.25</v>
      </c>
      <c r="C527" s="357">
        <f t="shared" si="442"/>
        <v>4</v>
      </c>
      <c r="D527" s="358" t="str">
        <f t="shared" si="443"/>
        <v>moon</v>
      </c>
      <c r="E527" s="368">
        <f t="shared" si="481"/>
        <v>1</v>
      </c>
      <c r="F527" s="367" t="str">
        <f t="shared" si="457"/>
        <v>ketu</v>
      </c>
      <c r="G527" s="367">
        <f>IF(G526+1&gt;9,G526+1-9,G526+1)</f>
        <v>2</v>
      </c>
      <c r="H527" s="367" t="str">
        <f t="shared" si="482"/>
        <v>venus</v>
      </c>
      <c r="I527" s="369">
        <f t="shared" ref="I527:I534" si="485">K526</f>
        <v>43960.25</v>
      </c>
      <c r="J527" s="377">
        <f t="shared" si="483"/>
        <v>37</v>
      </c>
      <c r="K527" s="369">
        <f>I527+J527</f>
        <v>43997.25</v>
      </c>
      <c r="L527" s="360">
        <f t="shared" ref="L527:L534" si="486">L526+1</f>
        <v>461</v>
      </c>
      <c r="O527" s="381"/>
    </row>
    <row r="528" spans="1:15">
      <c r="A528" s="355">
        <f t="shared" si="484"/>
        <v>462</v>
      </c>
      <c r="B528" s="372">
        <f t="shared" ref="B528:B534" si="487">K528</f>
        <v>44008.25</v>
      </c>
      <c r="C528" s="357">
        <f t="shared" si="442"/>
        <v>4</v>
      </c>
      <c r="D528" s="358" t="str">
        <f t="shared" si="443"/>
        <v>moon</v>
      </c>
      <c r="E528" s="368">
        <f t="shared" si="481"/>
        <v>1</v>
      </c>
      <c r="F528" s="367" t="str">
        <f t="shared" si="457"/>
        <v>ketu</v>
      </c>
      <c r="G528" s="367">
        <f t="shared" ref="G528:G534" si="488">IF(G527+1&gt;9,G527+1-9,G527+1)</f>
        <v>3</v>
      </c>
      <c r="H528" s="367" t="str">
        <f t="shared" si="482"/>
        <v>sun</v>
      </c>
      <c r="I528" s="369">
        <f t="shared" si="485"/>
        <v>43997.25</v>
      </c>
      <c r="J528" s="377">
        <f t="shared" si="483"/>
        <v>11</v>
      </c>
      <c r="K528" s="369">
        <f t="shared" ref="K528:K534" si="489">I528+J528</f>
        <v>44008.25</v>
      </c>
      <c r="L528" s="360">
        <f t="shared" si="486"/>
        <v>462</v>
      </c>
      <c r="O528" s="381"/>
    </row>
    <row r="529" spans="1:15">
      <c r="A529" s="355">
        <f t="shared" si="484"/>
        <v>463</v>
      </c>
      <c r="B529" s="372">
        <f t="shared" si="487"/>
        <v>44026.25</v>
      </c>
      <c r="C529" s="357">
        <f t="shared" si="442"/>
        <v>4</v>
      </c>
      <c r="D529" s="358" t="str">
        <f t="shared" si="443"/>
        <v>moon</v>
      </c>
      <c r="E529" s="368">
        <f t="shared" si="481"/>
        <v>1</v>
      </c>
      <c r="F529" s="367" t="str">
        <f t="shared" ref="F529:F554" si="490">VLOOKUP(E529,$A$848:$B$856,2,FALSE)</f>
        <v>ketu</v>
      </c>
      <c r="G529" s="367">
        <f t="shared" si="488"/>
        <v>4</v>
      </c>
      <c r="H529" s="367" t="str">
        <f t="shared" si="482"/>
        <v>moon</v>
      </c>
      <c r="I529" s="369">
        <f t="shared" si="485"/>
        <v>44008.25</v>
      </c>
      <c r="J529" s="377">
        <f t="shared" si="483"/>
        <v>18</v>
      </c>
      <c r="K529" s="369">
        <f t="shared" si="489"/>
        <v>44026.25</v>
      </c>
      <c r="L529" s="360">
        <f t="shared" si="486"/>
        <v>463</v>
      </c>
      <c r="O529" s="381"/>
    </row>
    <row r="530" spans="1:15">
      <c r="A530" s="355">
        <f t="shared" si="484"/>
        <v>464</v>
      </c>
      <c r="B530" s="372">
        <f t="shared" si="487"/>
        <v>44039.25</v>
      </c>
      <c r="C530" s="357">
        <f t="shared" si="442"/>
        <v>4</v>
      </c>
      <c r="D530" s="358" t="str">
        <f t="shared" si="443"/>
        <v>moon</v>
      </c>
      <c r="E530" s="368">
        <f t="shared" si="481"/>
        <v>1</v>
      </c>
      <c r="F530" s="367" t="str">
        <f t="shared" si="490"/>
        <v>ketu</v>
      </c>
      <c r="G530" s="367">
        <f t="shared" si="488"/>
        <v>5</v>
      </c>
      <c r="H530" s="367" t="str">
        <f t="shared" si="482"/>
        <v>mars</v>
      </c>
      <c r="I530" s="369">
        <f t="shared" si="485"/>
        <v>44026.25</v>
      </c>
      <c r="J530" s="377">
        <f t="shared" si="483"/>
        <v>13</v>
      </c>
      <c r="K530" s="369">
        <f t="shared" si="489"/>
        <v>44039.25</v>
      </c>
      <c r="L530" s="360">
        <f t="shared" si="486"/>
        <v>464</v>
      </c>
      <c r="O530" s="381"/>
    </row>
    <row r="531" spans="1:15">
      <c r="A531" s="355">
        <f t="shared" si="484"/>
        <v>465</v>
      </c>
      <c r="B531" s="372">
        <f t="shared" si="487"/>
        <v>44072.25</v>
      </c>
      <c r="C531" s="357">
        <f t="shared" si="442"/>
        <v>4</v>
      </c>
      <c r="D531" s="358" t="str">
        <f t="shared" si="443"/>
        <v>moon</v>
      </c>
      <c r="E531" s="368">
        <f t="shared" si="481"/>
        <v>1</v>
      </c>
      <c r="F531" s="367" t="str">
        <f t="shared" si="490"/>
        <v>ketu</v>
      </c>
      <c r="G531" s="367">
        <f t="shared" si="488"/>
        <v>6</v>
      </c>
      <c r="H531" s="367" t="str">
        <f t="shared" si="482"/>
        <v>rahu</v>
      </c>
      <c r="I531" s="369">
        <f t="shared" si="485"/>
        <v>44039.25</v>
      </c>
      <c r="J531" s="377">
        <f t="shared" si="483"/>
        <v>33</v>
      </c>
      <c r="K531" s="369">
        <f t="shared" si="489"/>
        <v>44072.25</v>
      </c>
      <c r="L531" s="360">
        <f t="shared" si="486"/>
        <v>465</v>
      </c>
      <c r="O531" s="381"/>
    </row>
    <row r="532" spans="1:15">
      <c r="A532" s="355">
        <f t="shared" si="484"/>
        <v>466</v>
      </c>
      <c r="B532" s="372">
        <f t="shared" si="487"/>
        <v>44100.25</v>
      </c>
      <c r="C532" s="357">
        <f t="shared" si="442"/>
        <v>4</v>
      </c>
      <c r="D532" s="358" t="str">
        <f t="shared" si="443"/>
        <v>moon</v>
      </c>
      <c r="E532" s="368">
        <f t="shared" si="481"/>
        <v>1</v>
      </c>
      <c r="F532" s="367" t="str">
        <f t="shared" si="490"/>
        <v>ketu</v>
      </c>
      <c r="G532" s="367">
        <f t="shared" si="488"/>
        <v>7</v>
      </c>
      <c r="H532" s="367" t="str">
        <f t="shared" si="482"/>
        <v>jupiter</v>
      </c>
      <c r="I532" s="369">
        <f t="shared" si="485"/>
        <v>44072.25</v>
      </c>
      <c r="J532" s="377">
        <f t="shared" si="483"/>
        <v>28</v>
      </c>
      <c r="K532" s="369">
        <f t="shared" si="489"/>
        <v>44100.25</v>
      </c>
      <c r="L532" s="360">
        <f t="shared" si="486"/>
        <v>466</v>
      </c>
      <c r="O532" s="381"/>
    </row>
    <row r="533" spans="1:15">
      <c r="A533" s="355">
        <f t="shared" si="484"/>
        <v>467</v>
      </c>
      <c r="B533" s="372">
        <f t="shared" si="487"/>
        <v>44135.25</v>
      </c>
      <c r="C533" s="357">
        <f t="shared" si="442"/>
        <v>4</v>
      </c>
      <c r="D533" s="358" t="str">
        <f t="shared" si="443"/>
        <v>moon</v>
      </c>
      <c r="E533" s="368">
        <f t="shared" si="481"/>
        <v>1</v>
      </c>
      <c r="F533" s="367" t="str">
        <f t="shared" si="490"/>
        <v>ketu</v>
      </c>
      <c r="G533" s="367">
        <f t="shared" si="488"/>
        <v>8</v>
      </c>
      <c r="H533" s="367" t="str">
        <f t="shared" si="482"/>
        <v>saturn</v>
      </c>
      <c r="I533" s="369">
        <f t="shared" si="485"/>
        <v>44100.25</v>
      </c>
      <c r="J533" s="377">
        <f t="shared" si="483"/>
        <v>35</v>
      </c>
      <c r="K533" s="369">
        <f t="shared" si="489"/>
        <v>44135.25</v>
      </c>
      <c r="L533" s="360">
        <f t="shared" si="486"/>
        <v>467</v>
      </c>
      <c r="O533" s="381"/>
    </row>
    <row r="534" spans="1:15">
      <c r="A534" s="355">
        <f t="shared" si="484"/>
        <v>468</v>
      </c>
      <c r="B534" s="372">
        <f t="shared" si="487"/>
        <v>44166.25</v>
      </c>
      <c r="C534" s="357">
        <f t="shared" si="442"/>
        <v>4</v>
      </c>
      <c r="D534" s="358" t="str">
        <f t="shared" si="443"/>
        <v>moon</v>
      </c>
      <c r="E534" s="368">
        <f t="shared" si="481"/>
        <v>1</v>
      </c>
      <c r="F534" s="367" t="str">
        <f t="shared" si="490"/>
        <v>ketu</v>
      </c>
      <c r="G534" s="367">
        <f t="shared" si="488"/>
        <v>9</v>
      </c>
      <c r="H534" s="367" t="str">
        <f t="shared" si="482"/>
        <v>mercury</v>
      </c>
      <c r="I534" s="369">
        <f t="shared" si="485"/>
        <v>44135.25</v>
      </c>
      <c r="J534" s="377">
        <f t="shared" si="483"/>
        <v>31</v>
      </c>
      <c r="K534" s="369">
        <f t="shared" si="489"/>
        <v>44166.25</v>
      </c>
      <c r="L534" s="360">
        <f t="shared" si="486"/>
        <v>468</v>
      </c>
      <c r="N534" s="358">
        <f>SUM(J526:J534)</f>
        <v>219</v>
      </c>
      <c r="O534" s="381"/>
    </row>
    <row r="535" spans="1:15">
      <c r="A535" s="399"/>
      <c r="B535" s="386"/>
      <c r="C535" s="387">
        <f>C525</f>
        <v>4</v>
      </c>
      <c r="D535" s="373" t="str">
        <f>D525</f>
        <v>moon</v>
      </c>
      <c r="E535" s="393">
        <f>IF(E525+1&gt;9,E525+1-9,E525+1)</f>
        <v>2</v>
      </c>
      <c r="F535" s="389" t="str">
        <f t="shared" si="490"/>
        <v>venus</v>
      </c>
      <c r="G535" s="389"/>
      <c r="H535" s="389"/>
      <c r="I535" s="390">
        <f>K525</f>
        <v>44160.25</v>
      </c>
      <c r="J535" s="373">
        <f>ROUND(J$464*VLOOKUP(E535,$A$848:$E$856,5,FALSE),0)</f>
        <v>621</v>
      </c>
      <c r="K535" s="390">
        <f>I535+J535</f>
        <v>44781.25</v>
      </c>
      <c r="L535" s="400"/>
      <c r="M535" s="373"/>
      <c r="N535" s="373"/>
      <c r="O535" s="381"/>
    </row>
    <row r="536" spans="1:15">
      <c r="A536" s="355">
        <f>A534+1</f>
        <v>469</v>
      </c>
      <c r="B536" s="372">
        <f>K536</f>
        <v>44272.25</v>
      </c>
      <c r="C536" s="357">
        <f t="shared" si="442"/>
        <v>4</v>
      </c>
      <c r="D536" s="358" t="str">
        <f t="shared" si="443"/>
        <v>moon</v>
      </c>
      <c r="E536" s="368">
        <f t="shared" ref="E536:E544" si="491">E535</f>
        <v>2</v>
      </c>
      <c r="F536" s="367" t="str">
        <f t="shared" si="490"/>
        <v>venus</v>
      </c>
      <c r="G536" s="367">
        <f>E536</f>
        <v>2</v>
      </c>
      <c r="H536" s="367" t="str">
        <f t="shared" ref="H536:H544" si="492">VLOOKUP(G536,$A$848:$B$856,2,FALSE)</f>
        <v>venus</v>
      </c>
      <c r="I536" s="369">
        <f>K534</f>
        <v>44166.25</v>
      </c>
      <c r="J536" s="377">
        <f t="shared" ref="J536:J544" si="493">ROUND(J$535*VLOOKUP(G536,$A$848:$E$856,5,FALSE),0)</f>
        <v>106</v>
      </c>
      <c r="K536" s="369">
        <f>I536+J536</f>
        <v>44272.25</v>
      </c>
      <c r="L536" s="360">
        <f>L534+1</f>
        <v>469</v>
      </c>
      <c r="O536" s="381"/>
    </row>
    <row r="537" spans="1:15">
      <c r="A537" s="355">
        <f t="shared" ref="A537:A544" si="494">A536+1</f>
        <v>470</v>
      </c>
      <c r="B537" s="372">
        <f>K537</f>
        <v>44303.25</v>
      </c>
      <c r="C537" s="357">
        <f t="shared" si="442"/>
        <v>4</v>
      </c>
      <c r="D537" s="358" t="str">
        <f t="shared" si="443"/>
        <v>moon</v>
      </c>
      <c r="E537" s="368">
        <f t="shared" si="491"/>
        <v>2</v>
      </c>
      <c r="F537" s="367" t="str">
        <f t="shared" si="490"/>
        <v>venus</v>
      </c>
      <c r="G537" s="367">
        <f>IF(G536+1&gt;9,G536+1-9,G536+1)</f>
        <v>3</v>
      </c>
      <c r="H537" s="367" t="str">
        <f t="shared" si="492"/>
        <v>sun</v>
      </c>
      <c r="I537" s="369">
        <f t="shared" ref="I537:I544" si="495">K536</f>
        <v>44272.25</v>
      </c>
      <c r="J537" s="377">
        <f t="shared" si="493"/>
        <v>31</v>
      </c>
      <c r="K537" s="369">
        <f>I537+J537</f>
        <v>44303.25</v>
      </c>
      <c r="L537" s="360">
        <f t="shared" ref="L537:L544" si="496">L536+1</f>
        <v>470</v>
      </c>
      <c r="O537" s="381"/>
    </row>
    <row r="538" spans="1:15">
      <c r="A538" s="355">
        <f t="shared" si="494"/>
        <v>471</v>
      </c>
      <c r="B538" s="372">
        <f t="shared" ref="B538:B544" si="497">K538</f>
        <v>44353.25</v>
      </c>
      <c r="C538" s="357">
        <f t="shared" si="442"/>
        <v>4</v>
      </c>
      <c r="D538" s="358" t="str">
        <f t="shared" si="443"/>
        <v>moon</v>
      </c>
      <c r="E538" s="368">
        <f t="shared" si="491"/>
        <v>2</v>
      </c>
      <c r="F538" s="367" t="str">
        <f t="shared" si="490"/>
        <v>venus</v>
      </c>
      <c r="G538" s="367">
        <f t="shared" ref="G538:G544" si="498">IF(G537+1&gt;9,G537+1-9,G537+1)</f>
        <v>4</v>
      </c>
      <c r="H538" s="367" t="str">
        <f t="shared" si="492"/>
        <v>moon</v>
      </c>
      <c r="I538" s="369">
        <f t="shared" si="495"/>
        <v>44303.25</v>
      </c>
      <c r="J538" s="377">
        <f t="shared" si="493"/>
        <v>50</v>
      </c>
      <c r="K538" s="369">
        <f t="shared" ref="K538:K544" si="499">I538+J538</f>
        <v>44353.25</v>
      </c>
      <c r="L538" s="360">
        <f t="shared" si="496"/>
        <v>471</v>
      </c>
      <c r="O538" s="381"/>
    </row>
    <row r="539" spans="1:15">
      <c r="A539" s="355">
        <f t="shared" si="494"/>
        <v>472</v>
      </c>
      <c r="B539" s="372">
        <f t="shared" si="497"/>
        <v>44390.25</v>
      </c>
      <c r="C539" s="357">
        <f t="shared" si="442"/>
        <v>4</v>
      </c>
      <c r="D539" s="358" t="str">
        <f t="shared" si="443"/>
        <v>moon</v>
      </c>
      <c r="E539" s="368">
        <f t="shared" si="491"/>
        <v>2</v>
      </c>
      <c r="F539" s="367" t="str">
        <f t="shared" si="490"/>
        <v>venus</v>
      </c>
      <c r="G539" s="367">
        <f t="shared" si="498"/>
        <v>5</v>
      </c>
      <c r="H539" s="367" t="str">
        <f t="shared" si="492"/>
        <v>mars</v>
      </c>
      <c r="I539" s="369">
        <f t="shared" si="495"/>
        <v>44353.25</v>
      </c>
      <c r="J539" s="377">
        <f t="shared" si="493"/>
        <v>37</v>
      </c>
      <c r="K539" s="369">
        <f t="shared" si="499"/>
        <v>44390.25</v>
      </c>
      <c r="L539" s="360">
        <f t="shared" si="496"/>
        <v>472</v>
      </c>
      <c r="O539" s="381"/>
    </row>
    <row r="540" spans="1:15">
      <c r="A540" s="355">
        <f t="shared" si="494"/>
        <v>473</v>
      </c>
      <c r="B540" s="372">
        <f t="shared" si="497"/>
        <v>44483.25</v>
      </c>
      <c r="C540" s="357">
        <f t="shared" si="442"/>
        <v>4</v>
      </c>
      <c r="D540" s="358" t="str">
        <f t="shared" si="443"/>
        <v>moon</v>
      </c>
      <c r="E540" s="368">
        <f t="shared" si="491"/>
        <v>2</v>
      </c>
      <c r="F540" s="367" t="str">
        <f t="shared" si="490"/>
        <v>venus</v>
      </c>
      <c r="G540" s="367">
        <f t="shared" si="498"/>
        <v>6</v>
      </c>
      <c r="H540" s="367" t="str">
        <f t="shared" si="492"/>
        <v>rahu</v>
      </c>
      <c r="I540" s="369">
        <f t="shared" si="495"/>
        <v>44390.25</v>
      </c>
      <c r="J540" s="377">
        <f t="shared" si="493"/>
        <v>93</v>
      </c>
      <c r="K540" s="369">
        <f t="shared" si="499"/>
        <v>44483.25</v>
      </c>
      <c r="L540" s="360">
        <f t="shared" si="496"/>
        <v>473</v>
      </c>
      <c r="O540" s="381"/>
    </row>
    <row r="541" spans="1:15">
      <c r="A541" s="355">
        <f t="shared" si="494"/>
        <v>474</v>
      </c>
      <c r="B541" s="372">
        <f t="shared" si="497"/>
        <v>44564.25</v>
      </c>
      <c r="C541" s="357">
        <f t="shared" si="442"/>
        <v>4</v>
      </c>
      <c r="D541" s="358" t="str">
        <f t="shared" si="443"/>
        <v>moon</v>
      </c>
      <c r="E541" s="368">
        <f t="shared" si="491"/>
        <v>2</v>
      </c>
      <c r="F541" s="367" t="str">
        <f t="shared" si="490"/>
        <v>venus</v>
      </c>
      <c r="G541" s="367">
        <f t="shared" si="498"/>
        <v>7</v>
      </c>
      <c r="H541" s="367" t="str">
        <f t="shared" si="492"/>
        <v>jupiter</v>
      </c>
      <c r="I541" s="369">
        <f t="shared" si="495"/>
        <v>44483.25</v>
      </c>
      <c r="J541" s="377">
        <f t="shared" si="493"/>
        <v>81</v>
      </c>
      <c r="K541" s="369">
        <f t="shared" si="499"/>
        <v>44564.25</v>
      </c>
      <c r="L541" s="360">
        <f t="shared" si="496"/>
        <v>474</v>
      </c>
      <c r="O541" s="381"/>
    </row>
    <row r="542" spans="1:15">
      <c r="A542" s="355">
        <f t="shared" si="494"/>
        <v>475</v>
      </c>
      <c r="B542" s="372">
        <f t="shared" si="497"/>
        <v>44663.25</v>
      </c>
      <c r="C542" s="357">
        <f t="shared" si="442"/>
        <v>4</v>
      </c>
      <c r="D542" s="358" t="str">
        <f t="shared" si="443"/>
        <v>moon</v>
      </c>
      <c r="E542" s="368">
        <f t="shared" si="491"/>
        <v>2</v>
      </c>
      <c r="F542" s="367" t="str">
        <f t="shared" si="490"/>
        <v>venus</v>
      </c>
      <c r="G542" s="367">
        <f t="shared" si="498"/>
        <v>8</v>
      </c>
      <c r="H542" s="367" t="str">
        <f t="shared" si="492"/>
        <v>saturn</v>
      </c>
      <c r="I542" s="369">
        <f t="shared" si="495"/>
        <v>44564.25</v>
      </c>
      <c r="J542" s="377">
        <f t="shared" si="493"/>
        <v>99</v>
      </c>
      <c r="K542" s="369">
        <f t="shared" si="499"/>
        <v>44663.25</v>
      </c>
      <c r="L542" s="360">
        <f t="shared" si="496"/>
        <v>475</v>
      </c>
      <c r="O542" s="381"/>
    </row>
    <row r="543" spans="1:15">
      <c r="A543" s="355">
        <f t="shared" si="494"/>
        <v>476</v>
      </c>
      <c r="B543" s="372">
        <f t="shared" si="497"/>
        <v>44750.25</v>
      </c>
      <c r="C543" s="357">
        <f t="shared" si="442"/>
        <v>4</v>
      </c>
      <c r="D543" s="358" t="str">
        <f t="shared" si="443"/>
        <v>moon</v>
      </c>
      <c r="E543" s="368">
        <f t="shared" si="491"/>
        <v>2</v>
      </c>
      <c r="F543" s="367" t="str">
        <f t="shared" si="490"/>
        <v>venus</v>
      </c>
      <c r="G543" s="367">
        <f t="shared" si="498"/>
        <v>9</v>
      </c>
      <c r="H543" s="367" t="str">
        <f t="shared" si="492"/>
        <v>mercury</v>
      </c>
      <c r="I543" s="369">
        <f t="shared" si="495"/>
        <v>44663.25</v>
      </c>
      <c r="J543" s="377">
        <f t="shared" si="493"/>
        <v>87</v>
      </c>
      <c r="K543" s="369">
        <f t="shared" si="499"/>
        <v>44750.25</v>
      </c>
      <c r="L543" s="360">
        <f t="shared" si="496"/>
        <v>476</v>
      </c>
      <c r="O543" s="381"/>
    </row>
    <row r="544" spans="1:15">
      <c r="A544" s="355">
        <f t="shared" si="494"/>
        <v>477</v>
      </c>
      <c r="B544" s="372">
        <f t="shared" si="497"/>
        <v>44787.25</v>
      </c>
      <c r="C544" s="357">
        <f t="shared" si="442"/>
        <v>4</v>
      </c>
      <c r="D544" s="358" t="str">
        <f t="shared" si="443"/>
        <v>moon</v>
      </c>
      <c r="E544" s="368">
        <f t="shared" si="491"/>
        <v>2</v>
      </c>
      <c r="F544" s="367" t="str">
        <f t="shared" si="490"/>
        <v>venus</v>
      </c>
      <c r="G544" s="367">
        <f t="shared" si="498"/>
        <v>1</v>
      </c>
      <c r="H544" s="367" t="str">
        <f t="shared" si="492"/>
        <v>ketu</v>
      </c>
      <c r="I544" s="369">
        <f t="shared" si="495"/>
        <v>44750.25</v>
      </c>
      <c r="J544" s="377">
        <f t="shared" si="493"/>
        <v>37</v>
      </c>
      <c r="K544" s="369">
        <f t="shared" si="499"/>
        <v>44787.25</v>
      </c>
      <c r="L544" s="360">
        <f t="shared" si="496"/>
        <v>477</v>
      </c>
      <c r="N544" s="358">
        <f>SUM(J536:J544)</f>
        <v>621</v>
      </c>
      <c r="O544" s="381"/>
    </row>
    <row r="545" spans="1:16">
      <c r="A545" s="399"/>
      <c r="B545" s="386"/>
      <c r="C545" s="387">
        <f>C535</f>
        <v>4</v>
      </c>
      <c r="D545" s="373" t="str">
        <f>D535</f>
        <v>moon</v>
      </c>
      <c r="E545" s="393">
        <f>IF(E535+1&gt;9,E535+1-9,E535+1)</f>
        <v>3</v>
      </c>
      <c r="F545" s="389" t="str">
        <f t="shared" si="490"/>
        <v>sun</v>
      </c>
      <c r="G545" s="389"/>
      <c r="H545" s="389"/>
      <c r="I545" s="390">
        <f>K535</f>
        <v>44781.25</v>
      </c>
      <c r="J545" s="373">
        <f>ROUND(J$464*VLOOKUP(E545,$A$848:$E$856,5,FALSE),0)</f>
        <v>183</v>
      </c>
      <c r="K545" s="390">
        <f>I545+J545</f>
        <v>44964.25</v>
      </c>
      <c r="L545" s="400"/>
      <c r="M545" s="373"/>
      <c r="N545" s="373"/>
      <c r="O545" s="381"/>
    </row>
    <row r="546" spans="1:16">
      <c r="A546" s="355">
        <f>A544+1</f>
        <v>478</v>
      </c>
      <c r="B546" s="372">
        <f>K546</f>
        <v>44796.25</v>
      </c>
      <c r="C546" s="357">
        <f t="shared" si="442"/>
        <v>4</v>
      </c>
      <c r="D546" s="358" t="str">
        <f t="shared" si="443"/>
        <v>moon</v>
      </c>
      <c r="E546" s="368">
        <f t="shared" ref="E546:E554" si="500">E545</f>
        <v>3</v>
      </c>
      <c r="F546" s="367" t="str">
        <f t="shared" si="490"/>
        <v>sun</v>
      </c>
      <c r="G546" s="367">
        <f>E546</f>
        <v>3</v>
      </c>
      <c r="H546" s="367" t="str">
        <f t="shared" ref="H546:H554" si="501">VLOOKUP(G546,$A$848:$B$856,2,FALSE)</f>
        <v>sun</v>
      </c>
      <c r="I546" s="369">
        <f>K544</f>
        <v>44787.25</v>
      </c>
      <c r="J546" s="377">
        <f t="shared" ref="J546:J554" si="502">ROUND(J$545*VLOOKUP(G546,$A$848:$E$856,5,FALSE),0)</f>
        <v>9</v>
      </c>
      <c r="K546" s="369">
        <f>I546+J546</f>
        <v>44796.25</v>
      </c>
      <c r="L546" s="360">
        <f>L544+1</f>
        <v>478</v>
      </c>
      <c r="O546" s="381"/>
    </row>
    <row r="547" spans="1:16">
      <c r="A547" s="355">
        <f t="shared" ref="A547:A554" si="503">A546+1</f>
        <v>479</v>
      </c>
      <c r="B547" s="372">
        <f>K547</f>
        <v>44811.25</v>
      </c>
      <c r="C547" s="357">
        <f t="shared" si="442"/>
        <v>4</v>
      </c>
      <c r="D547" s="358" t="str">
        <f t="shared" si="443"/>
        <v>moon</v>
      </c>
      <c r="E547" s="368">
        <f t="shared" si="500"/>
        <v>3</v>
      </c>
      <c r="F547" s="367" t="str">
        <f t="shared" si="490"/>
        <v>sun</v>
      </c>
      <c r="G547" s="367">
        <f>IF(G546+1&gt;9,G546+1-9,G546+1)</f>
        <v>4</v>
      </c>
      <c r="H547" s="367" t="str">
        <f t="shared" si="501"/>
        <v>moon</v>
      </c>
      <c r="I547" s="369">
        <f t="shared" ref="I547:I554" si="504">K546</f>
        <v>44796.25</v>
      </c>
      <c r="J547" s="377">
        <f t="shared" si="502"/>
        <v>15</v>
      </c>
      <c r="K547" s="369">
        <f>I547+J547</f>
        <v>44811.25</v>
      </c>
      <c r="L547" s="360">
        <f t="shared" ref="L547:L554" si="505">L546+1</f>
        <v>479</v>
      </c>
      <c r="O547" s="381"/>
    </row>
    <row r="548" spans="1:16">
      <c r="A548" s="355">
        <f t="shared" si="503"/>
        <v>480</v>
      </c>
      <c r="B548" s="372">
        <f t="shared" ref="B548:B554" si="506">K548</f>
        <v>44822.25</v>
      </c>
      <c r="C548" s="357">
        <f t="shared" si="442"/>
        <v>4</v>
      </c>
      <c r="D548" s="358" t="str">
        <f t="shared" si="443"/>
        <v>moon</v>
      </c>
      <c r="E548" s="368">
        <f t="shared" si="500"/>
        <v>3</v>
      </c>
      <c r="F548" s="367" t="str">
        <f t="shared" si="490"/>
        <v>sun</v>
      </c>
      <c r="G548" s="367">
        <f t="shared" ref="G548:G554" si="507">IF(G547+1&gt;9,G547+1-9,G547+1)</f>
        <v>5</v>
      </c>
      <c r="H548" s="367" t="str">
        <f t="shared" si="501"/>
        <v>mars</v>
      </c>
      <c r="I548" s="369">
        <f t="shared" si="504"/>
        <v>44811.25</v>
      </c>
      <c r="J548" s="377">
        <f t="shared" si="502"/>
        <v>11</v>
      </c>
      <c r="K548" s="369">
        <f t="shared" ref="K548:K554" si="508">I548+J548</f>
        <v>44822.25</v>
      </c>
      <c r="L548" s="360">
        <f t="shared" si="505"/>
        <v>480</v>
      </c>
      <c r="O548" s="381"/>
    </row>
    <row r="549" spans="1:16">
      <c r="A549" s="355">
        <f t="shared" si="503"/>
        <v>481</v>
      </c>
      <c r="B549" s="372">
        <f t="shared" si="506"/>
        <v>44849.25</v>
      </c>
      <c r="C549" s="357">
        <f t="shared" si="442"/>
        <v>4</v>
      </c>
      <c r="D549" s="358" t="str">
        <f t="shared" si="443"/>
        <v>moon</v>
      </c>
      <c r="E549" s="368">
        <f t="shared" si="500"/>
        <v>3</v>
      </c>
      <c r="F549" s="367" t="str">
        <f t="shared" si="490"/>
        <v>sun</v>
      </c>
      <c r="G549" s="367">
        <f t="shared" si="507"/>
        <v>6</v>
      </c>
      <c r="H549" s="367" t="str">
        <f t="shared" si="501"/>
        <v>rahu</v>
      </c>
      <c r="I549" s="369">
        <f t="shared" si="504"/>
        <v>44822.25</v>
      </c>
      <c r="J549" s="377">
        <f t="shared" si="502"/>
        <v>27</v>
      </c>
      <c r="K549" s="369">
        <f t="shared" si="508"/>
        <v>44849.25</v>
      </c>
      <c r="L549" s="360">
        <f t="shared" si="505"/>
        <v>481</v>
      </c>
      <c r="O549" s="381"/>
    </row>
    <row r="550" spans="1:16">
      <c r="A550" s="355">
        <f t="shared" si="503"/>
        <v>482</v>
      </c>
      <c r="B550" s="372">
        <f t="shared" si="506"/>
        <v>44873.25</v>
      </c>
      <c r="C550" s="357">
        <f t="shared" si="442"/>
        <v>4</v>
      </c>
      <c r="D550" s="358" t="str">
        <f t="shared" si="443"/>
        <v>moon</v>
      </c>
      <c r="E550" s="368">
        <f t="shared" si="500"/>
        <v>3</v>
      </c>
      <c r="F550" s="367" t="str">
        <f t="shared" si="490"/>
        <v>sun</v>
      </c>
      <c r="G550" s="367">
        <f t="shared" si="507"/>
        <v>7</v>
      </c>
      <c r="H550" s="367" t="str">
        <f t="shared" si="501"/>
        <v>jupiter</v>
      </c>
      <c r="I550" s="369">
        <f t="shared" si="504"/>
        <v>44849.25</v>
      </c>
      <c r="J550" s="377">
        <f t="shared" si="502"/>
        <v>24</v>
      </c>
      <c r="K550" s="369">
        <f t="shared" si="508"/>
        <v>44873.25</v>
      </c>
      <c r="L550" s="360">
        <f t="shared" si="505"/>
        <v>482</v>
      </c>
      <c r="O550" s="381"/>
    </row>
    <row r="551" spans="1:16">
      <c r="A551" s="355">
        <f t="shared" si="503"/>
        <v>483</v>
      </c>
      <c r="B551" s="372">
        <f t="shared" si="506"/>
        <v>44902.25</v>
      </c>
      <c r="C551" s="357">
        <f t="shared" si="442"/>
        <v>4</v>
      </c>
      <c r="D551" s="358" t="str">
        <f t="shared" si="443"/>
        <v>moon</v>
      </c>
      <c r="E551" s="368">
        <f t="shared" si="500"/>
        <v>3</v>
      </c>
      <c r="F551" s="367" t="str">
        <f t="shared" si="490"/>
        <v>sun</v>
      </c>
      <c r="G551" s="367">
        <f t="shared" si="507"/>
        <v>8</v>
      </c>
      <c r="H551" s="367" t="str">
        <f t="shared" si="501"/>
        <v>saturn</v>
      </c>
      <c r="I551" s="369">
        <f t="shared" si="504"/>
        <v>44873.25</v>
      </c>
      <c r="J551" s="377">
        <f t="shared" si="502"/>
        <v>29</v>
      </c>
      <c r="K551" s="369">
        <f t="shared" si="508"/>
        <v>44902.25</v>
      </c>
      <c r="L551" s="360">
        <f t="shared" si="505"/>
        <v>483</v>
      </c>
      <c r="O551" s="381"/>
    </row>
    <row r="552" spans="1:16">
      <c r="A552" s="355">
        <f t="shared" si="503"/>
        <v>484</v>
      </c>
      <c r="B552" s="372">
        <f t="shared" si="506"/>
        <v>44928.25</v>
      </c>
      <c r="C552" s="357">
        <f t="shared" si="442"/>
        <v>4</v>
      </c>
      <c r="D552" s="358" t="str">
        <f t="shared" si="443"/>
        <v>moon</v>
      </c>
      <c r="E552" s="368">
        <f t="shared" si="500"/>
        <v>3</v>
      </c>
      <c r="F552" s="367" t="str">
        <f t="shared" si="490"/>
        <v>sun</v>
      </c>
      <c r="G552" s="367">
        <f t="shared" si="507"/>
        <v>9</v>
      </c>
      <c r="H552" s="367" t="str">
        <f t="shared" si="501"/>
        <v>mercury</v>
      </c>
      <c r="I552" s="369">
        <f t="shared" si="504"/>
        <v>44902.25</v>
      </c>
      <c r="J552" s="377">
        <f t="shared" si="502"/>
        <v>26</v>
      </c>
      <c r="K552" s="369">
        <f t="shared" si="508"/>
        <v>44928.25</v>
      </c>
      <c r="L552" s="360">
        <f t="shared" si="505"/>
        <v>484</v>
      </c>
      <c r="O552" s="381"/>
    </row>
    <row r="553" spans="1:16">
      <c r="A553" s="355">
        <f t="shared" si="503"/>
        <v>485</v>
      </c>
      <c r="B553" s="372">
        <f t="shared" si="506"/>
        <v>44939.25</v>
      </c>
      <c r="C553" s="357">
        <f t="shared" si="442"/>
        <v>4</v>
      </c>
      <c r="D553" s="358" t="str">
        <f t="shared" si="443"/>
        <v>moon</v>
      </c>
      <c r="E553" s="368">
        <f t="shared" si="500"/>
        <v>3</v>
      </c>
      <c r="F553" s="367" t="str">
        <f t="shared" si="490"/>
        <v>sun</v>
      </c>
      <c r="G553" s="367">
        <f t="shared" si="507"/>
        <v>1</v>
      </c>
      <c r="H553" s="367" t="str">
        <f t="shared" si="501"/>
        <v>ketu</v>
      </c>
      <c r="I553" s="369">
        <f t="shared" si="504"/>
        <v>44928.25</v>
      </c>
      <c r="J553" s="377">
        <f t="shared" si="502"/>
        <v>11</v>
      </c>
      <c r="K553" s="369">
        <f t="shared" si="508"/>
        <v>44939.25</v>
      </c>
      <c r="L553" s="360">
        <f t="shared" si="505"/>
        <v>485</v>
      </c>
      <c r="O553" s="381"/>
    </row>
    <row r="554" spans="1:16" ht="13.8" thickBot="1">
      <c r="A554" s="355">
        <f t="shared" si="503"/>
        <v>486</v>
      </c>
      <c r="B554" s="372">
        <f t="shared" si="506"/>
        <v>44970.25</v>
      </c>
      <c r="C554" s="357">
        <f t="shared" si="442"/>
        <v>4</v>
      </c>
      <c r="D554" s="358" t="str">
        <f t="shared" si="443"/>
        <v>moon</v>
      </c>
      <c r="E554" s="368">
        <f t="shared" si="500"/>
        <v>3</v>
      </c>
      <c r="F554" s="367" t="str">
        <f t="shared" si="490"/>
        <v>sun</v>
      </c>
      <c r="G554" s="367">
        <f t="shared" si="507"/>
        <v>2</v>
      </c>
      <c r="H554" s="367" t="str">
        <f t="shared" si="501"/>
        <v>venus</v>
      </c>
      <c r="I554" s="369">
        <f t="shared" si="504"/>
        <v>44939.25</v>
      </c>
      <c r="J554" s="377">
        <f t="shared" si="502"/>
        <v>31</v>
      </c>
      <c r="K554" s="369">
        <f t="shared" si="508"/>
        <v>44970.25</v>
      </c>
      <c r="L554" s="360">
        <f t="shared" si="505"/>
        <v>486</v>
      </c>
      <c r="N554" s="358">
        <f>SUM(J546:J554)</f>
        <v>183</v>
      </c>
      <c r="O554" s="413" t="s">
        <v>554</v>
      </c>
      <c r="P554" s="413"/>
    </row>
    <row r="555" spans="1:16">
      <c r="A555" s="404"/>
      <c r="B555" s="405"/>
      <c r="C555" s="406">
        <f>IF(C464+1&gt;9,C464+1-9,C464+1)</f>
        <v>5</v>
      </c>
      <c r="D555" s="407" t="str">
        <f>VLOOKUP(C555,$A$848:$B$856,2,FALSE)</f>
        <v>mars</v>
      </c>
      <c r="E555" s="408"/>
      <c r="F555" s="383"/>
      <c r="G555" s="383"/>
      <c r="H555" s="383"/>
      <c r="I555" s="410">
        <f>K464</f>
        <v>44964.75</v>
      </c>
      <c r="J555" s="370">
        <f>VLOOKUP(C555,$A$848:$D$856,4,FALSE)</f>
        <v>2556.75</v>
      </c>
      <c r="K555" s="376">
        <f t="shared" ref="K555:K578" si="509">I555+J555</f>
        <v>47521.5</v>
      </c>
      <c r="L555" s="409"/>
      <c r="M555" s="376">
        <f>K464</f>
        <v>44964.75</v>
      </c>
      <c r="N555" s="370">
        <f>N474+N484+N494+N504+N514+N524+N534+N544+N554</f>
        <v>3658</v>
      </c>
      <c r="O555" s="413">
        <f>J464-N555</f>
        <v>-5.5</v>
      </c>
      <c r="P555" s="413">
        <f>K554-I555</f>
        <v>5.5</v>
      </c>
    </row>
    <row r="556" spans="1:16">
      <c r="A556" s="399"/>
      <c r="B556" s="386"/>
      <c r="C556" s="387">
        <f t="shared" ref="C556:C565" si="510">C555</f>
        <v>5</v>
      </c>
      <c r="D556" s="373" t="str">
        <f t="shared" ref="D556:D565" si="511">D555</f>
        <v>mars</v>
      </c>
      <c r="E556" s="388">
        <f t="shared" ref="E556:E565" si="512">C555</f>
        <v>5</v>
      </c>
      <c r="F556" s="389" t="str">
        <f t="shared" ref="F556:F587" si="513">VLOOKUP(E556,$A$848:$B$856,2,FALSE)</f>
        <v>mars</v>
      </c>
      <c r="G556" s="389"/>
      <c r="H556" s="389"/>
      <c r="I556" s="402">
        <f>I555</f>
        <v>44964.75</v>
      </c>
      <c r="J556" s="373">
        <f>ROUND(J$555*VLOOKUP(E556,$A$848:$E$856,5,FALSE),0)</f>
        <v>153</v>
      </c>
      <c r="K556" s="390">
        <f t="shared" si="509"/>
        <v>45117.75</v>
      </c>
      <c r="L556" s="400"/>
      <c r="M556" s="373"/>
      <c r="N556" s="373"/>
      <c r="O556" s="381"/>
    </row>
    <row r="557" spans="1:16" ht="13.8" thickBot="1">
      <c r="A557" s="355">
        <f>A554+1</f>
        <v>487</v>
      </c>
      <c r="B557" s="372">
        <f t="shared" ref="B557:B565" si="514">K557</f>
        <v>44973.75</v>
      </c>
      <c r="C557" s="357">
        <f t="shared" si="510"/>
        <v>5</v>
      </c>
      <c r="D557" s="358" t="str">
        <f t="shared" si="511"/>
        <v>mars</v>
      </c>
      <c r="E557" s="359">
        <f t="shared" si="512"/>
        <v>5</v>
      </c>
      <c r="F557" s="367" t="str">
        <f t="shared" si="513"/>
        <v>mars</v>
      </c>
      <c r="G557" s="367">
        <f>E557</f>
        <v>5</v>
      </c>
      <c r="H557" s="367" t="str">
        <f t="shared" ref="H557:H565" si="515">VLOOKUP(G557,$A$848:$B$856,2,FALSE)</f>
        <v>mars</v>
      </c>
      <c r="I557" s="403">
        <f>I555</f>
        <v>44964.75</v>
      </c>
      <c r="J557" s="377">
        <f t="shared" ref="J557:J565" si="516">ROUND(J$556*VLOOKUP(G557,$A$848:$E$856,5,FALSE),0)</f>
        <v>9</v>
      </c>
      <c r="K557" s="369">
        <f t="shared" si="509"/>
        <v>44973.75</v>
      </c>
      <c r="L557" s="360">
        <f>L554+1</f>
        <v>487</v>
      </c>
      <c r="O557" s="381"/>
    </row>
    <row r="558" spans="1:16">
      <c r="A558" s="355">
        <f t="shared" ref="A558:A565" si="517">A557+1</f>
        <v>488</v>
      </c>
      <c r="B558" s="372">
        <f t="shared" si="514"/>
        <v>44996.75</v>
      </c>
      <c r="C558" s="357">
        <f t="shared" si="510"/>
        <v>5</v>
      </c>
      <c r="D558" s="358" t="str">
        <f t="shared" si="511"/>
        <v>mars</v>
      </c>
      <c r="E558" s="359">
        <f t="shared" si="512"/>
        <v>5</v>
      </c>
      <c r="F558" s="367" t="str">
        <f t="shared" si="513"/>
        <v>mars</v>
      </c>
      <c r="G558" s="367">
        <f t="shared" ref="G558:G565" si="518">IF(G557+1&gt;9,G557+1-9,G557+1)</f>
        <v>6</v>
      </c>
      <c r="H558" s="367" t="str">
        <f t="shared" si="515"/>
        <v>rahu</v>
      </c>
      <c r="I558" s="369">
        <f t="shared" ref="I558:I565" si="519">K557</f>
        <v>44973.75</v>
      </c>
      <c r="J558" s="377">
        <f t="shared" si="516"/>
        <v>23</v>
      </c>
      <c r="K558" s="369">
        <f t="shared" si="509"/>
        <v>44996.75</v>
      </c>
      <c r="L558" s="360">
        <f t="shared" ref="L558:L565" si="520">L557+1</f>
        <v>488</v>
      </c>
      <c r="O558" s="381"/>
    </row>
    <row r="559" spans="1:16">
      <c r="A559" s="355">
        <f t="shared" si="517"/>
        <v>489</v>
      </c>
      <c r="B559" s="372">
        <f t="shared" si="514"/>
        <v>45016.75</v>
      </c>
      <c r="C559" s="357">
        <f t="shared" si="510"/>
        <v>5</v>
      </c>
      <c r="D559" s="358" t="str">
        <f t="shared" si="511"/>
        <v>mars</v>
      </c>
      <c r="E559" s="359">
        <f t="shared" si="512"/>
        <v>5</v>
      </c>
      <c r="F559" s="367" t="str">
        <f t="shared" si="513"/>
        <v>mars</v>
      </c>
      <c r="G559" s="367">
        <f t="shared" si="518"/>
        <v>7</v>
      </c>
      <c r="H559" s="367" t="str">
        <f t="shared" si="515"/>
        <v>jupiter</v>
      </c>
      <c r="I559" s="369">
        <f t="shared" si="519"/>
        <v>44996.75</v>
      </c>
      <c r="J559" s="377">
        <f t="shared" si="516"/>
        <v>20</v>
      </c>
      <c r="K559" s="369">
        <f t="shared" si="509"/>
        <v>45016.75</v>
      </c>
      <c r="L559" s="360">
        <f t="shared" si="520"/>
        <v>489</v>
      </c>
      <c r="O559" s="381"/>
    </row>
    <row r="560" spans="1:16">
      <c r="A560" s="355">
        <f t="shared" si="517"/>
        <v>490</v>
      </c>
      <c r="B560" s="372">
        <f t="shared" si="514"/>
        <v>45040.75</v>
      </c>
      <c r="C560" s="357">
        <f t="shared" si="510"/>
        <v>5</v>
      </c>
      <c r="D560" s="358" t="str">
        <f t="shared" si="511"/>
        <v>mars</v>
      </c>
      <c r="E560" s="359">
        <f t="shared" si="512"/>
        <v>5</v>
      </c>
      <c r="F560" s="367" t="str">
        <f t="shared" si="513"/>
        <v>mars</v>
      </c>
      <c r="G560" s="367">
        <f t="shared" si="518"/>
        <v>8</v>
      </c>
      <c r="H560" s="367" t="str">
        <f t="shared" si="515"/>
        <v>saturn</v>
      </c>
      <c r="I560" s="369">
        <f t="shared" si="519"/>
        <v>45016.75</v>
      </c>
      <c r="J560" s="377">
        <f t="shared" si="516"/>
        <v>24</v>
      </c>
      <c r="K560" s="369">
        <f t="shared" si="509"/>
        <v>45040.75</v>
      </c>
      <c r="L560" s="360">
        <f t="shared" si="520"/>
        <v>490</v>
      </c>
      <c r="O560" s="381"/>
    </row>
    <row r="561" spans="1:15">
      <c r="A561" s="355">
        <f t="shared" si="517"/>
        <v>491</v>
      </c>
      <c r="B561" s="372">
        <f t="shared" si="514"/>
        <v>45061.75</v>
      </c>
      <c r="C561" s="357">
        <f t="shared" si="510"/>
        <v>5</v>
      </c>
      <c r="D561" s="358" t="str">
        <f t="shared" si="511"/>
        <v>mars</v>
      </c>
      <c r="E561" s="359">
        <f t="shared" si="512"/>
        <v>5</v>
      </c>
      <c r="F561" s="367" t="str">
        <f t="shared" si="513"/>
        <v>mars</v>
      </c>
      <c r="G561" s="367">
        <f t="shared" si="518"/>
        <v>9</v>
      </c>
      <c r="H561" s="367" t="str">
        <f t="shared" si="515"/>
        <v>mercury</v>
      </c>
      <c r="I561" s="369">
        <f t="shared" si="519"/>
        <v>45040.75</v>
      </c>
      <c r="J561" s="377">
        <f t="shared" si="516"/>
        <v>21</v>
      </c>
      <c r="K561" s="369">
        <f t="shared" si="509"/>
        <v>45061.75</v>
      </c>
      <c r="L561" s="360">
        <f t="shared" si="520"/>
        <v>491</v>
      </c>
      <c r="O561" s="381"/>
    </row>
    <row r="562" spans="1:15">
      <c r="A562" s="355">
        <f t="shared" si="517"/>
        <v>492</v>
      </c>
      <c r="B562" s="372">
        <f t="shared" si="514"/>
        <v>45070.75</v>
      </c>
      <c r="C562" s="357">
        <f t="shared" si="510"/>
        <v>5</v>
      </c>
      <c r="D562" s="358" t="str">
        <f t="shared" si="511"/>
        <v>mars</v>
      </c>
      <c r="E562" s="359">
        <f t="shared" si="512"/>
        <v>5</v>
      </c>
      <c r="F562" s="367" t="str">
        <f t="shared" si="513"/>
        <v>mars</v>
      </c>
      <c r="G562" s="367">
        <f t="shared" si="518"/>
        <v>1</v>
      </c>
      <c r="H562" s="367" t="str">
        <f t="shared" si="515"/>
        <v>ketu</v>
      </c>
      <c r="I562" s="369">
        <f t="shared" si="519"/>
        <v>45061.75</v>
      </c>
      <c r="J562" s="377">
        <f t="shared" si="516"/>
        <v>9</v>
      </c>
      <c r="K562" s="369">
        <f t="shared" si="509"/>
        <v>45070.75</v>
      </c>
      <c r="L562" s="360">
        <f t="shared" si="520"/>
        <v>492</v>
      </c>
      <c r="O562" s="381"/>
    </row>
    <row r="563" spans="1:15">
      <c r="A563" s="355">
        <f t="shared" si="517"/>
        <v>493</v>
      </c>
      <c r="B563" s="372">
        <f t="shared" si="514"/>
        <v>45096.75</v>
      </c>
      <c r="C563" s="357">
        <f t="shared" si="510"/>
        <v>5</v>
      </c>
      <c r="D563" s="358" t="str">
        <f t="shared" si="511"/>
        <v>mars</v>
      </c>
      <c r="E563" s="359">
        <f t="shared" si="512"/>
        <v>5</v>
      </c>
      <c r="F563" s="367" t="str">
        <f t="shared" si="513"/>
        <v>mars</v>
      </c>
      <c r="G563" s="367">
        <f t="shared" si="518"/>
        <v>2</v>
      </c>
      <c r="H563" s="367" t="str">
        <f t="shared" si="515"/>
        <v>venus</v>
      </c>
      <c r="I563" s="369">
        <f t="shared" si="519"/>
        <v>45070.75</v>
      </c>
      <c r="J563" s="377">
        <f t="shared" si="516"/>
        <v>26</v>
      </c>
      <c r="K563" s="369">
        <f t="shared" si="509"/>
        <v>45096.75</v>
      </c>
      <c r="L563" s="360">
        <f t="shared" si="520"/>
        <v>493</v>
      </c>
      <c r="O563" s="381"/>
    </row>
    <row r="564" spans="1:15">
      <c r="A564" s="355">
        <f t="shared" si="517"/>
        <v>494</v>
      </c>
      <c r="B564" s="372">
        <f t="shared" si="514"/>
        <v>45104.75</v>
      </c>
      <c r="C564" s="357">
        <f t="shared" si="510"/>
        <v>5</v>
      </c>
      <c r="D564" s="358" t="str">
        <f t="shared" si="511"/>
        <v>mars</v>
      </c>
      <c r="E564" s="359">
        <f t="shared" si="512"/>
        <v>5</v>
      </c>
      <c r="F564" s="367" t="str">
        <f t="shared" si="513"/>
        <v>mars</v>
      </c>
      <c r="G564" s="367">
        <f t="shared" si="518"/>
        <v>3</v>
      </c>
      <c r="H564" s="367" t="str">
        <f t="shared" si="515"/>
        <v>sun</v>
      </c>
      <c r="I564" s="369">
        <f t="shared" si="519"/>
        <v>45096.75</v>
      </c>
      <c r="J564" s="377">
        <f t="shared" si="516"/>
        <v>8</v>
      </c>
      <c r="K564" s="369">
        <f t="shared" si="509"/>
        <v>45104.75</v>
      </c>
      <c r="L564" s="360">
        <f t="shared" si="520"/>
        <v>494</v>
      </c>
      <c r="O564" s="381"/>
    </row>
    <row r="565" spans="1:15">
      <c r="A565" s="355">
        <f t="shared" si="517"/>
        <v>495</v>
      </c>
      <c r="B565" s="372">
        <f t="shared" si="514"/>
        <v>45116.75</v>
      </c>
      <c r="C565" s="357">
        <f t="shared" si="510"/>
        <v>5</v>
      </c>
      <c r="D565" s="358" t="str">
        <f t="shared" si="511"/>
        <v>mars</v>
      </c>
      <c r="E565" s="359">
        <f t="shared" si="512"/>
        <v>5</v>
      </c>
      <c r="F565" s="367" t="str">
        <f t="shared" si="513"/>
        <v>mars</v>
      </c>
      <c r="G565" s="367">
        <f t="shared" si="518"/>
        <v>4</v>
      </c>
      <c r="H565" s="367" t="str">
        <f t="shared" si="515"/>
        <v>moon</v>
      </c>
      <c r="I565" s="369">
        <f t="shared" si="519"/>
        <v>45104.75</v>
      </c>
      <c r="J565" s="377">
        <f t="shared" si="516"/>
        <v>12</v>
      </c>
      <c r="K565" s="369">
        <f t="shared" si="509"/>
        <v>45116.75</v>
      </c>
      <c r="L565" s="360">
        <f t="shared" si="520"/>
        <v>495</v>
      </c>
      <c r="N565" s="358">
        <f>SUM(J557:J565)</f>
        <v>152</v>
      </c>
      <c r="O565" s="381"/>
    </row>
    <row r="566" spans="1:15">
      <c r="A566" s="399"/>
      <c r="B566" s="386"/>
      <c r="C566" s="387">
        <f>C556</f>
        <v>5</v>
      </c>
      <c r="D566" s="373" t="str">
        <f>D556</f>
        <v>mars</v>
      </c>
      <c r="E566" s="393">
        <f>IF(E556+1&gt;9,E556+1-9,E556+1)</f>
        <v>6</v>
      </c>
      <c r="F566" s="389" t="str">
        <f t="shared" si="513"/>
        <v>rahu</v>
      </c>
      <c r="G566" s="389"/>
      <c r="H566" s="389"/>
      <c r="I566" s="390">
        <f>K556</f>
        <v>45117.75</v>
      </c>
      <c r="J566" s="373">
        <f>ROUND(J$555*VLOOKUP(E566,$A$848:$E$856,5,FALSE),0)</f>
        <v>384</v>
      </c>
      <c r="K566" s="390">
        <f t="shared" si="509"/>
        <v>45501.75</v>
      </c>
      <c r="L566" s="400"/>
      <c r="M566" s="373"/>
      <c r="N566" s="373"/>
      <c r="O566" s="381"/>
    </row>
    <row r="567" spans="1:15">
      <c r="A567" s="355">
        <f>A565+1</f>
        <v>496</v>
      </c>
      <c r="B567" s="372">
        <f>K567</f>
        <v>45174.75</v>
      </c>
      <c r="C567" s="357">
        <f t="shared" ref="C567:C575" si="521">C566</f>
        <v>5</v>
      </c>
      <c r="D567" s="358" t="str">
        <f t="shared" ref="D567:D575" si="522">D566</f>
        <v>mars</v>
      </c>
      <c r="E567" s="368">
        <f t="shared" ref="E567:E575" si="523">E566</f>
        <v>6</v>
      </c>
      <c r="F567" s="367" t="str">
        <f t="shared" si="513"/>
        <v>rahu</v>
      </c>
      <c r="G567" s="367">
        <f>E567</f>
        <v>6</v>
      </c>
      <c r="H567" s="367" t="str">
        <f t="shared" ref="H567:H575" si="524">VLOOKUP(G567,$A$848:$B$856,2,FALSE)</f>
        <v>rahu</v>
      </c>
      <c r="I567" s="369">
        <f>K565</f>
        <v>45116.75</v>
      </c>
      <c r="J567" s="377">
        <f t="shared" ref="J567:J575" si="525">ROUND(J$566*VLOOKUP(G567,$A$848:$E$856,5,FALSE),0)</f>
        <v>58</v>
      </c>
      <c r="K567" s="369">
        <f t="shared" si="509"/>
        <v>45174.75</v>
      </c>
      <c r="L567" s="360">
        <f>L565+1</f>
        <v>496</v>
      </c>
      <c r="O567" s="381"/>
    </row>
    <row r="568" spans="1:15">
      <c r="A568" s="355">
        <f t="shared" ref="A568:A575" si="526">A567+1</f>
        <v>497</v>
      </c>
      <c r="B568" s="372">
        <f>K568</f>
        <v>45224.75</v>
      </c>
      <c r="C568" s="357">
        <f t="shared" si="521"/>
        <v>5</v>
      </c>
      <c r="D568" s="358" t="str">
        <f t="shared" si="522"/>
        <v>mars</v>
      </c>
      <c r="E568" s="368">
        <f t="shared" si="523"/>
        <v>6</v>
      </c>
      <c r="F568" s="367" t="str">
        <f t="shared" si="513"/>
        <v>rahu</v>
      </c>
      <c r="G568" s="367">
        <f t="shared" ref="G568:G575" si="527">IF(G567+1&gt;9,G567+1-9,G567+1)</f>
        <v>7</v>
      </c>
      <c r="H568" s="367" t="str">
        <f t="shared" si="524"/>
        <v>jupiter</v>
      </c>
      <c r="I568" s="369">
        <f t="shared" ref="I568:I575" si="528">K567</f>
        <v>45174.75</v>
      </c>
      <c r="J568" s="377">
        <f t="shared" si="525"/>
        <v>50</v>
      </c>
      <c r="K568" s="369">
        <f t="shared" si="509"/>
        <v>45224.75</v>
      </c>
      <c r="L568" s="360">
        <f t="shared" ref="L568:L575" si="529">L567+1</f>
        <v>497</v>
      </c>
      <c r="O568" s="381"/>
    </row>
    <row r="569" spans="1:15">
      <c r="A569" s="355">
        <f t="shared" si="526"/>
        <v>498</v>
      </c>
      <c r="B569" s="372">
        <f>K569</f>
        <v>45285.75</v>
      </c>
      <c r="C569" s="357">
        <f t="shared" si="521"/>
        <v>5</v>
      </c>
      <c r="D569" s="358" t="str">
        <f t="shared" si="522"/>
        <v>mars</v>
      </c>
      <c r="E569" s="368">
        <f t="shared" si="523"/>
        <v>6</v>
      </c>
      <c r="F569" s="367" t="str">
        <f t="shared" si="513"/>
        <v>rahu</v>
      </c>
      <c r="G569" s="367">
        <f t="shared" si="527"/>
        <v>8</v>
      </c>
      <c r="H569" s="367" t="str">
        <f t="shared" si="524"/>
        <v>saturn</v>
      </c>
      <c r="I569" s="369">
        <f t="shared" si="528"/>
        <v>45224.75</v>
      </c>
      <c r="J569" s="377">
        <f t="shared" si="525"/>
        <v>61</v>
      </c>
      <c r="K569" s="369">
        <f t="shared" si="509"/>
        <v>45285.75</v>
      </c>
      <c r="L569" s="360">
        <f t="shared" si="529"/>
        <v>498</v>
      </c>
      <c r="O569" s="381"/>
    </row>
    <row r="570" spans="1:15">
      <c r="A570" s="355">
        <f t="shared" si="526"/>
        <v>499</v>
      </c>
      <c r="B570" s="372">
        <f t="shared" ref="B570:B575" si="530">K570</f>
        <v>45339.75</v>
      </c>
      <c r="C570" s="357">
        <f t="shared" si="521"/>
        <v>5</v>
      </c>
      <c r="D570" s="358" t="str">
        <f t="shared" si="522"/>
        <v>mars</v>
      </c>
      <c r="E570" s="368">
        <f t="shared" si="523"/>
        <v>6</v>
      </c>
      <c r="F570" s="367" t="str">
        <f t="shared" si="513"/>
        <v>rahu</v>
      </c>
      <c r="G570" s="367">
        <f t="shared" si="527"/>
        <v>9</v>
      </c>
      <c r="H570" s="367" t="str">
        <f t="shared" si="524"/>
        <v>mercury</v>
      </c>
      <c r="I570" s="369">
        <f t="shared" si="528"/>
        <v>45285.75</v>
      </c>
      <c r="J570" s="377">
        <f t="shared" si="525"/>
        <v>54</v>
      </c>
      <c r="K570" s="369">
        <f t="shared" si="509"/>
        <v>45339.75</v>
      </c>
      <c r="L570" s="360">
        <f t="shared" si="529"/>
        <v>499</v>
      </c>
      <c r="O570" s="381"/>
    </row>
    <row r="571" spans="1:15">
      <c r="A571" s="355">
        <f t="shared" si="526"/>
        <v>500</v>
      </c>
      <c r="B571" s="372">
        <f t="shared" si="530"/>
        <v>45362.75</v>
      </c>
      <c r="C571" s="357">
        <f t="shared" si="521"/>
        <v>5</v>
      </c>
      <c r="D571" s="358" t="str">
        <f t="shared" si="522"/>
        <v>mars</v>
      </c>
      <c r="E571" s="368">
        <f t="shared" si="523"/>
        <v>6</v>
      </c>
      <c r="F571" s="367" t="str">
        <f t="shared" si="513"/>
        <v>rahu</v>
      </c>
      <c r="G571" s="367">
        <f t="shared" si="527"/>
        <v>1</v>
      </c>
      <c r="H571" s="367" t="str">
        <f t="shared" si="524"/>
        <v>ketu</v>
      </c>
      <c r="I571" s="369">
        <f t="shared" si="528"/>
        <v>45339.75</v>
      </c>
      <c r="J571" s="377">
        <f t="shared" si="525"/>
        <v>23</v>
      </c>
      <c r="K571" s="369">
        <f t="shared" si="509"/>
        <v>45362.75</v>
      </c>
      <c r="L571" s="360">
        <f t="shared" si="529"/>
        <v>500</v>
      </c>
      <c r="O571" s="381"/>
    </row>
    <row r="572" spans="1:15">
      <c r="A572" s="355">
        <f t="shared" si="526"/>
        <v>501</v>
      </c>
      <c r="B572" s="372">
        <f t="shared" si="530"/>
        <v>45427.75</v>
      </c>
      <c r="C572" s="357">
        <f t="shared" si="521"/>
        <v>5</v>
      </c>
      <c r="D572" s="358" t="str">
        <f t="shared" si="522"/>
        <v>mars</v>
      </c>
      <c r="E572" s="368">
        <f t="shared" si="523"/>
        <v>6</v>
      </c>
      <c r="F572" s="367" t="str">
        <f t="shared" si="513"/>
        <v>rahu</v>
      </c>
      <c r="G572" s="367">
        <f t="shared" si="527"/>
        <v>2</v>
      </c>
      <c r="H572" s="367" t="str">
        <f t="shared" si="524"/>
        <v>venus</v>
      </c>
      <c r="I572" s="369">
        <f t="shared" si="528"/>
        <v>45362.75</v>
      </c>
      <c r="J572" s="377">
        <f t="shared" si="525"/>
        <v>65</v>
      </c>
      <c r="K572" s="369">
        <f t="shared" si="509"/>
        <v>45427.75</v>
      </c>
      <c r="L572" s="360">
        <f t="shared" si="529"/>
        <v>501</v>
      </c>
      <c r="O572" s="381"/>
    </row>
    <row r="573" spans="1:15">
      <c r="A573" s="355">
        <f t="shared" si="526"/>
        <v>502</v>
      </c>
      <c r="B573" s="372">
        <f t="shared" si="530"/>
        <v>45446.75</v>
      </c>
      <c r="C573" s="357">
        <f t="shared" si="521"/>
        <v>5</v>
      </c>
      <c r="D573" s="358" t="str">
        <f t="shared" si="522"/>
        <v>mars</v>
      </c>
      <c r="E573" s="368">
        <f t="shared" si="523"/>
        <v>6</v>
      </c>
      <c r="F573" s="367" t="str">
        <f t="shared" si="513"/>
        <v>rahu</v>
      </c>
      <c r="G573" s="367">
        <f t="shared" si="527"/>
        <v>3</v>
      </c>
      <c r="H573" s="367" t="str">
        <f t="shared" si="524"/>
        <v>sun</v>
      </c>
      <c r="I573" s="369">
        <f t="shared" si="528"/>
        <v>45427.75</v>
      </c>
      <c r="J573" s="377">
        <f t="shared" si="525"/>
        <v>19</v>
      </c>
      <c r="K573" s="369">
        <f t="shared" si="509"/>
        <v>45446.75</v>
      </c>
      <c r="L573" s="360">
        <f t="shared" si="529"/>
        <v>502</v>
      </c>
      <c r="O573" s="381"/>
    </row>
    <row r="574" spans="1:15">
      <c r="A574" s="355">
        <f t="shared" si="526"/>
        <v>503</v>
      </c>
      <c r="B574" s="372">
        <f t="shared" si="530"/>
        <v>45477.75</v>
      </c>
      <c r="C574" s="357">
        <f t="shared" si="521"/>
        <v>5</v>
      </c>
      <c r="D574" s="358" t="str">
        <f t="shared" si="522"/>
        <v>mars</v>
      </c>
      <c r="E574" s="368">
        <f t="shared" si="523"/>
        <v>6</v>
      </c>
      <c r="F574" s="367" t="str">
        <f t="shared" si="513"/>
        <v>rahu</v>
      </c>
      <c r="G574" s="367">
        <f t="shared" si="527"/>
        <v>4</v>
      </c>
      <c r="H574" s="367" t="str">
        <f t="shared" si="524"/>
        <v>moon</v>
      </c>
      <c r="I574" s="369">
        <f t="shared" si="528"/>
        <v>45446.75</v>
      </c>
      <c r="J574" s="377">
        <f t="shared" si="525"/>
        <v>31</v>
      </c>
      <c r="K574" s="369">
        <f t="shared" si="509"/>
        <v>45477.75</v>
      </c>
      <c r="L574" s="360">
        <f t="shared" si="529"/>
        <v>503</v>
      </c>
      <c r="O574" s="381"/>
    </row>
    <row r="575" spans="1:15">
      <c r="A575" s="355">
        <f t="shared" si="526"/>
        <v>504</v>
      </c>
      <c r="B575" s="372">
        <f t="shared" si="530"/>
        <v>45500.75</v>
      </c>
      <c r="C575" s="357">
        <f t="shared" si="521"/>
        <v>5</v>
      </c>
      <c r="D575" s="358" t="str">
        <f t="shared" si="522"/>
        <v>mars</v>
      </c>
      <c r="E575" s="368">
        <f t="shared" si="523"/>
        <v>6</v>
      </c>
      <c r="F575" s="367" t="str">
        <f t="shared" si="513"/>
        <v>rahu</v>
      </c>
      <c r="G575" s="367">
        <f t="shared" si="527"/>
        <v>5</v>
      </c>
      <c r="H575" s="367" t="str">
        <f t="shared" si="524"/>
        <v>mars</v>
      </c>
      <c r="I575" s="369">
        <f t="shared" si="528"/>
        <v>45477.75</v>
      </c>
      <c r="J575" s="377">
        <f t="shared" si="525"/>
        <v>23</v>
      </c>
      <c r="K575" s="369">
        <f t="shared" si="509"/>
        <v>45500.75</v>
      </c>
      <c r="L575" s="360">
        <f t="shared" si="529"/>
        <v>504</v>
      </c>
      <c r="N575" s="358">
        <f>SUM(J567:J575)</f>
        <v>384</v>
      </c>
      <c r="O575" s="381"/>
    </row>
    <row r="576" spans="1:15">
      <c r="A576" s="399"/>
      <c r="B576" s="386"/>
      <c r="C576" s="387">
        <f>C566</f>
        <v>5</v>
      </c>
      <c r="D576" s="373" t="str">
        <f>D566</f>
        <v>mars</v>
      </c>
      <c r="E576" s="393">
        <f>IF(E566+1&gt;9,E566+1-9,E566+1)</f>
        <v>7</v>
      </c>
      <c r="F576" s="389" t="str">
        <f t="shared" si="513"/>
        <v>jupiter</v>
      </c>
      <c r="G576" s="389"/>
      <c r="H576" s="389"/>
      <c r="I576" s="390">
        <f>K566</f>
        <v>45501.75</v>
      </c>
      <c r="J576" s="373">
        <f>ROUND(J$555*VLOOKUP(E576,$A$848:$E$856,5,FALSE),0)</f>
        <v>332</v>
      </c>
      <c r="K576" s="390">
        <f t="shared" si="509"/>
        <v>45833.75</v>
      </c>
      <c r="L576" s="400"/>
      <c r="M576" s="373"/>
      <c r="N576" s="373"/>
      <c r="O576" s="381"/>
    </row>
    <row r="577" spans="1:15">
      <c r="A577" s="355">
        <f>A575+1</f>
        <v>505</v>
      </c>
      <c r="B577" s="372">
        <f>K577</f>
        <v>45543.75</v>
      </c>
      <c r="C577" s="357">
        <f t="shared" ref="C577:C645" si="531">C576</f>
        <v>5</v>
      </c>
      <c r="D577" s="358" t="str">
        <f t="shared" ref="D577:D645" si="532">D576</f>
        <v>mars</v>
      </c>
      <c r="E577" s="368">
        <f t="shared" ref="E577:E585" si="533">E576</f>
        <v>7</v>
      </c>
      <c r="F577" s="367" t="str">
        <f t="shared" si="513"/>
        <v>jupiter</v>
      </c>
      <c r="G577" s="367">
        <f>E577</f>
        <v>7</v>
      </c>
      <c r="H577" s="367" t="str">
        <f t="shared" ref="H577:H585" si="534">VLOOKUP(G577,$A$848:$B$856,2,FALSE)</f>
        <v>jupiter</v>
      </c>
      <c r="I577" s="369">
        <f>K575</f>
        <v>45500.75</v>
      </c>
      <c r="J577" s="377">
        <f t="shared" ref="J577:J585" si="535">ROUND(J$576*VLOOKUP(G577,$A$848:$E$856,5,FALSE),0)</f>
        <v>43</v>
      </c>
      <c r="K577" s="369">
        <f t="shared" si="509"/>
        <v>45543.75</v>
      </c>
      <c r="L577" s="360">
        <f>L575+1</f>
        <v>505</v>
      </c>
      <c r="O577" s="381"/>
    </row>
    <row r="578" spans="1:15">
      <c r="A578" s="355">
        <f t="shared" ref="A578:A585" si="536">A577+1</f>
        <v>506</v>
      </c>
      <c r="B578" s="372">
        <f>K578</f>
        <v>45596.75</v>
      </c>
      <c r="C578" s="357">
        <f t="shared" si="531"/>
        <v>5</v>
      </c>
      <c r="D578" s="358" t="str">
        <f t="shared" si="532"/>
        <v>mars</v>
      </c>
      <c r="E578" s="368">
        <f t="shared" si="533"/>
        <v>7</v>
      </c>
      <c r="F578" s="367" t="str">
        <f t="shared" si="513"/>
        <v>jupiter</v>
      </c>
      <c r="G578" s="367">
        <f t="shared" ref="G578:G585" si="537">IF(G577+1&gt;9,G577+1-9,G577+1)</f>
        <v>8</v>
      </c>
      <c r="H578" s="367" t="str">
        <f t="shared" si="534"/>
        <v>saturn</v>
      </c>
      <c r="I578" s="369">
        <f t="shared" ref="I578:I585" si="538">K577</f>
        <v>45543.75</v>
      </c>
      <c r="J578" s="377">
        <f t="shared" si="535"/>
        <v>53</v>
      </c>
      <c r="K578" s="369">
        <f t="shared" si="509"/>
        <v>45596.75</v>
      </c>
      <c r="L578" s="360">
        <f t="shared" ref="L578:L585" si="539">L577+1</f>
        <v>506</v>
      </c>
      <c r="O578" s="381"/>
    </row>
    <row r="579" spans="1:15">
      <c r="A579" s="355">
        <f t="shared" si="536"/>
        <v>507</v>
      </c>
      <c r="B579" s="372">
        <f t="shared" ref="B579:B585" si="540">K579</f>
        <v>45642.75</v>
      </c>
      <c r="C579" s="357">
        <f t="shared" si="531"/>
        <v>5</v>
      </c>
      <c r="D579" s="358" t="str">
        <f t="shared" si="532"/>
        <v>mars</v>
      </c>
      <c r="E579" s="368">
        <f t="shared" si="533"/>
        <v>7</v>
      </c>
      <c r="F579" s="367" t="str">
        <f t="shared" si="513"/>
        <v>jupiter</v>
      </c>
      <c r="G579" s="367">
        <f t="shared" si="537"/>
        <v>9</v>
      </c>
      <c r="H579" s="367" t="str">
        <f t="shared" si="534"/>
        <v>mercury</v>
      </c>
      <c r="I579" s="369">
        <f t="shared" si="538"/>
        <v>45596.75</v>
      </c>
      <c r="J579" s="377">
        <f t="shared" si="535"/>
        <v>46</v>
      </c>
      <c r="K579" s="369">
        <f t="shared" ref="K579:K585" si="541">I579+J579</f>
        <v>45642.75</v>
      </c>
      <c r="L579" s="360">
        <f t="shared" si="539"/>
        <v>507</v>
      </c>
      <c r="O579" s="381"/>
    </row>
    <row r="580" spans="1:15">
      <c r="A580" s="355">
        <f t="shared" si="536"/>
        <v>508</v>
      </c>
      <c r="B580" s="372">
        <f t="shared" si="540"/>
        <v>45662.75</v>
      </c>
      <c r="C580" s="357">
        <f t="shared" si="531"/>
        <v>5</v>
      </c>
      <c r="D580" s="358" t="str">
        <f t="shared" si="532"/>
        <v>mars</v>
      </c>
      <c r="E580" s="368">
        <f t="shared" si="533"/>
        <v>7</v>
      </c>
      <c r="F580" s="367" t="str">
        <f t="shared" si="513"/>
        <v>jupiter</v>
      </c>
      <c r="G580" s="367">
        <f t="shared" si="537"/>
        <v>1</v>
      </c>
      <c r="H580" s="367" t="str">
        <f t="shared" si="534"/>
        <v>ketu</v>
      </c>
      <c r="I580" s="369">
        <f t="shared" si="538"/>
        <v>45642.75</v>
      </c>
      <c r="J580" s="377">
        <f t="shared" si="535"/>
        <v>20</v>
      </c>
      <c r="K580" s="369">
        <f t="shared" si="541"/>
        <v>45662.75</v>
      </c>
      <c r="L580" s="360">
        <f t="shared" si="539"/>
        <v>508</v>
      </c>
      <c r="O580" s="381"/>
    </row>
    <row r="581" spans="1:15">
      <c r="A581" s="355">
        <f t="shared" si="536"/>
        <v>509</v>
      </c>
      <c r="B581" s="372">
        <f t="shared" si="540"/>
        <v>45718.75</v>
      </c>
      <c r="C581" s="357">
        <f t="shared" si="531"/>
        <v>5</v>
      </c>
      <c r="D581" s="358" t="str">
        <f t="shared" si="532"/>
        <v>mars</v>
      </c>
      <c r="E581" s="368">
        <f t="shared" si="533"/>
        <v>7</v>
      </c>
      <c r="F581" s="367" t="str">
        <f t="shared" si="513"/>
        <v>jupiter</v>
      </c>
      <c r="G581" s="367">
        <f t="shared" si="537"/>
        <v>2</v>
      </c>
      <c r="H581" s="367" t="str">
        <f t="shared" si="534"/>
        <v>venus</v>
      </c>
      <c r="I581" s="369">
        <f t="shared" si="538"/>
        <v>45662.75</v>
      </c>
      <c r="J581" s="377">
        <f t="shared" si="535"/>
        <v>56</v>
      </c>
      <c r="K581" s="369">
        <f t="shared" si="541"/>
        <v>45718.75</v>
      </c>
      <c r="L581" s="360">
        <f t="shared" si="539"/>
        <v>509</v>
      </c>
      <c r="O581" s="381"/>
    </row>
    <row r="582" spans="1:15">
      <c r="A582" s="355">
        <f t="shared" si="536"/>
        <v>510</v>
      </c>
      <c r="B582" s="372">
        <f t="shared" si="540"/>
        <v>45735.75</v>
      </c>
      <c r="C582" s="357">
        <f t="shared" si="531"/>
        <v>5</v>
      </c>
      <c r="D582" s="358" t="str">
        <f t="shared" si="532"/>
        <v>mars</v>
      </c>
      <c r="E582" s="368">
        <f t="shared" si="533"/>
        <v>7</v>
      </c>
      <c r="F582" s="367" t="str">
        <f t="shared" si="513"/>
        <v>jupiter</v>
      </c>
      <c r="G582" s="367">
        <f t="shared" si="537"/>
        <v>3</v>
      </c>
      <c r="H582" s="367" t="str">
        <f t="shared" si="534"/>
        <v>sun</v>
      </c>
      <c r="I582" s="369">
        <f t="shared" si="538"/>
        <v>45718.75</v>
      </c>
      <c r="J582" s="377">
        <f t="shared" si="535"/>
        <v>17</v>
      </c>
      <c r="K582" s="369">
        <f t="shared" si="541"/>
        <v>45735.75</v>
      </c>
      <c r="L582" s="360">
        <f t="shared" si="539"/>
        <v>510</v>
      </c>
      <c r="O582" s="381"/>
    </row>
    <row r="583" spans="1:15">
      <c r="A583" s="355">
        <f t="shared" si="536"/>
        <v>511</v>
      </c>
      <c r="B583" s="372">
        <f t="shared" si="540"/>
        <v>45762.75</v>
      </c>
      <c r="C583" s="357">
        <f t="shared" si="531"/>
        <v>5</v>
      </c>
      <c r="D583" s="358" t="str">
        <f t="shared" si="532"/>
        <v>mars</v>
      </c>
      <c r="E583" s="368">
        <f t="shared" si="533"/>
        <v>7</v>
      </c>
      <c r="F583" s="367" t="str">
        <f t="shared" si="513"/>
        <v>jupiter</v>
      </c>
      <c r="G583" s="367">
        <f t="shared" si="537"/>
        <v>4</v>
      </c>
      <c r="H583" s="367" t="str">
        <f t="shared" si="534"/>
        <v>moon</v>
      </c>
      <c r="I583" s="369">
        <f t="shared" si="538"/>
        <v>45735.75</v>
      </c>
      <c r="J583" s="377">
        <f t="shared" si="535"/>
        <v>27</v>
      </c>
      <c r="K583" s="369">
        <f t="shared" si="541"/>
        <v>45762.75</v>
      </c>
      <c r="L583" s="360">
        <f t="shared" si="539"/>
        <v>511</v>
      </c>
      <c r="O583" s="381"/>
    </row>
    <row r="584" spans="1:15">
      <c r="A584" s="355">
        <f t="shared" si="536"/>
        <v>512</v>
      </c>
      <c r="B584" s="372">
        <f t="shared" si="540"/>
        <v>45782.75</v>
      </c>
      <c r="C584" s="357">
        <f t="shared" si="531"/>
        <v>5</v>
      </c>
      <c r="D584" s="358" t="str">
        <f t="shared" si="532"/>
        <v>mars</v>
      </c>
      <c r="E584" s="368">
        <f t="shared" si="533"/>
        <v>7</v>
      </c>
      <c r="F584" s="367" t="str">
        <f t="shared" si="513"/>
        <v>jupiter</v>
      </c>
      <c r="G584" s="367">
        <f t="shared" si="537"/>
        <v>5</v>
      </c>
      <c r="H584" s="367" t="str">
        <f t="shared" si="534"/>
        <v>mars</v>
      </c>
      <c r="I584" s="369">
        <f t="shared" si="538"/>
        <v>45762.75</v>
      </c>
      <c r="J584" s="377">
        <f t="shared" si="535"/>
        <v>20</v>
      </c>
      <c r="K584" s="369">
        <f t="shared" si="541"/>
        <v>45782.75</v>
      </c>
      <c r="L584" s="360">
        <f t="shared" si="539"/>
        <v>512</v>
      </c>
      <c r="O584" s="381"/>
    </row>
    <row r="585" spans="1:15">
      <c r="A585" s="355">
        <f t="shared" si="536"/>
        <v>513</v>
      </c>
      <c r="B585" s="372">
        <f t="shared" si="540"/>
        <v>45832.75</v>
      </c>
      <c r="C585" s="357">
        <f t="shared" si="531"/>
        <v>5</v>
      </c>
      <c r="D585" s="358" t="str">
        <f t="shared" si="532"/>
        <v>mars</v>
      </c>
      <c r="E585" s="368">
        <f t="shared" si="533"/>
        <v>7</v>
      </c>
      <c r="F585" s="367" t="str">
        <f t="shared" si="513"/>
        <v>jupiter</v>
      </c>
      <c r="G585" s="367">
        <f t="shared" si="537"/>
        <v>6</v>
      </c>
      <c r="H585" s="367" t="str">
        <f t="shared" si="534"/>
        <v>rahu</v>
      </c>
      <c r="I585" s="369">
        <f t="shared" si="538"/>
        <v>45782.75</v>
      </c>
      <c r="J585" s="377">
        <f t="shared" si="535"/>
        <v>50</v>
      </c>
      <c r="K585" s="369">
        <f t="shared" si="541"/>
        <v>45832.75</v>
      </c>
      <c r="L585" s="360">
        <f t="shared" si="539"/>
        <v>513</v>
      </c>
      <c r="N585" s="358">
        <f>SUM(J577:J585)</f>
        <v>332</v>
      </c>
      <c r="O585" s="381"/>
    </row>
    <row r="586" spans="1:15">
      <c r="A586" s="399"/>
      <c r="B586" s="386">
        <f>K586</f>
        <v>46242.75</v>
      </c>
      <c r="C586" s="387">
        <f>C576</f>
        <v>5</v>
      </c>
      <c r="D586" s="373" t="str">
        <f>D576</f>
        <v>mars</v>
      </c>
      <c r="E586" s="393">
        <f>IF(E576+1&gt;9,E576+1-9,E576+1)</f>
        <v>8</v>
      </c>
      <c r="F586" s="389" t="str">
        <f t="shared" si="513"/>
        <v>saturn</v>
      </c>
      <c r="G586" s="389"/>
      <c r="H586" s="389"/>
      <c r="I586" s="390">
        <f>K576</f>
        <v>45833.75</v>
      </c>
      <c r="J586" s="373">
        <f>ROUND(J$555*VLOOKUP(E586,$A$848:$E$856,5,FALSE),0)</f>
        <v>409</v>
      </c>
      <c r="K586" s="390">
        <f>I586+J586</f>
        <v>46242.75</v>
      </c>
      <c r="L586" s="400"/>
      <c r="M586" s="373"/>
      <c r="N586" s="373"/>
      <c r="O586" s="381"/>
    </row>
    <row r="587" spans="1:15">
      <c r="A587" s="355">
        <f>A585+1</f>
        <v>514</v>
      </c>
      <c r="B587" s="372">
        <f>K587</f>
        <v>45897.75</v>
      </c>
      <c r="C587" s="357">
        <f t="shared" si="531"/>
        <v>5</v>
      </c>
      <c r="D587" s="358" t="str">
        <f t="shared" si="532"/>
        <v>mars</v>
      </c>
      <c r="E587" s="368">
        <f t="shared" ref="E587:E595" si="542">E586</f>
        <v>8</v>
      </c>
      <c r="F587" s="367" t="str">
        <f t="shared" si="513"/>
        <v>saturn</v>
      </c>
      <c r="G587" s="367">
        <f>E587</f>
        <v>8</v>
      </c>
      <c r="H587" s="367" t="str">
        <f t="shared" ref="H587:H595" si="543">VLOOKUP(G587,$A$848:$B$856,2,FALSE)</f>
        <v>saturn</v>
      </c>
      <c r="I587" s="369">
        <f>K585</f>
        <v>45832.75</v>
      </c>
      <c r="J587" s="377">
        <f t="shared" ref="J587:J595" si="544">ROUND(J$586*VLOOKUP(G587,$A$848:$E$856,5,FALSE),0)</f>
        <v>65</v>
      </c>
      <c r="K587" s="369">
        <f>I587+J587</f>
        <v>45897.75</v>
      </c>
      <c r="L587" s="360">
        <f>L585+1</f>
        <v>514</v>
      </c>
      <c r="O587" s="381"/>
    </row>
    <row r="588" spans="1:15">
      <c r="A588" s="355">
        <f t="shared" ref="A588:A595" si="545">A587+1</f>
        <v>515</v>
      </c>
      <c r="B588" s="372">
        <f>K588</f>
        <v>45954.75</v>
      </c>
      <c r="C588" s="357">
        <f t="shared" si="531"/>
        <v>5</v>
      </c>
      <c r="D588" s="358" t="str">
        <f t="shared" si="532"/>
        <v>mars</v>
      </c>
      <c r="E588" s="368">
        <f t="shared" si="542"/>
        <v>8</v>
      </c>
      <c r="F588" s="367" t="str">
        <f t="shared" ref="F588:F619" si="546">VLOOKUP(E588,$A$848:$B$856,2,FALSE)</f>
        <v>saturn</v>
      </c>
      <c r="G588" s="367">
        <f t="shared" ref="G588:G595" si="547">IF(G587+1&gt;9,G587+1-9,G587+1)</f>
        <v>9</v>
      </c>
      <c r="H588" s="367" t="str">
        <f t="shared" si="543"/>
        <v>mercury</v>
      </c>
      <c r="I588" s="369">
        <f t="shared" ref="I588:I595" si="548">K587</f>
        <v>45897.75</v>
      </c>
      <c r="J588" s="377">
        <f t="shared" si="544"/>
        <v>57</v>
      </c>
      <c r="K588" s="369">
        <f>I588+J588</f>
        <v>45954.75</v>
      </c>
      <c r="L588" s="360">
        <f t="shared" ref="L588:L595" si="549">L587+1</f>
        <v>515</v>
      </c>
      <c r="O588" s="381"/>
    </row>
    <row r="589" spans="1:15">
      <c r="A589" s="355">
        <f t="shared" si="545"/>
        <v>516</v>
      </c>
      <c r="B589" s="372">
        <f t="shared" ref="B589:B595" si="550">K589</f>
        <v>45979.75</v>
      </c>
      <c r="C589" s="357">
        <f t="shared" si="531"/>
        <v>5</v>
      </c>
      <c r="D589" s="358" t="str">
        <f t="shared" si="532"/>
        <v>mars</v>
      </c>
      <c r="E589" s="368">
        <f t="shared" si="542"/>
        <v>8</v>
      </c>
      <c r="F589" s="367" t="str">
        <f t="shared" si="546"/>
        <v>saturn</v>
      </c>
      <c r="G589" s="367">
        <f t="shared" si="547"/>
        <v>1</v>
      </c>
      <c r="H589" s="367" t="str">
        <f t="shared" si="543"/>
        <v>ketu</v>
      </c>
      <c r="I589" s="369">
        <f t="shared" si="548"/>
        <v>45954.75</v>
      </c>
      <c r="J589" s="377">
        <f t="shared" si="544"/>
        <v>25</v>
      </c>
      <c r="K589" s="369">
        <f t="shared" ref="K589:K595" si="551">I589+J589</f>
        <v>45979.75</v>
      </c>
      <c r="L589" s="360">
        <f t="shared" si="549"/>
        <v>516</v>
      </c>
      <c r="O589" s="381"/>
    </row>
    <row r="590" spans="1:15">
      <c r="A590" s="355">
        <f t="shared" si="545"/>
        <v>517</v>
      </c>
      <c r="B590" s="372">
        <f t="shared" si="550"/>
        <v>46049.75</v>
      </c>
      <c r="C590" s="357">
        <f t="shared" si="531"/>
        <v>5</v>
      </c>
      <c r="D590" s="358" t="str">
        <f t="shared" si="532"/>
        <v>mars</v>
      </c>
      <c r="E590" s="368">
        <f t="shared" si="542"/>
        <v>8</v>
      </c>
      <c r="F590" s="367" t="str">
        <f t="shared" si="546"/>
        <v>saturn</v>
      </c>
      <c r="G590" s="367">
        <f t="shared" si="547"/>
        <v>2</v>
      </c>
      <c r="H590" s="367" t="str">
        <f t="shared" si="543"/>
        <v>venus</v>
      </c>
      <c r="I590" s="369">
        <f t="shared" si="548"/>
        <v>45979.75</v>
      </c>
      <c r="J590" s="377">
        <f t="shared" si="544"/>
        <v>70</v>
      </c>
      <c r="K590" s="369">
        <f t="shared" si="551"/>
        <v>46049.75</v>
      </c>
      <c r="L590" s="360">
        <f t="shared" si="549"/>
        <v>517</v>
      </c>
      <c r="O590" s="381"/>
    </row>
    <row r="591" spans="1:15">
      <c r="A591" s="355">
        <f t="shared" si="545"/>
        <v>518</v>
      </c>
      <c r="B591" s="372">
        <f t="shared" si="550"/>
        <v>46069.75</v>
      </c>
      <c r="C591" s="357">
        <f t="shared" si="531"/>
        <v>5</v>
      </c>
      <c r="D591" s="358" t="str">
        <f t="shared" si="532"/>
        <v>mars</v>
      </c>
      <c r="E591" s="368">
        <f t="shared" si="542"/>
        <v>8</v>
      </c>
      <c r="F591" s="367" t="str">
        <f t="shared" si="546"/>
        <v>saturn</v>
      </c>
      <c r="G591" s="367">
        <f t="shared" si="547"/>
        <v>3</v>
      </c>
      <c r="H591" s="367" t="str">
        <f t="shared" si="543"/>
        <v>sun</v>
      </c>
      <c r="I591" s="369">
        <f t="shared" si="548"/>
        <v>46049.75</v>
      </c>
      <c r="J591" s="377">
        <f t="shared" si="544"/>
        <v>20</v>
      </c>
      <c r="K591" s="369">
        <f t="shared" si="551"/>
        <v>46069.75</v>
      </c>
      <c r="L591" s="360">
        <f t="shared" si="549"/>
        <v>518</v>
      </c>
      <c r="O591" s="381"/>
    </row>
    <row r="592" spans="1:15">
      <c r="A592" s="355">
        <f t="shared" si="545"/>
        <v>519</v>
      </c>
      <c r="B592" s="372">
        <f t="shared" si="550"/>
        <v>46102.75</v>
      </c>
      <c r="C592" s="357">
        <f t="shared" si="531"/>
        <v>5</v>
      </c>
      <c r="D592" s="358" t="str">
        <f t="shared" si="532"/>
        <v>mars</v>
      </c>
      <c r="E592" s="368">
        <f t="shared" si="542"/>
        <v>8</v>
      </c>
      <c r="F592" s="367" t="str">
        <f t="shared" si="546"/>
        <v>saturn</v>
      </c>
      <c r="G592" s="367">
        <f t="shared" si="547"/>
        <v>4</v>
      </c>
      <c r="H592" s="367" t="str">
        <f t="shared" si="543"/>
        <v>moon</v>
      </c>
      <c r="I592" s="369">
        <f t="shared" si="548"/>
        <v>46069.75</v>
      </c>
      <c r="J592" s="377">
        <f t="shared" si="544"/>
        <v>33</v>
      </c>
      <c r="K592" s="369">
        <f t="shared" si="551"/>
        <v>46102.75</v>
      </c>
      <c r="L592" s="360">
        <f t="shared" si="549"/>
        <v>519</v>
      </c>
      <c r="O592" s="381"/>
    </row>
    <row r="593" spans="1:15">
      <c r="A593" s="355">
        <f t="shared" si="545"/>
        <v>520</v>
      </c>
      <c r="B593" s="372">
        <f t="shared" si="550"/>
        <v>46127.75</v>
      </c>
      <c r="C593" s="357">
        <f t="shared" si="531"/>
        <v>5</v>
      </c>
      <c r="D593" s="358" t="str">
        <f t="shared" si="532"/>
        <v>mars</v>
      </c>
      <c r="E593" s="368">
        <f t="shared" si="542"/>
        <v>8</v>
      </c>
      <c r="F593" s="367" t="str">
        <f t="shared" si="546"/>
        <v>saturn</v>
      </c>
      <c r="G593" s="367">
        <f t="shared" si="547"/>
        <v>5</v>
      </c>
      <c r="H593" s="367" t="str">
        <f t="shared" si="543"/>
        <v>mars</v>
      </c>
      <c r="I593" s="369">
        <f t="shared" si="548"/>
        <v>46102.75</v>
      </c>
      <c r="J593" s="377">
        <f t="shared" si="544"/>
        <v>25</v>
      </c>
      <c r="K593" s="369">
        <f t="shared" si="551"/>
        <v>46127.75</v>
      </c>
      <c r="L593" s="360">
        <f t="shared" si="549"/>
        <v>520</v>
      </c>
      <c r="O593" s="381"/>
    </row>
    <row r="594" spans="1:15">
      <c r="A594" s="355">
        <f t="shared" si="545"/>
        <v>521</v>
      </c>
      <c r="B594" s="372">
        <f t="shared" si="550"/>
        <v>46188.75</v>
      </c>
      <c r="C594" s="357">
        <f t="shared" si="531"/>
        <v>5</v>
      </c>
      <c r="D594" s="358" t="str">
        <f t="shared" si="532"/>
        <v>mars</v>
      </c>
      <c r="E594" s="368">
        <f t="shared" si="542"/>
        <v>8</v>
      </c>
      <c r="F594" s="367" t="str">
        <f t="shared" si="546"/>
        <v>saturn</v>
      </c>
      <c r="G594" s="367">
        <f t="shared" si="547"/>
        <v>6</v>
      </c>
      <c r="H594" s="367" t="str">
        <f t="shared" si="543"/>
        <v>rahu</v>
      </c>
      <c r="I594" s="369">
        <f t="shared" si="548"/>
        <v>46127.75</v>
      </c>
      <c r="J594" s="377">
        <f t="shared" si="544"/>
        <v>61</v>
      </c>
      <c r="K594" s="369">
        <f t="shared" si="551"/>
        <v>46188.75</v>
      </c>
      <c r="L594" s="360">
        <f t="shared" si="549"/>
        <v>521</v>
      </c>
      <c r="O594" s="381"/>
    </row>
    <row r="595" spans="1:15">
      <c r="A595" s="355">
        <f t="shared" si="545"/>
        <v>522</v>
      </c>
      <c r="B595" s="372">
        <f t="shared" si="550"/>
        <v>46241.75</v>
      </c>
      <c r="C595" s="357">
        <f t="shared" si="531"/>
        <v>5</v>
      </c>
      <c r="D595" s="358" t="str">
        <f t="shared" si="532"/>
        <v>mars</v>
      </c>
      <c r="E595" s="368">
        <f t="shared" si="542"/>
        <v>8</v>
      </c>
      <c r="F595" s="367" t="str">
        <f t="shared" si="546"/>
        <v>saturn</v>
      </c>
      <c r="G595" s="367">
        <f t="shared" si="547"/>
        <v>7</v>
      </c>
      <c r="H595" s="367" t="str">
        <f t="shared" si="543"/>
        <v>jupiter</v>
      </c>
      <c r="I595" s="369">
        <f t="shared" si="548"/>
        <v>46188.75</v>
      </c>
      <c r="J595" s="377">
        <f t="shared" si="544"/>
        <v>53</v>
      </c>
      <c r="K595" s="369">
        <f t="shared" si="551"/>
        <v>46241.75</v>
      </c>
      <c r="L595" s="360">
        <f t="shared" si="549"/>
        <v>522</v>
      </c>
      <c r="N595" s="358">
        <f>SUM(J587:J595)</f>
        <v>409</v>
      </c>
      <c r="O595" s="381"/>
    </row>
    <row r="596" spans="1:15">
      <c r="A596" s="399"/>
      <c r="B596" s="386"/>
      <c r="C596" s="387">
        <f>C586</f>
        <v>5</v>
      </c>
      <c r="D596" s="373" t="str">
        <f>D586</f>
        <v>mars</v>
      </c>
      <c r="E596" s="393">
        <f>IF(E586+1&gt;9,E586+1-9,E586+1)</f>
        <v>9</v>
      </c>
      <c r="F596" s="389" t="str">
        <f t="shared" si="546"/>
        <v>mercury</v>
      </c>
      <c r="G596" s="389"/>
      <c r="H596" s="389"/>
      <c r="I596" s="390">
        <f>K586</f>
        <v>46242.75</v>
      </c>
      <c r="J596" s="373">
        <f>ROUND(J$555*VLOOKUP(E596,$A$848:$E$856,5,FALSE),0)</f>
        <v>358</v>
      </c>
      <c r="K596" s="390">
        <f>I596+J596</f>
        <v>46600.75</v>
      </c>
      <c r="L596" s="400"/>
      <c r="M596" s="373"/>
      <c r="N596" s="373"/>
      <c r="O596" s="381"/>
    </row>
    <row r="597" spans="1:15">
      <c r="A597" s="355">
        <f>A595+1</f>
        <v>523</v>
      </c>
      <c r="B597" s="372">
        <f>K597</f>
        <v>46291.75</v>
      </c>
      <c r="C597" s="357">
        <f t="shared" si="531"/>
        <v>5</v>
      </c>
      <c r="D597" s="358" t="str">
        <f t="shared" si="532"/>
        <v>mars</v>
      </c>
      <c r="E597" s="368">
        <f t="shared" ref="E597:E605" si="552">E596</f>
        <v>9</v>
      </c>
      <c r="F597" s="367" t="str">
        <f t="shared" si="546"/>
        <v>mercury</v>
      </c>
      <c r="G597" s="367">
        <f>E597</f>
        <v>9</v>
      </c>
      <c r="H597" s="367" t="str">
        <f t="shared" ref="H597:H605" si="553">VLOOKUP(G597,$A$848:$B$856,2,FALSE)</f>
        <v>mercury</v>
      </c>
      <c r="I597" s="369">
        <f>K595</f>
        <v>46241.75</v>
      </c>
      <c r="J597" s="377">
        <f t="shared" ref="J597:J605" si="554">ROUND(J$596*VLOOKUP(G597,$A$848:$E$856,5,FALSE),0)</f>
        <v>50</v>
      </c>
      <c r="K597" s="369">
        <f>I597+J597</f>
        <v>46291.75</v>
      </c>
      <c r="L597" s="360">
        <f>L595+1</f>
        <v>523</v>
      </c>
      <c r="O597" s="381"/>
    </row>
    <row r="598" spans="1:15">
      <c r="A598" s="355">
        <f t="shared" ref="A598:A605" si="555">A597+1</f>
        <v>524</v>
      </c>
      <c r="B598" s="372">
        <f>K598</f>
        <v>46312.75</v>
      </c>
      <c r="C598" s="357">
        <f t="shared" si="531"/>
        <v>5</v>
      </c>
      <c r="D598" s="358" t="str">
        <f t="shared" si="532"/>
        <v>mars</v>
      </c>
      <c r="E598" s="368">
        <f t="shared" si="552"/>
        <v>9</v>
      </c>
      <c r="F598" s="367" t="str">
        <f t="shared" si="546"/>
        <v>mercury</v>
      </c>
      <c r="G598" s="367">
        <f t="shared" ref="G598:G605" si="556">IF(G597+1&gt;9,G597+1-9,G597+1)</f>
        <v>1</v>
      </c>
      <c r="H598" s="367" t="str">
        <f t="shared" si="553"/>
        <v>ketu</v>
      </c>
      <c r="I598" s="369">
        <f t="shared" ref="I598:I605" si="557">K597</f>
        <v>46291.75</v>
      </c>
      <c r="J598" s="377">
        <f t="shared" si="554"/>
        <v>21</v>
      </c>
      <c r="K598" s="369">
        <f>I598+J598</f>
        <v>46312.75</v>
      </c>
      <c r="L598" s="360">
        <f t="shared" ref="L598:L605" si="558">L597+1</f>
        <v>524</v>
      </c>
      <c r="O598" s="381"/>
    </row>
    <row r="599" spans="1:15">
      <c r="A599" s="355">
        <f t="shared" si="555"/>
        <v>525</v>
      </c>
      <c r="B599" s="372">
        <f t="shared" ref="B599:B605" si="559">K599</f>
        <v>46373.75</v>
      </c>
      <c r="C599" s="357">
        <f t="shared" si="531"/>
        <v>5</v>
      </c>
      <c r="D599" s="358" t="str">
        <f t="shared" si="532"/>
        <v>mars</v>
      </c>
      <c r="E599" s="368">
        <f t="shared" si="552"/>
        <v>9</v>
      </c>
      <c r="F599" s="367" t="str">
        <f t="shared" si="546"/>
        <v>mercury</v>
      </c>
      <c r="G599" s="367">
        <f t="shared" si="556"/>
        <v>2</v>
      </c>
      <c r="H599" s="367" t="str">
        <f t="shared" si="553"/>
        <v>venus</v>
      </c>
      <c r="I599" s="369">
        <f t="shared" si="557"/>
        <v>46312.75</v>
      </c>
      <c r="J599" s="377">
        <f t="shared" si="554"/>
        <v>61</v>
      </c>
      <c r="K599" s="369">
        <f t="shared" ref="K599:K605" si="560">I599+J599</f>
        <v>46373.75</v>
      </c>
      <c r="L599" s="360">
        <f t="shared" si="558"/>
        <v>525</v>
      </c>
      <c r="O599" s="381"/>
    </row>
    <row r="600" spans="1:15">
      <c r="A600" s="355">
        <f t="shared" si="555"/>
        <v>526</v>
      </c>
      <c r="B600" s="372">
        <f t="shared" si="559"/>
        <v>46391.75</v>
      </c>
      <c r="C600" s="357">
        <f t="shared" si="531"/>
        <v>5</v>
      </c>
      <c r="D600" s="358" t="str">
        <f t="shared" si="532"/>
        <v>mars</v>
      </c>
      <c r="E600" s="368">
        <f t="shared" si="552"/>
        <v>9</v>
      </c>
      <c r="F600" s="367" t="str">
        <f t="shared" si="546"/>
        <v>mercury</v>
      </c>
      <c r="G600" s="367">
        <f t="shared" si="556"/>
        <v>3</v>
      </c>
      <c r="H600" s="367" t="str">
        <f t="shared" si="553"/>
        <v>sun</v>
      </c>
      <c r="I600" s="369">
        <f t="shared" si="557"/>
        <v>46373.75</v>
      </c>
      <c r="J600" s="377">
        <f t="shared" si="554"/>
        <v>18</v>
      </c>
      <c r="K600" s="369">
        <f t="shared" si="560"/>
        <v>46391.75</v>
      </c>
      <c r="L600" s="360">
        <f t="shared" si="558"/>
        <v>526</v>
      </c>
      <c r="O600" s="381"/>
    </row>
    <row r="601" spans="1:15">
      <c r="A601" s="355">
        <f t="shared" si="555"/>
        <v>527</v>
      </c>
      <c r="B601" s="372">
        <f t="shared" si="559"/>
        <v>46420.75</v>
      </c>
      <c r="C601" s="357">
        <f t="shared" si="531"/>
        <v>5</v>
      </c>
      <c r="D601" s="358" t="str">
        <f t="shared" si="532"/>
        <v>mars</v>
      </c>
      <c r="E601" s="368">
        <f t="shared" si="552"/>
        <v>9</v>
      </c>
      <c r="F601" s="367" t="str">
        <f t="shared" si="546"/>
        <v>mercury</v>
      </c>
      <c r="G601" s="367">
        <f t="shared" si="556"/>
        <v>4</v>
      </c>
      <c r="H601" s="367" t="str">
        <f t="shared" si="553"/>
        <v>moon</v>
      </c>
      <c r="I601" s="369">
        <f t="shared" si="557"/>
        <v>46391.75</v>
      </c>
      <c r="J601" s="377">
        <f t="shared" si="554"/>
        <v>29</v>
      </c>
      <c r="K601" s="369">
        <f t="shared" si="560"/>
        <v>46420.75</v>
      </c>
      <c r="L601" s="360">
        <f t="shared" si="558"/>
        <v>527</v>
      </c>
      <c r="O601" s="381"/>
    </row>
    <row r="602" spans="1:15">
      <c r="A602" s="355">
        <f t="shared" si="555"/>
        <v>528</v>
      </c>
      <c r="B602" s="372">
        <f t="shared" si="559"/>
        <v>46441.75</v>
      </c>
      <c r="C602" s="357">
        <f t="shared" si="531"/>
        <v>5</v>
      </c>
      <c r="D602" s="358" t="str">
        <f t="shared" si="532"/>
        <v>mars</v>
      </c>
      <c r="E602" s="368">
        <f t="shared" si="552"/>
        <v>9</v>
      </c>
      <c r="F602" s="367" t="str">
        <f t="shared" si="546"/>
        <v>mercury</v>
      </c>
      <c r="G602" s="367">
        <f t="shared" si="556"/>
        <v>5</v>
      </c>
      <c r="H602" s="367" t="str">
        <f t="shared" si="553"/>
        <v>mars</v>
      </c>
      <c r="I602" s="369">
        <f t="shared" si="557"/>
        <v>46420.75</v>
      </c>
      <c r="J602" s="377">
        <f t="shared" si="554"/>
        <v>21</v>
      </c>
      <c r="K602" s="369">
        <f t="shared" si="560"/>
        <v>46441.75</v>
      </c>
      <c r="L602" s="360">
        <f t="shared" si="558"/>
        <v>528</v>
      </c>
      <c r="O602" s="381"/>
    </row>
    <row r="603" spans="1:15">
      <c r="A603" s="355">
        <f t="shared" si="555"/>
        <v>529</v>
      </c>
      <c r="B603" s="372">
        <f t="shared" si="559"/>
        <v>46495.75</v>
      </c>
      <c r="C603" s="357">
        <f t="shared" si="531"/>
        <v>5</v>
      </c>
      <c r="D603" s="358" t="str">
        <f t="shared" si="532"/>
        <v>mars</v>
      </c>
      <c r="E603" s="368">
        <f t="shared" si="552"/>
        <v>9</v>
      </c>
      <c r="F603" s="367" t="str">
        <f t="shared" si="546"/>
        <v>mercury</v>
      </c>
      <c r="G603" s="367">
        <f t="shared" si="556"/>
        <v>6</v>
      </c>
      <c r="H603" s="367" t="str">
        <f t="shared" si="553"/>
        <v>rahu</v>
      </c>
      <c r="I603" s="369">
        <f t="shared" si="557"/>
        <v>46441.75</v>
      </c>
      <c r="J603" s="377">
        <f t="shared" si="554"/>
        <v>54</v>
      </c>
      <c r="K603" s="369">
        <f t="shared" si="560"/>
        <v>46495.75</v>
      </c>
      <c r="L603" s="360">
        <f t="shared" si="558"/>
        <v>529</v>
      </c>
      <c r="O603" s="381"/>
    </row>
    <row r="604" spans="1:15">
      <c r="A604" s="355">
        <f t="shared" si="555"/>
        <v>530</v>
      </c>
      <c r="B604" s="372">
        <f t="shared" si="559"/>
        <v>46542.75</v>
      </c>
      <c r="C604" s="357">
        <f t="shared" si="531"/>
        <v>5</v>
      </c>
      <c r="D604" s="358" t="str">
        <f t="shared" si="532"/>
        <v>mars</v>
      </c>
      <c r="E604" s="368">
        <f t="shared" si="552"/>
        <v>9</v>
      </c>
      <c r="F604" s="367" t="str">
        <f t="shared" si="546"/>
        <v>mercury</v>
      </c>
      <c r="G604" s="367">
        <f t="shared" si="556"/>
        <v>7</v>
      </c>
      <c r="H604" s="367" t="str">
        <f t="shared" si="553"/>
        <v>jupiter</v>
      </c>
      <c r="I604" s="369">
        <f t="shared" si="557"/>
        <v>46495.75</v>
      </c>
      <c r="J604" s="377">
        <f t="shared" si="554"/>
        <v>47</v>
      </c>
      <c r="K604" s="369">
        <f t="shared" si="560"/>
        <v>46542.75</v>
      </c>
      <c r="L604" s="360">
        <f t="shared" si="558"/>
        <v>530</v>
      </c>
      <c r="O604" s="381"/>
    </row>
    <row r="605" spans="1:15">
      <c r="A605" s="355">
        <f t="shared" si="555"/>
        <v>531</v>
      </c>
      <c r="B605" s="372">
        <f t="shared" si="559"/>
        <v>46599.75</v>
      </c>
      <c r="C605" s="357">
        <f t="shared" si="531"/>
        <v>5</v>
      </c>
      <c r="D605" s="358" t="str">
        <f t="shared" si="532"/>
        <v>mars</v>
      </c>
      <c r="E605" s="368">
        <f t="shared" si="552"/>
        <v>9</v>
      </c>
      <c r="F605" s="367" t="str">
        <f t="shared" si="546"/>
        <v>mercury</v>
      </c>
      <c r="G605" s="367">
        <f t="shared" si="556"/>
        <v>8</v>
      </c>
      <c r="H605" s="367" t="str">
        <f t="shared" si="553"/>
        <v>saturn</v>
      </c>
      <c r="I605" s="369">
        <f t="shared" si="557"/>
        <v>46542.75</v>
      </c>
      <c r="J605" s="377">
        <f t="shared" si="554"/>
        <v>57</v>
      </c>
      <c r="K605" s="369">
        <f t="shared" si="560"/>
        <v>46599.75</v>
      </c>
      <c r="L605" s="360">
        <f t="shared" si="558"/>
        <v>531</v>
      </c>
      <c r="N605" s="358">
        <f>SUM(J597:J605)</f>
        <v>358</v>
      </c>
      <c r="O605" s="381"/>
    </row>
    <row r="606" spans="1:15">
      <c r="A606" s="399"/>
      <c r="B606" s="386"/>
      <c r="C606" s="387">
        <f>C596</f>
        <v>5</v>
      </c>
      <c r="D606" s="373" t="str">
        <f>D596</f>
        <v>mars</v>
      </c>
      <c r="E606" s="393">
        <f>IF(E596+1&gt;9,E596+1-9,E596+1)</f>
        <v>1</v>
      </c>
      <c r="F606" s="389" t="str">
        <f t="shared" si="546"/>
        <v>ketu</v>
      </c>
      <c r="G606" s="389"/>
      <c r="H606" s="389"/>
      <c r="I606" s="390">
        <f>K596</f>
        <v>46600.75</v>
      </c>
      <c r="J606" s="373">
        <f>ROUND(J$555*VLOOKUP(E606,$A$848:$E$856,5,FALSE),0)</f>
        <v>153</v>
      </c>
      <c r="K606" s="390">
        <f>I606+J606</f>
        <v>46753.75</v>
      </c>
      <c r="L606" s="400"/>
      <c r="M606" s="373"/>
      <c r="N606" s="373"/>
      <c r="O606" s="381"/>
    </row>
    <row r="607" spans="1:15">
      <c r="A607" s="355">
        <f>A605+1</f>
        <v>532</v>
      </c>
      <c r="B607" s="372">
        <f>K607</f>
        <v>46608.75</v>
      </c>
      <c r="C607" s="357">
        <f t="shared" si="531"/>
        <v>5</v>
      </c>
      <c r="D607" s="358" t="str">
        <f t="shared" si="532"/>
        <v>mars</v>
      </c>
      <c r="E607" s="368">
        <f t="shared" ref="E607:E615" si="561">E606</f>
        <v>1</v>
      </c>
      <c r="F607" s="367" t="str">
        <f t="shared" si="546"/>
        <v>ketu</v>
      </c>
      <c r="G607" s="367">
        <f>E607</f>
        <v>1</v>
      </c>
      <c r="H607" s="367" t="str">
        <f t="shared" ref="H607:H615" si="562">VLOOKUP(G607,$A$848:$B$856,2,FALSE)</f>
        <v>ketu</v>
      </c>
      <c r="I607" s="369">
        <f>K605</f>
        <v>46599.75</v>
      </c>
      <c r="J607" s="377">
        <f t="shared" ref="J607:J615" si="563">ROUND(J$606*VLOOKUP(G607,$A$848:$E$856,5,FALSE),0)</f>
        <v>9</v>
      </c>
      <c r="K607" s="369">
        <f>I607+J607</f>
        <v>46608.75</v>
      </c>
      <c r="L607" s="360">
        <f>L605+1</f>
        <v>532</v>
      </c>
      <c r="O607" s="381"/>
    </row>
    <row r="608" spans="1:15">
      <c r="A608" s="355">
        <f t="shared" ref="A608:A615" si="564">A607+1</f>
        <v>533</v>
      </c>
      <c r="B608" s="372">
        <f>K608</f>
        <v>46634.75</v>
      </c>
      <c r="C608" s="357">
        <f t="shared" si="531"/>
        <v>5</v>
      </c>
      <c r="D608" s="358" t="str">
        <f t="shared" si="532"/>
        <v>mars</v>
      </c>
      <c r="E608" s="368">
        <f t="shared" si="561"/>
        <v>1</v>
      </c>
      <c r="F608" s="367" t="str">
        <f t="shared" si="546"/>
        <v>ketu</v>
      </c>
      <c r="G608" s="367">
        <f t="shared" ref="G608:G615" si="565">IF(G607+1&gt;9,G607+1-9,G607+1)</f>
        <v>2</v>
      </c>
      <c r="H608" s="367" t="str">
        <f t="shared" si="562"/>
        <v>venus</v>
      </c>
      <c r="I608" s="369">
        <f t="shared" ref="I608:I615" si="566">K607</f>
        <v>46608.75</v>
      </c>
      <c r="J608" s="377">
        <f t="shared" si="563"/>
        <v>26</v>
      </c>
      <c r="K608" s="369">
        <f>I608+J608</f>
        <v>46634.75</v>
      </c>
      <c r="L608" s="360">
        <f t="shared" ref="L608:L615" si="567">L607+1</f>
        <v>533</v>
      </c>
      <c r="O608" s="381"/>
    </row>
    <row r="609" spans="1:15">
      <c r="A609" s="355">
        <f t="shared" si="564"/>
        <v>534</v>
      </c>
      <c r="B609" s="372">
        <f t="shared" ref="B609:B615" si="568">K609</f>
        <v>46642.75</v>
      </c>
      <c r="C609" s="357">
        <f t="shared" si="531"/>
        <v>5</v>
      </c>
      <c r="D609" s="358" t="str">
        <f t="shared" si="532"/>
        <v>mars</v>
      </c>
      <c r="E609" s="368">
        <f t="shared" si="561"/>
        <v>1</v>
      </c>
      <c r="F609" s="367" t="str">
        <f t="shared" si="546"/>
        <v>ketu</v>
      </c>
      <c r="G609" s="367">
        <f t="shared" si="565"/>
        <v>3</v>
      </c>
      <c r="H609" s="367" t="str">
        <f t="shared" si="562"/>
        <v>sun</v>
      </c>
      <c r="I609" s="369">
        <f t="shared" si="566"/>
        <v>46634.75</v>
      </c>
      <c r="J609" s="377">
        <f t="shared" si="563"/>
        <v>8</v>
      </c>
      <c r="K609" s="369">
        <f t="shared" ref="K609:K615" si="569">I609+J609</f>
        <v>46642.75</v>
      </c>
      <c r="L609" s="360">
        <f t="shared" si="567"/>
        <v>534</v>
      </c>
      <c r="O609" s="381"/>
    </row>
    <row r="610" spans="1:15">
      <c r="A610" s="355">
        <f t="shared" si="564"/>
        <v>535</v>
      </c>
      <c r="B610" s="372">
        <f t="shared" si="568"/>
        <v>46654.75</v>
      </c>
      <c r="C610" s="357">
        <f t="shared" si="531"/>
        <v>5</v>
      </c>
      <c r="D610" s="358" t="str">
        <f t="shared" si="532"/>
        <v>mars</v>
      </c>
      <c r="E610" s="368">
        <f t="shared" si="561"/>
        <v>1</v>
      </c>
      <c r="F610" s="367" t="str">
        <f t="shared" si="546"/>
        <v>ketu</v>
      </c>
      <c r="G610" s="367">
        <f t="shared" si="565"/>
        <v>4</v>
      </c>
      <c r="H610" s="367" t="str">
        <f t="shared" si="562"/>
        <v>moon</v>
      </c>
      <c r="I610" s="369">
        <f t="shared" si="566"/>
        <v>46642.75</v>
      </c>
      <c r="J610" s="377">
        <f t="shared" si="563"/>
        <v>12</v>
      </c>
      <c r="K610" s="369">
        <f t="shared" si="569"/>
        <v>46654.75</v>
      </c>
      <c r="L610" s="360">
        <f t="shared" si="567"/>
        <v>535</v>
      </c>
      <c r="O610" s="381"/>
    </row>
    <row r="611" spans="1:15">
      <c r="A611" s="355">
        <f t="shared" si="564"/>
        <v>536</v>
      </c>
      <c r="B611" s="372">
        <f t="shared" si="568"/>
        <v>46663.75</v>
      </c>
      <c r="C611" s="357">
        <f t="shared" si="531"/>
        <v>5</v>
      </c>
      <c r="D611" s="358" t="str">
        <f t="shared" si="532"/>
        <v>mars</v>
      </c>
      <c r="E611" s="368">
        <f t="shared" si="561"/>
        <v>1</v>
      </c>
      <c r="F611" s="367" t="str">
        <f t="shared" si="546"/>
        <v>ketu</v>
      </c>
      <c r="G611" s="367">
        <f t="shared" si="565"/>
        <v>5</v>
      </c>
      <c r="H611" s="367" t="str">
        <f t="shared" si="562"/>
        <v>mars</v>
      </c>
      <c r="I611" s="369">
        <f t="shared" si="566"/>
        <v>46654.75</v>
      </c>
      <c r="J611" s="377">
        <f t="shared" si="563"/>
        <v>9</v>
      </c>
      <c r="K611" s="369">
        <f t="shared" si="569"/>
        <v>46663.75</v>
      </c>
      <c r="L611" s="360">
        <f t="shared" si="567"/>
        <v>536</v>
      </c>
      <c r="O611" s="381"/>
    </row>
    <row r="612" spans="1:15">
      <c r="A612" s="355">
        <f t="shared" si="564"/>
        <v>537</v>
      </c>
      <c r="B612" s="372">
        <f t="shared" si="568"/>
        <v>46686.75</v>
      </c>
      <c r="C612" s="357">
        <f t="shared" si="531"/>
        <v>5</v>
      </c>
      <c r="D612" s="358" t="str">
        <f t="shared" si="532"/>
        <v>mars</v>
      </c>
      <c r="E612" s="368">
        <f t="shared" si="561"/>
        <v>1</v>
      </c>
      <c r="F612" s="367" t="str">
        <f t="shared" si="546"/>
        <v>ketu</v>
      </c>
      <c r="G612" s="367">
        <f t="shared" si="565"/>
        <v>6</v>
      </c>
      <c r="H612" s="367" t="str">
        <f t="shared" si="562"/>
        <v>rahu</v>
      </c>
      <c r="I612" s="369">
        <f t="shared" si="566"/>
        <v>46663.75</v>
      </c>
      <c r="J612" s="377">
        <f t="shared" si="563"/>
        <v>23</v>
      </c>
      <c r="K612" s="369">
        <f t="shared" si="569"/>
        <v>46686.75</v>
      </c>
      <c r="L612" s="360">
        <f t="shared" si="567"/>
        <v>537</v>
      </c>
      <c r="O612" s="381"/>
    </row>
    <row r="613" spans="1:15">
      <c r="A613" s="355">
        <f t="shared" si="564"/>
        <v>538</v>
      </c>
      <c r="B613" s="372">
        <f t="shared" si="568"/>
        <v>46706.75</v>
      </c>
      <c r="C613" s="357">
        <f t="shared" si="531"/>
        <v>5</v>
      </c>
      <c r="D613" s="358" t="str">
        <f t="shared" si="532"/>
        <v>mars</v>
      </c>
      <c r="E613" s="368">
        <f t="shared" si="561"/>
        <v>1</v>
      </c>
      <c r="F613" s="367" t="str">
        <f t="shared" si="546"/>
        <v>ketu</v>
      </c>
      <c r="G613" s="367">
        <f t="shared" si="565"/>
        <v>7</v>
      </c>
      <c r="H613" s="367" t="str">
        <f t="shared" si="562"/>
        <v>jupiter</v>
      </c>
      <c r="I613" s="369">
        <f t="shared" si="566"/>
        <v>46686.75</v>
      </c>
      <c r="J613" s="377">
        <f t="shared" si="563"/>
        <v>20</v>
      </c>
      <c r="K613" s="369">
        <f t="shared" si="569"/>
        <v>46706.75</v>
      </c>
      <c r="L613" s="360">
        <f t="shared" si="567"/>
        <v>538</v>
      </c>
      <c r="O613" s="381"/>
    </row>
    <row r="614" spans="1:15">
      <c r="A614" s="355">
        <f t="shared" si="564"/>
        <v>539</v>
      </c>
      <c r="B614" s="372">
        <f t="shared" si="568"/>
        <v>46730.75</v>
      </c>
      <c r="C614" s="357">
        <f t="shared" si="531"/>
        <v>5</v>
      </c>
      <c r="D614" s="358" t="str">
        <f t="shared" si="532"/>
        <v>mars</v>
      </c>
      <c r="E614" s="368">
        <f t="shared" si="561"/>
        <v>1</v>
      </c>
      <c r="F614" s="367" t="str">
        <f t="shared" si="546"/>
        <v>ketu</v>
      </c>
      <c r="G614" s="367">
        <f t="shared" si="565"/>
        <v>8</v>
      </c>
      <c r="H614" s="367" t="str">
        <f t="shared" si="562"/>
        <v>saturn</v>
      </c>
      <c r="I614" s="369">
        <f t="shared" si="566"/>
        <v>46706.75</v>
      </c>
      <c r="J614" s="377">
        <f t="shared" si="563"/>
        <v>24</v>
      </c>
      <c r="K614" s="369">
        <f t="shared" si="569"/>
        <v>46730.75</v>
      </c>
      <c r="L614" s="360">
        <f t="shared" si="567"/>
        <v>539</v>
      </c>
      <c r="O614" s="381"/>
    </row>
    <row r="615" spans="1:15">
      <c r="A615" s="355">
        <f t="shared" si="564"/>
        <v>540</v>
      </c>
      <c r="B615" s="372">
        <f t="shared" si="568"/>
        <v>46751.75</v>
      </c>
      <c r="C615" s="357">
        <f t="shared" si="531"/>
        <v>5</v>
      </c>
      <c r="D615" s="358" t="str">
        <f t="shared" si="532"/>
        <v>mars</v>
      </c>
      <c r="E615" s="368">
        <f t="shared" si="561"/>
        <v>1</v>
      </c>
      <c r="F615" s="367" t="str">
        <f t="shared" si="546"/>
        <v>ketu</v>
      </c>
      <c r="G615" s="367">
        <f t="shared" si="565"/>
        <v>9</v>
      </c>
      <c r="H615" s="367" t="str">
        <f t="shared" si="562"/>
        <v>mercury</v>
      </c>
      <c r="I615" s="369">
        <f t="shared" si="566"/>
        <v>46730.75</v>
      </c>
      <c r="J615" s="377">
        <f t="shared" si="563"/>
        <v>21</v>
      </c>
      <c r="K615" s="369">
        <f t="shared" si="569"/>
        <v>46751.75</v>
      </c>
      <c r="L615" s="360">
        <f t="shared" si="567"/>
        <v>540</v>
      </c>
      <c r="N615" s="358">
        <f>SUM(J607:J615)</f>
        <v>152</v>
      </c>
      <c r="O615" s="381"/>
    </row>
    <row r="616" spans="1:15">
      <c r="A616" s="399"/>
      <c r="B616" s="386"/>
      <c r="C616" s="387">
        <f>C606</f>
        <v>5</v>
      </c>
      <c r="D616" s="373" t="str">
        <f>D606</f>
        <v>mars</v>
      </c>
      <c r="E616" s="393">
        <f>IF(E606+1&gt;9,E606+1-9,E606+1)</f>
        <v>2</v>
      </c>
      <c r="F616" s="389" t="str">
        <f t="shared" si="546"/>
        <v>venus</v>
      </c>
      <c r="G616" s="389"/>
      <c r="H616" s="389"/>
      <c r="I616" s="390">
        <f>K606</f>
        <v>46753.75</v>
      </c>
      <c r="J616" s="373">
        <f>ROUND(J$555*VLOOKUP(E616,$A$848:$E$856,5,FALSE),0)</f>
        <v>435</v>
      </c>
      <c r="K616" s="390">
        <f>I616+J616</f>
        <v>47188.75</v>
      </c>
      <c r="L616" s="400"/>
      <c r="M616" s="373"/>
      <c r="N616" s="373"/>
      <c r="O616" s="381"/>
    </row>
    <row r="617" spans="1:15">
      <c r="A617" s="355">
        <f>A615+1</f>
        <v>541</v>
      </c>
      <c r="B617" s="372">
        <f>K617</f>
        <v>46825.75</v>
      </c>
      <c r="C617" s="357">
        <f t="shared" si="531"/>
        <v>5</v>
      </c>
      <c r="D617" s="358" t="str">
        <f t="shared" si="532"/>
        <v>mars</v>
      </c>
      <c r="E617" s="368">
        <f t="shared" ref="E617:E625" si="570">E616</f>
        <v>2</v>
      </c>
      <c r="F617" s="367" t="str">
        <f t="shared" si="546"/>
        <v>venus</v>
      </c>
      <c r="G617" s="367">
        <f>E617</f>
        <v>2</v>
      </c>
      <c r="H617" s="367" t="str">
        <f t="shared" ref="H617:H625" si="571">VLOOKUP(G617,$A$848:$B$856,2,FALSE)</f>
        <v>venus</v>
      </c>
      <c r="I617" s="369">
        <f>K615</f>
        <v>46751.75</v>
      </c>
      <c r="J617" s="377">
        <f t="shared" ref="J617:J625" si="572">ROUND(J$616*VLOOKUP(G617,$A$848:$E$856,5,FALSE),0)</f>
        <v>74</v>
      </c>
      <c r="K617" s="369">
        <f>I617+J617</f>
        <v>46825.75</v>
      </c>
      <c r="L617" s="360">
        <f>L615+1</f>
        <v>541</v>
      </c>
      <c r="O617" s="381"/>
    </row>
    <row r="618" spans="1:15">
      <c r="A618" s="355">
        <f t="shared" ref="A618:A625" si="573">A617+1</f>
        <v>542</v>
      </c>
      <c r="B618" s="372">
        <f>K618</f>
        <v>46847.75</v>
      </c>
      <c r="C618" s="357">
        <f t="shared" si="531"/>
        <v>5</v>
      </c>
      <c r="D618" s="358" t="str">
        <f t="shared" si="532"/>
        <v>mars</v>
      </c>
      <c r="E618" s="368">
        <f t="shared" si="570"/>
        <v>2</v>
      </c>
      <c r="F618" s="367" t="str">
        <f t="shared" si="546"/>
        <v>venus</v>
      </c>
      <c r="G618" s="367">
        <f t="shared" ref="G618:G625" si="574">IF(G617+1&gt;9,G617+1-9,G617+1)</f>
        <v>3</v>
      </c>
      <c r="H618" s="367" t="str">
        <f t="shared" si="571"/>
        <v>sun</v>
      </c>
      <c r="I618" s="369">
        <f t="shared" ref="I618:I625" si="575">K617</f>
        <v>46825.75</v>
      </c>
      <c r="J618" s="377">
        <f t="shared" si="572"/>
        <v>22</v>
      </c>
      <c r="K618" s="369">
        <f>I618+J618</f>
        <v>46847.75</v>
      </c>
      <c r="L618" s="360">
        <f t="shared" ref="L618:L625" si="576">L617+1</f>
        <v>542</v>
      </c>
      <c r="O618" s="381"/>
    </row>
    <row r="619" spans="1:15">
      <c r="A619" s="355">
        <f t="shared" si="573"/>
        <v>543</v>
      </c>
      <c r="B619" s="372">
        <f t="shared" ref="B619:B625" si="577">K619</f>
        <v>46882.75</v>
      </c>
      <c r="C619" s="357">
        <f t="shared" si="531"/>
        <v>5</v>
      </c>
      <c r="D619" s="358" t="str">
        <f t="shared" si="532"/>
        <v>mars</v>
      </c>
      <c r="E619" s="368">
        <f t="shared" si="570"/>
        <v>2</v>
      </c>
      <c r="F619" s="367" t="str">
        <f t="shared" si="546"/>
        <v>venus</v>
      </c>
      <c r="G619" s="367">
        <f t="shared" si="574"/>
        <v>4</v>
      </c>
      <c r="H619" s="367" t="str">
        <f t="shared" si="571"/>
        <v>moon</v>
      </c>
      <c r="I619" s="369">
        <f t="shared" si="575"/>
        <v>46847.75</v>
      </c>
      <c r="J619" s="377">
        <f t="shared" si="572"/>
        <v>35</v>
      </c>
      <c r="K619" s="369">
        <f t="shared" ref="K619:K625" si="578">I619+J619</f>
        <v>46882.75</v>
      </c>
      <c r="L619" s="360">
        <f t="shared" si="576"/>
        <v>543</v>
      </c>
      <c r="O619" s="381"/>
    </row>
    <row r="620" spans="1:15">
      <c r="A620" s="355">
        <f t="shared" si="573"/>
        <v>544</v>
      </c>
      <c r="B620" s="372">
        <f t="shared" si="577"/>
        <v>46908.75</v>
      </c>
      <c r="C620" s="357">
        <f t="shared" si="531"/>
        <v>5</v>
      </c>
      <c r="D620" s="358" t="str">
        <f t="shared" si="532"/>
        <v>mars</v>
      </c>
      <c r="E620" s="368">
        <f t="shared" si="570"/>
        <v>2</v>
      </c>
      <c r="F620" s="367" t="str">
        <f t="shared" ref="F620:F645" si="579">VLOOKUP(E620,$A$848:$B$856,2,FALSE)</f>
        <v>venus</v>
      </c>
      <c r="G620" s="367">
        <f t="shared" si="574"/>
        <v>5</v>
      </c>
      <c r="H620" s="367" t="str">
        <f t="shared" si="571"/>
        <v>mars</v>
      </c>
      <c r="I620" s="369">
        <f t="shared" si="575"/>
        <v>46882.75</v>
      </c>
      <c r="J620" s="377">
        <f t="shared" si="572"/>
        <v>26</v>
      </c>
      <c r="K620" s="369">
        <f t="shared" si="578"/>
        <v>46908.75</v>
      </c>
      <c r="L620" s="360">
        <f t="shared" si="576"/>
        <v>544</v>
      </c>
      <c r="O620" s="381"/>
    </row>
    <row r="621" spans="1:15">
      <c r="A621" s="355">
        <f t="shared" si="573"/>
        <v>545</v>
      </c>
      <c r="B621" s="372">
        <f t="shared" si="577"/>
        <v>46973.75</v>
      </c>
      <c r="C621" s="357">
        <f t="shared" si="531"/>
        <v>5</v>
      </c>
      <c r="D621" s="358" t="str">
        <f t="shared" si="532"/>
        <v>mars</v>
      </c>
      <c r="E621" s="368">
        <f t="shared" si="570"/>
        <v>2</v>
      </c>
      <c r="F621" s="367" t="str">
        <f t="shared" si="579"/>
        <v>venus</v>
      </c>
      <c r="G621" s="367">
        <f t="shared" si="574"/>
        <v>6</v>
      </c>
      <c r="H621" s="367" t="str">
        <f t="shared" si="571"/>
        <v>rahu</v>
      </c>
      <c r="I621" s="369">
        <f t="shared" si="575"/>
        <v>46908.75</v>
      </c>
      <c r="J621" s="377">
        <f t="shared" si="572"/>
        <v>65</v>
      </c>
      <c r="K621" s="369">
        <f t="shared" si="578"/>
        <v>46973.75</v>
      </c>
      <c r="L621" s="360">
        <f t="shared" si="576"/>
        <v>545</v>
      </c>
      <c r="O621" s="381"/>
    </row>
    <row r="622" spans="1:15">
      <c r="A622" s="355">
        <f t="shared" si="573"/>
        <v>546</v>
      </c>
      <c r="B622" s="372">
        <f t="shared" si="577"/>
        <v>47030.75</v>
      </c>
      <c r="C622" s="357">
        <f t="shared" si="531"/>
        <v>5</v>
      </c>
      <c r="D622" s="358" t="str">
        <f t="shared" si="532"/>
        <v>mars</v>
      </c>
      <c r="E622" s="368">
        <f t="shared" si="570"/>
        <v>2</v>
      </c>
      <c r="F622" s="367" t="str">
        <f t="shared" si="579"/>
        <v>venus</v>
      </c>
      <c r="G622" s="367">
        <f t="shared" si="574"/>
        <v>7</v>
      </c>
      <c r="H622" s="367" t="str">
        <f t="shared" si="571"/>
        <v>jupiter</v>
      </c>
      <c r="I622" s="369">
        <f t="shared" si="575"/>
        <v>46973.75</v>
      </c>
      <c r="J622" s="377">
        <f t="shared" si="572"/>
        <v>57</v>
      </c>
      <c r="K622" s="369">
        <f t="shared" si="578"/>
        <v>47030.75</v>
      </c>
      <c r="L622" s="360">
        <f t="shared" si="576"/>
        <v>546</v>
      </c>
      <c r="O622" s="381"/>
    </row>
    <row r="623" spans="1:15">
      <c r="A623" s="355">
        <f t="shared" si="573"/>
        <v>547</v>
      </c>
      <c r="B623" s="372">
        <f t="shared" si="577"/>
        <v>47100.75</v>
      </c>
      <c r="C623" s="357">
        <f t="shared" si="531"/>
        <v>5</v>
      </c>
      <c r="D623" s="358" t="str">
        <f t="shared" si="532"/>
        <v>mars</v>
      </c>
      <c r="E623" s="368">
        <f t="shared" si="570"/>
        <v>2</v>
      </c>
      <c r="F623" s="367" t="str">
        <f t="shared" si="579"/>
        <v>venus</v>
      </c>
      <c r="G623" s="367">
        <f t="shared" si="574"/>
        <v>8</v>
      </c>
      <c r="H623" s="367" t="str">
        <f t="shared" si="571"/>
        <v>saturn</v>
      </c>
      <c r="I623" s="369">
        <f t="shared" si="575"/>
        <v>47030.75</v>
      </c>
      <c r="J623" s="377">
        <f t="shared" si="572"/>
        <v>70</v>
      </c>
      <c r="K623" s="369">
        <f t="shared" si="578"/>
        <v>47100.75</v>
      </c>
      <c r="L623" s="360">
        <f t="shared" si="576"/>
        <v>547</v>
      </c>
      <c r="O623" s="381"/>
    </row>
    <row r="624" spans="1:15">
      <c r="A624" s="355">
        <f t="shared" si="573"/>
        <v>548</v>
      </c>
      <c r="B624" s="372">
        <f t="shared" si="577"/>
        <v>47161.75</v>
      </c>
      <c r="C624" s="357">
        <f t="shared" si="531"/>
        <v>5</v>
      </c>
      <c r="D624" s="358" t="str">
        <f t="shared" si="532"/>
        <v>mars</v>
      </c>
      <c r="E624" s="368">
        <f t="shared" si="570"/>
        <v>2</v>
      </c>
      <c r="F624" s="367" t="str">
        <f t="shared" si="579"/>
        <v>venus</v>
      </c>
      <c r="G624" s="367">
        <f t="shared" si="574"/>
        <v>9</v>
      </c>
      <c r="H624" s="367" t="str">
        <f t="shared" si="571"/>
        <v>mercury</v>
      </c>
      <c r="I624" s="369">
        <f t="shared" si="575"/>
        <v>47100.75</v>
      </c>
      <c r="J624" s="377">
        <f t="shared" si="572"/>
        <v>61</v>
      </c>
      <c r="K624" s="369">
        <f t="shared" si="578"/>
        <v>47161.75</v>
      </c>
      <c r="L624" s="360">
        <f t="shared" si="576"/>
        <v>548</v>
      </c>
      <c r="O624" s="381"/>
    </row>
    <row r="625" spans="1:15">
      <c r="A625" s="355">
        <f t="shared" si="573"/>
        <v>549</v>
      </c>
      <c r="B625" s="372">
        <f t="shared" si="577"/>
        <v>47187.75</v>
      </c>
      <c r="C625" s="357">
        <f t="shared" si="531"/>
        <v>5</v>
      </c>
      <c r="D625" s="358" t="str">
        <f t="shared" si="532"/>
        <v>mars</v>
      </c>
      <c r="E625" s="368">
        <f t="shared" si="570"/>
        <v>2</v>
      </c>
      <c r="F625" s="367" t="str">
        <f t="shared" si="579"/>
        <v>venus</v>
      </c>
      <c r="G625" s="367">
        <f t="shared" si="574"/>
        <v>1</v>
      </c>
      <c r="H625" s="367" t="str">
        <f t="shared" si="571"/>
        <v>ketu</v>
      </c>
      <c r="I625" s="369">
        <f t="shared" si="575"/>
        <v>47161.75</v>
      </c>
      <c r="J625" s="377">
        <f t="shared" si="572"/>
        <v>26</v>
      </c>
      <c r="K625" s="369">
        <f t="shared" si="578"/>
        <v>47187.75</v>
      </c>
      <c r="L625" s="360">
        <f t="shared" si="576"/>
        <v>549</v>
      </c>
      <c r="N625" s="358">
        <f>SUM(J617:J625)</f>
        <v>436</v>
      </c>
      <c r="O625" s="381"/>
    </row>
    <row r="626" spans="1:15">
      <c r="A626" s="399"/>
      <c r="B626" s="386"/>
      <c r="C626" s="387">
        <f>C616</f>
        <v>5</v>
      </c>
      <c r="D626" s="373" t="str">
        <f>D616</f>
        <v>mars</v>
      </c>
      <c r="E626" s="393">
        <f>IF(E616+1&gt;9,E616+1-9,E616+1)</f>
        <v>3</v>
      </c>
      <c r="F626" s="389" t="str">
        <f t="shared" si="579"/>
        <v>sun</v>
      </c>
      <c r="G626" s="389"/>
      <c r="H626" s="389"/>
      <c r="I626" s="390">
        <f>K616</f>
        <v>47188.75</v>
      </c>
      <c r="J626" s="373">
        <f>ROUND(J$555*VLOOKUP(E626,$A$848:$E$856,5,FALSE),0)</f>
        <v>128</v>
      </c>
      <c r="K626" s="390">
        <f>I626+J626</f>
        <v>47316.75</v>
      </c>
      <c r="L626" s="400"/>
      <c r="M626" s="373"/>
      <c r="N626" s="373"/>
      <c r="O626" s="381"/>
    </row>
    <row r="627" spans="1:15">
      <c r="A627" s="355">
        <f>A625+1</f>
        <v>550</v>
      </c>
      <c r="B627" s="372">
        <f>K627</f>
        <v>47193.75</v>
      </c>
      <c r="C627" s="357">
        <f t="shared" si="531"/>
        <v>5</v>
      </c>
      <c r="D627" s="358" t="str">
        <f t="shared" si="532"/>
        <v>mars</v>
      </c>
      <c r="E627" s="368">
        <f t="shared" ref="E627:E635" si="580">E626</f>
        <v>3</v>
      </c>
      <c r="F627" s="367" t="str">
        <f t="shared" si="579"/>
        <v>sun</v>
      </c>
      <c r="G627" s="367">
        <f>E627</f>
        <v>3</v>
      </c>
      <c r="H627" s="367" t="str">
        <f t="shared" ref="H627:H635" si="581">VLOOKUP(G627,$A$848:$B$856,2,FALSE)</f>
        <v>sun</v>
      </c>
      <c r="I627" s="369">
        <f>K625</f>
        <v>47187.75</v>
      </c>
      <c r="J627" s="377">
        <f t="shared" ref="J627:J635" si="582">ROUND(J$626*VLOOKUP(G627,$A$848:$E$856,5,FALSE),0)</f>
        <v>6</v>
      </c>
      <c r="K627" s="369">
        <f>I627+J627</f>
        <v>47193.75</v>
      </c>
      <c r="L627" s="360">
        <f>L625+1</f>
        <v>550</v>
      </c>
      <c r="O627" s="381"/>
    </row>
    <row r="628" spans="1:15">
      <c r="A628" s="355">
        <f t="shared" ref="A628:A635" si="583">A627+1</f>
        <v>551</v>
      </c>
      <c r="B628" s="372">
        <f>K628</f>
        <v>47203.75</v>
      </c>
      <c r="C628" s="357">
        <f t="shared" si="531"/>
        <v>5</v>
      </c>
      <c r="D628" s="358" t="str">
        <f t="shared" si="532"/>
        <v>mars</v>
      </c>
      <c r="E628" s="368">
        <f t="shared" si="580"/>
        <v>3</v>
      </c>
      <c r="F628" s="367" t="str">
        <f t="shared" si="579"/>
        <v>sun</v>
      </c>
      <c r="G628" s="367">
        <f t="shared" ref="G628:G635" si="584">IF(G627+1&gt;9,G627+1-9,G627+1)</f>
        <v>4</v>
      </c>
      <c r="H628" s="367" t="str">
        <f t="shared" si="581"/>
        <v>moon</v>
      </c>
      <c r="I628" s="369">
        <f t="shared" ref="I628:I635" si="585">K627</f>
        <v>47193.75</v>
      </c>
      <c r="J628" s="377">
        <f t="shared" si="582"/>
        <v>10</v>
      </c>
      <c r="K628" s="369">
        <f>I628+J628</f>
        <v>47203.75</v>
      </c>
      <c r="L628" s="360">
        <f t="shared" ref="L628:L635" si="586">L627+1</f>
        <v>551</v>
      </c>
      <c r="O628" s="381"/>
    </row>
    <row r="629" spans="1:15">
      <c r="A629" s="355">
        <f t="shared" si="583"/>
        <v>552</v>
      </c>
      <c r="B629" s="372">
        <f t="shared" ref="B629:B635" si="587">K629</f>
        <v>47211.75</v>
      </c>
      <c r="C629" s="357">
        <f t="shared" si="531"/>
        <v>5</v>
      </c>
      <c r="D629" s="358" t="str">
        <f t="shared" si="532"/>
        <v>mars</v>
      </c>
      <c r="E629" s="368">
        <f t="shared" si="580"/>
        <v>3</v>
      </c>
      <c r="F629" s="367" t="str">
        <f t="shared" si="579"/>
        <v>sun</v>
      </c>
      <c r="G629" s="367">
        <f t="shared" si="584"/>
        <v>5</v>
      </c>
      <c r="H629" s="367" t="str">
        <f t="shared" si="581"/>
        <v>mars</v>
      </c>
      <c r="I629" s="369">
        <f t="shared" si="585"/>
        <v>47203.75</v>
      </c>
      <c r="J629" s="377">
        <f t="shared" si="582"/>
        <v>8</v>
      </c>
      <c r="K629" s="369">
        <f t="shared" ref="K629:K635" si="588">I629+J629</f>
        <v>47211.75</v>
      </c>
      <c r="L629" s="360">
        <f t="shared" si="586"/>
        <v>552</v>
      </c>
      <c r="O629" s="381"/>
    </row>
    <row r="630" spans="1:15">
      <c r="A630" s="355">
        <f t="shared" si="583"/>
        <v>553</v>
      </c>
      <c r="B630" s="372">
        <f t="shared" si="587"/>
        <v>47230.75</v>
      </c>
      <c r="C630" s="357">
        <f t="shared" si="531"/>
        <v>5</v>
      </c>
      <c r="D630" s="358" t="str">
        <f t="shared" si="532"/>
        <v>mars</v>
      </c>
      <c r="E630" s="368">
        <f t="shared" si="580"/>
        <v>3</v>
      </c>
      <c r="F630" s="367" t="str">
        <f t="shared" si="579"/>
        <v>sun</v>
      </c>
      <c r="G630" s="367">
        <f t="shared" si="584"/>
        <v>6</v>
      </c>
      <c r="H630" s="367" t="str">
        <f t="shared" si="581"/>
        <v>rahu</v>
      </c>
      <c r="I630" s="369">
        <f t="shared" si="585"/>
        <v>47211.75</v>
      </c>
      <c r="J630" s="377">
        <f t="shared" si="582"/>
        <v>19</v>
      </c>
      <c r="K630" s="369">
        <f t="shared" si="588"/>
        <v>47230.75</v>
      </c>
      <c r="L630" s="360">
        <f t="shared" si="586"/>
        <v>553</v>
      </c>
      <c r="O630" s="381"/>
    </row>
    <row r="631" spans="1:15">
      <c r="A631" s="355">
        <f t="shared" si="583"/>
        <v>554</v>
      </c>
      <c r="B631" s="372">
        <f t="shared" si="587"/>
        <v>47247.75</v>
      </c>
      <c r="C631" s="357">
        <f t="shared" si="531"/>
        <v>5</v>
      </c>
      <c r="D631" s="358" t="str">
        <f t="shared" si="532"/>
        <v>mars</v>
      </c>
      <c r="E631" s="368">
        <f t="shared" si="580"/>
        <v>3</v>
      </c>
      <c r="F631" s="367" t="str">
        <f t="shared" si="579"/>
        <v>sun</v>
      </c>
      <c r="G631" s="367">
        <f t="shared" si="584"/>
        <v>7</v>
      </c>
      <c r="H631" s="367" t="str">
        <f t="shared" si="581"/>
        <v>jupiter</v>
      </c>
      <c r="I631" s="369">
        <f t="shared" si="585"/>
        <v>47230.75</v>
      </c>
      <c r="J631" s="377">
        <f t="shared" si="582"/>
        <v>17</v>
      </c>
      <c r="K631" s="369">
        <f t="shared" si="588"/>
        <v>47247.75</v>
      </c>
      <c r="L631" s="360">
        <f t="shared" si="586"/>
        <v>554</v>
      </c>
      <c r="O631" s="381"/>
    </row>
    <row r="632" spans="1:15">
      <c r="A632" s="355">
        <f t="shared" si="583"/>
        <v>555</v>
      </c>
      <c r="B632" s="372">
        <f t="shared" si="587"/>
        <v>47267.75</v>
      </c>
      <c r="C632" s="357">
        <f t="shared" si="531"/>
        <v>5</v>
      </c>
      <c r="D632" s="358" t="str">
        <f t="shared" si="532"/>
        <v>mars</v>
      </c>
      <c r="E632" s="368">
        <f t="shared" si="580"/>
        <v>3</v>
      </c>
      <c r="F632" s="367" t="str">
        <f t="shared" si="579"/>
        <v>sun</v>
      </c>
      <c r="G632" s="367">
        <f t="shared" si="584"/>
        <v>8</v>
      </c>
      <c r="H632" s="367" t="str">
        <f t="shared" si="581"/>
        <v>saturn</v>
      </c>
      <c r="I632" s="369">
        <f t="shared" si="585"/>
        <v>47247.75</v>
      </c>
      <c r="J632" s="377">
        <f t="shared" si="582"/>
        <v>20</v>
      </c>
      <c r="K632" s="369">
        <f t="shared" si="588"/>
        <v>47267.75</v>
      </c>
      <c r="L632" s="360">
        <f t="shared" si="586"/>
        <v>555</v>
      </c>
      <c r="O632" s="381"/>
    </row>
    <row r="633" spans="1:15">
      <c r="A633" s="355">
        <f t="shared" si="583"/>
        <v>556</v>
      </c>
      <c r="B633" s="372">
        <f t="shared" si="587"/>
        <v>47285.75</v>
      </c>
      <c r="C633" s="357">
        <f t="shared" si="531"/>
        <v>5</v>
      </c>
      <c r="D633" s="358" t="str">
        <f t="shared" si="532"/>
        <v>mars</v>
      </c>
      <c r="E633" s="368">
        <f t="shared" si="580"/>
        <v>3</v>
      </c>
      <c r="F633" s="367" t="str">
        <f t="shared" si="579"/>
        <v>sun</v>
      </c>
      <c r="G633" s="367">
        <f t="shared" si="584"/>
        <v>9</v>
      </c>
      <c r="H633" s="367" t="str">
        <f t="shared" si="581"/>
        <v>mercury</v>
      </c>
      <c r="I633" s="369">
        <f t="shared" si="585"/>
        <v>47267.75</v>
      </c>
      <c r="J633" s="377">
        <f t="shared" si="582"/>
        <v>18</v>
      </c>
      <c r="K633" s="369">
        <f t="shared" si="588"/>
        <v>47285.75</v>
      </c>
      <c r="L633" s="360">
        <f t="shared" si="586"/>
        <v>556</v>
      </c>
      <c r="O633" s="381"/>
    </row>
    <row r="634" spans="1:15">
      <c r="A634" s="355">
        <f t="shared" si="583"/>
        <v>557</v>
      </c>
      <c r="B634" s="372">
        <f t="shared" si="587"/>
        <v>47293.75</v>
      </c>
      <c r="C634" s="357">
        <f t="shared" si="531"/>
        <v>5</v>
      </c>
      <c r="D634" s="358" t="str">
        <f t="shared" si="532"/>
        <v>mars</v>
      </c>
      <c r="E634" s="368">
        <f t="shared" si="580"/>
        <v>3</v>
      </c>
      <c r="F634" s="367" t="str">
        <f t="shared" si="579"/>
        <v>sun</v>
      </c>
      <c r="G634" s="367">
        <f t="shared" si="584"/>
        <v>1</v>
      </c>
      <c r="H634" s="367" t="str">
        <f t="shared" si="581"/>
        <v>ketu</v>
      </c>
      <c r="I634" s="369">
        <f t="shared" si="585"/>
        <v>47285.75</v>
      </c>
      <c r="J634" s="377">
        <f t="shared" si="582"/>
        <v>8</v>
      </c>
      <c r="K634" s="369">
        <f t="shared" si="588"/>
        <v>47293.75</v>
      </c>
      <c r="L634" s="360">
        <f t="shared" si="586"/>
        <v>557</v>
      </c>
      <c r="O634" s="381"/>
    </row>
    <row r="635" spans="1:15">
      <c r="A635" s="355">
        <f t="shared" si="583"/>
        <v>558</v>
      </c>
      <c r="B635" s="372">
        <f t="shared" si="587"/>
        <v>47315.75</v>
      </c>
      <c r="C635" s="357">
        <f t="shared" si="531"/>
        <v>5</v>
      </c>
      <c r="D635" s="358" t="str">
        <f t="shared" si="532"/>
        <v>mars</v>
      </c>
      <c r="E635" s="368">
        <f t="shared" si="580"/>
        <v>3</v>
      </c>
      <c r="F635" s="367" t="str">
        <f t="shared" si="579"/>
        <v>sun</v>
      </c>
      <c r="G635" s="367">
        <f t="shared" si="584"/>
        <v>2</v>
      </c>
      <c r="H635" s="367" t="str">
        <f t="shared" si="581"/>
        <v>venus</v>
      </c>
      <c r="I635" s="369">
        <f t="shared" si="585"/>
        <v>47293.75</v>
      </c>
      <c r="J635" s="377">
        <f t="shared" si="582"/>
        <v>22</v>
      </c>
      <c r="K635" s="369">
        <f t="shared" si="588"/>
        <v>47315.75</v>
      </c>
      <c r="L635" s="360">
        <f t="shared" si="586"/>
        <v>558</v>
      </c>
      <c r="N635" s="358">
        <f>SUM(J627:J635)</f>
        <v>128</v>
      </c>
      <c r="O635" s="381"/>
    </row>
    <row r="636" spans="1:15">
      <c r="A636" s="399"/>
      <c r="B636" s="386"/>
      <c r="C636" s="387">
        <f>C626</f>
        <v>5</v>
      </c>
      <c r="D636" s="373" t="str">
        <f>D626</f>
        <v>mars</v>
      </c>
      <c r="E636" s="393">
        <f>IF(E626+1&gt;9,E626+1-9,E626+1)</f>
        <v>4</v>
      </c>
      <c r="F636" s="389" t="str">
        <f t="shared" si="579"/>
        <v>moon</v>
      </c>
      <c r="G636" s="389"/>
      <c r="H636" s="389"/>
      <c r="I636" s="390">
        <f>K626</f>
        <v>47316.75</v>
      </c>
      <c r="J636" s="373">
        <f>ROUND(J$555*VLOOKUP(E636,$A$848:$E$856,5,FALSE),0)</f>
        <v>205</v>
      </c>
      <c r="K636" s="390">
        <f>I636+J636</f>
        <v>47521.75</v>
      </c>
      <c r="L636" s="400"/>
      <c r="M636" s="373"/>
      <c r="N636" s="373"/>
      <c r="O636" s="381"/>
    </row>
    <row r="637" spans="1:15">
      <c r="A637" s="355">
        <f>A635+1</f>
        <v>559</v>
      </c>
      <c r="B637" s="372">
        <f>K637</f>
        <v>47331.75</v>
      </c>
      <c r="C637" s="357">
        <f t="shared" si="531"/>
        <v>5</v>
      </c>
      <c r="D637" s="358" t="str">
        <f t="shared" si="532"/>
        <v>mars</v>
      </c>
      <c r="E637" s="368">
        <f t="shared" ref="E637:E645" si="589">E636</f>
        <v>4</v>
      </c>
      <c r="F637" s="367" t="str">
        <f t="shared" si="579"/>
        <v>moon</v>
      </c>
      <c r="G637" s="367">
        <f>E637</f>
        <v>4</v>
      </c>
      <c r="H637" s="367" t="str">
        <f t="shared" ref="H637:H645" si="590">VLOOKUP(G637,$A$848:$B$856,2,FALSE)</f>
        <v>moon</v>
      </c>
      <c r="I637" s="369">
        <f>K635</f>
        <v>47315.75</v>
      </c>
      <c r="J637" s="377">
        <f t="shared" ref="J637:J645" si="591">ROUND(J$636*VLOOKUP(G637,$A$848:$E$856,5,FALSE),0)</f>
        <v>16</v>
      </c>
      <c r="K637" s="369">
        <f>I637+J637</f>
        <v>47331.75</v>
      </c>
      <c r="L637" s="360">
        <f>L635+1</f>
        <v>559</v>
      </c>
      <c r="O637" s="381"/>
    </row>
    <row r="638" spans="1:15">
      <c r="A638" s="355">
        <f t="shared" ref="A638:A645" si="592">A637+1</f>
        <v>560</v>
      </c>
      <c r="B638" s="372">
        <f>K638</f>
        <v>47343.75</v>
      </c>
      <c r="C638" s="357">
        <f t="shared" si="531"/>
        <v>5</v>
      </c>
      <c r="D638" s="358" t="str">
        <f t="shared" si="532"/>
        <v>mars</v>
      </c>
      <c r="E638" s="368">
        <f t="shared" si="589"/>
        <v>4</v>
      </c>
      <c r="F638" s="367" t="str">
        <f t="shared" si="579"/>
        <v>moon</v>
      </c>
      <c r="G638" s="367">
        <f t="shared" ref="G638:G645" si="593">IF(G637+1&gt;9,G637+1-9,G637+1)</f>
        <v>5</v>
      </c>
      <c r="H638" s="367" t="str">
        <f t="shared" si="590"/>
        <v>mars</v>
      </c>
      <c r="I638" s="369">
        <f t="shared" ref="I638:I645" si="594">K637</f>
        <v>47331.75</v>
      </c>
      <c r="J638" s="377">
        <f t="shared" si="591"/>
        <v>12</v>
      </c>
      <c r="K638" s="369">
        <f>I638+J638</f>
        <v>47343.75</v>
      </c>
      <c r="L638" s="360">
        <f t="shared" ref="L638:L645" si="595">L637+1</f>
        <v>560</v>
      </c>
      <c r="O638" s="381"/>
    </row>
    <row r="639" spans="1:15">
      <c r="A639" s="355">
        <f t="shared" si="592"/>
        <v>561</v>
      </c>
      <c r="B639" s="372">
        <f t="shared" ref="B639:B645" si="596">K639</f>
        <v>47374.75</v>
      </c>
      <c r="C639" s="357">
        <f t="shared" si="531"/>
        <v>5</v>
      </c>
      <c r="D639" s="358" t="str">
        <f t="shared" si="532"/>
        <v>mars</v>
      </c>
      <c r="E639" s="368">
        <f t="shared" si="589"/>
        <v>4</v>
      </c>
      <c r="F639" s="367" t="str">
        <f t="shared" si="579"/>
        <v>moon</v>
      </c>
      <c r="G639" s="367">
        <f t="shared" si="593"/>
        <v>6</v>
      </c>
      <c r="H639" s="367" t="str">
        <f t="shared" si="590"/>
        <v>rahu</v>
      </c>
      <c r="I639" s="369">
        <f t="shared" si="594"/>
        <v>47343.75</v>
      </c>
      <c r="J639" s="377">
        <f t="shared" si="591"/>
        <v>31</v>
      </c>
      <c r="K639" s="369">
        <f t="shared" ref="K639:K645" si="597">I639+J639</f>
        <v>47374.75</v>
      </c>
      <c r="L639" s="360">
        <f t="shared" si="595"/>
        <v>561</v>
      </c>
      <c r="O639" s="381"/>
    </row>
    <row r="640" spans="1:15">
      <c r="A640" s="355">
        <f t="shared" si="592"/>
        <v>562</v>
      </c>
      <c r="B640" s="372">
        <f t="shared" si="596"/>
        <v>47401.75</v>
      </c>
      <c r="C640" s="357">
        <f t="shared" si="531"/>
        <v>5</v>
      </c>
      <c r="D640" s="358" t="str">
        <f t="shared" si="532"/>
        <v>mars</v>
      </c>
      <c r="E640" s="368">
        <f t="shared" si="589"/>
        <v>4</v>
      </c>
      <c r="F640" s="367" t="str">
        <f t="shared" si="579"/>
        <v>moon</v>
      </c>
      <c r="G640" s="367">
        <f t="shared" si="593"/>
        <v>7</v>
      </c>
      <c r="H640" s="367" t="str">
        <f t="shared" si="590"/>
        <v>jupiter</v>
      </c>
      <c r="I640" s="369">
        <f t="shared" si="594"/>
        <v>47374.75</v>
      </c>
      <c r="J640" s="377">
        <f t="shared" si="591"/>
        <v>27</v>
      </c>
      <c r="K640" s="369">
        <f t="shared" si="597"/>
        <v>47401.75</v>
      </c>
      <c r="L640" s="360">
        <f t="shared" si="595"/>
        <v>562</v>
      </c>
      <c r="O640" s="381"/>
    </row>
    <row r="641" spans="1:16">
      <c r="A641" s="355">
        <f t="shared" si="592"/>
        <v>563</v>
      </c>
      <c r="B641" s="372">
        <f t="shared" si="596"/>
        <v>47434.75</v>
      </c>
      <c r="C641" s="357">
        <f t="shared" si="531"/>
        <v>5</v>
      </c>
      <c r="D641" s="358" t="str">
        <f t="shared" si="532"/>
        <v>mars</v>
      </c>
      <c r="E641" s="368">
        <f t="shared" si="589"/>
        <v>4</v>
      </c>
      <c r="F641" s="367" t="str">
        <f t="shared" si="579"/>
        <v>moon</v>
      </c>
      <c r="G641" s="367">
        <f t="shared" si="593"/>
        <v>8</v>
      </c>
      <c r="H641" s="367" t="str">
        <f t="shared" si="590"/>
        <v>saturn</v>
      </c>
      <c r="I641" s="369">
        <f t="shared" si="594"/>
        <v>47401.75</v>
      </c>
      <c r="J641" s="377">
        <f t="shared" si="591"/>
        <v>33</v>
      </c>
      <c r="K641" s="369">
        <f t="shared" si="597"/>
        <v>47434.75</v>
      </c>
      <c r="L641" s="360">
        <f t="shared" si="595"/>
        <v>563</v>
      </c>
      <c r="O641" s="381"/>
    </row>
    <row r="642" spans="1:16">
      <c r="A642" s="355">
        <f t="shared" si="592"/>
        <v>564</v>
      </c>
      <c r="B642" s="372">
        <f t="shared" si="596"/>
        <v>47463.75</v>
      </c>
      <c r="C642" s="357">
        <f t="shared" si="531"/>
        <v>5</v>
      </c>
      <c r="D642" s="358" t="str">
        <f t="shared" si="532"/>
        <v>mars</v>
      </c>
      <c r="E642" s="368">
        <f t="shared" si="589"/>
        <v>4</v>
      </c>
      <c r="F642" s="367" t="str">
        <f t="shared" si="579"/>
        <v>moon</v>
      </c>
      <c r="G642" s="367">
        <f t="shared" si="593"/>
        <v>9</v>
      </c>
      <c r="H642" s="367" t="str">
        <f t="shared" si="590"/>
        <v>mercury</v>
      </c>
      <c r="I642" s="369">
        <f t="shared" si="594"/>
        <v>47434.75</v>
      </c>
      <c r="J642" s="377">
        <f t="shared" si="591"/>
        <v>29</v>
      </c>
      <c r="K642" s="369">
        <f t="shared" si="597"/>
        <v>47463.75</v>
      </c>
      <c r="L642" s="360">
        <f t="shared" si="595"/>
        <v>564</v>
      </c>
      <c r="O642" s="381"/>
    </row>
    <row r="643" spans="1:16">
      <c r="A643" s="355">
        <f t="shared" si="592"/>
        <v>565</v>
      </c>
      <c r="B643" s="372">
        <f t="shared" si="596"/>
        <v>47475.75</v>
      </c>
      <c r="C643" s="357">
        <f t="shared" si="531"/>
        <v>5</v>
      </c>
      <c r="D643" s="358" t="str">
        <f t="shared" si="532"/>
        <v>mars</v>
      </c>
      <c r="E643" s="368">
        <f t="shared" si="589"/>
        <v>4</v>
      </c>
      <c r="F643" s="367" t="str">
        <f t="shared" si="579"/>
        <v>moon</v>
      </c>
      <c r="G643" s="367">
        <f t="shared" si="593"/>
        <v>1</v>
      </c>
      <c r="H643" s="367" t="str">
        <f t="shared" si="590"/>
        <v>ketu</v>
      </c>
      <c r="I643" s="369">
        <f t="shared" si="594"/>
        <v>47463.75</v>
      </c>
      <c r="J643" s="377">
        <f t="shared" si="591"/>
        <v>12</v>
      </c>
      <c r="K643" s="369">
        <f t="shared" si="597"/>
        <v>47475.75</v>
      </c>
      <c r="L643" s="360">
        <f t="shared" si="595"/>
        <v>565</v>
      </c>
      <c r="O643" s="381"/>
    </row>
    <row r="644" spans="1:16">
      <c r="A644" s="355">
        <f t="shared" si="592"/>
        <v>566</v>
      </c>
      <c r="B644" s="372">
        <f t="shared" si="596"/>
        <v>47510.75</v>
      </c>
      <c r="C644" s="357">
        <f t="shared" si="531"/>
        <v>5</v>
      </c>
      <c r="D644" s="358" t="str">
        <f t="shared" si="532"/>
        <v>mars</v>
      </c>
      <c r="E644" s="368">
        <f t="shared" si="589"/>
        <v>4</v>
      </c>
      <c r="F644" s="367" t="str">
        <f t="shared" si="579"/>
        <v>moon</v>
      </c>
      <c r="G644" s="367">
        <f t="shared" si="593"/>
        <v>2</v>
      </c>
      <c r="H644" s="367" t="str">
        <f t="shared" si="590"/>
        <v>venus</v>
      </c>
      <c r="I644" s="369">
        <f t="shared" si="594"/>
        <v>47475.75</v>
      </c>
      <c r="J644" s="377">
        <f t="shared" si="591"/>
        <v>35</v>
      </c>
      <c r="K644" s="369">
        <f t="shared" si="597"/>
        <v>47510.75</v>
      </c>
      <c r="L644" s="360">
        <f t="shared" si="595"/>
        <v>566</v>
      </c>
      <c r="O644" s="381"/>
    </row>
    <row r="645" spans="1:16" ht="13.8" thickBot="1">
      <c r="A645" s="355">
        <f t="shared" si="592"/>
        <v>567</v>
      </c>
      <c r="B645" s="372">
        <f t="shared" si="596"/>
        <v>47520.75</v>
      </c>
      <c r="C645" s="357">
        <f t="shared" si="531"/>
        <v>5</v>
      </c>
      <c r="D645" s="358" t="str">
        <f t="shared" si="532"/>
        <v>mars</v>
      </c>
      <c r="E645" s="368">
        <f t="shared" si="589"/>
        <v>4</v>
      </c>
      <c r="F645" s="367" t="str">
        <f t="shared" si="579"/>
        <v>moon</v>
      </c>
      <c r="G645" s="367">
        <f t="shared" si="593"/>
        <v>3</v>
      </c>
      <c r="H645" s="367" t="str">
        <f t="shared" si="590"/>
        <v>sun</v>
      </c>
      <c r="I645" s="369">
        <f t="shared" si="594"/>
        <v>47510.75</v>
      </c>
      <c r="J645" s="377">
        <f t="shared" si="591"/>
        <v>10</v>
      </c>
      <c r="K645" s="369">
        <f t="shared" si="597"/>
        <v>47520.75</v>
      </c>
      <c r="L645" s="360">
        <f t="shared" si="595"/>
        <v>567</v>
      </c>
      <c r="N645" s="358">
        <f>SUM(J637:J645)</f>
        <v>205</v>
      </c>
      <c r="O645" s="413" t="s">
        <v>554</v>
      </c>
      <c r="P645" s="413"/>
    </row>
    <row r="646" spans="1:16">
      <c r="A646" s="404"/>
      <c r="B646" s="405"/>
      <c r="C646" s="406">
        <f>IF(C555+1&gt;9,C555+1-9,C555+1)</f>
        <v>6</v>
      </c>
      <c r="D646" s="407" t="str">
        <f>VLOOKUP(C646,$A$848:$B$856,2,FALSE)</f>
        <v>rahu</v>
      </c>
      <c r="E646" s="408"/>
      <c r="F646" s="383"/>
      <c r="G646" s="383"/>
      <c r="H646" s="383"/>
      <c r="I646" s="410">
        <f>K555</f>
        <v>47521.5</v>
      </c>
      <c r="J646" s="370">
        <f>VLOOKUP(C646,$A$848:$D$856,4,FALSE)</f>
        <v>6574.5</v>
      </c>
      <c r="K646" s="376">
        <f t="shared" ref="K646:K669" si="598">I646+J646</f>
        <v>54096</v>
      </c>
      <c r="L646" s="409"/>
      <c r="M646" s="376">
        <f>K555</f>
        <v>47521.5</v>
      </c>
      <c r="N646" s="370">
        <f>N565+N575+N585+N595+N605+N615+N625+N635+N645</f>
        <v>2556</v>
      </c>
      <c r="O646" s="413">
        <f>J555-N646</f>
        <v>0.75</v>
      </c>
      <c r="P646" s="413">
        <f>K645-I646</f>
        <v>-0.75</v>
      </c>
    </row>
    <row r="647" spans="1:16">
      <c r="A647" s="399"/>
      <c r="B647" s="386"/>
      <c r="C647" s="387">
        <f t="shared" ref="C647:C656" si="599">C646</f>
        <v>6</v>
      </c>
      <c r="D647" s="373" t="str">
        <f t="shared" ref="D647:D656" si="600">D646</f>
        <v>rahu</v>
      </c>
      <c r="E647" s="388">
        <f>C646</f>
        <v>6</v>
      </c>
      <c r="F647" s="389" t="str">
        <f t="shared" ref="F647:F678" si="601">VLOOKUP(E647,$A$848:$B$856,2,FALSE)</f>
        <v>rahu</v>
      </c>
      <c r="G647" s="389"/>
      <c r="H647" s="389"/>
      <c r="I647" s="402">
        <f>I646</f>
        <v>47521.5</v>
      </c>
      <c r="J647" s="373">
        <f>ROUND(J$646*VLOOKUP(E647,$A$848:$E$856,5,FALSE),0)</f>
        <v>986</v>
      </c>
      <c r="K647" s="390">
        <f t="shared" si="598"/>
        <v>48507.5</v>
      </c>
      <c r="L647" s="400"/>
      <c r="M647" s="373"/>
      <c r="N647" s="373"/>
      <c r="O647" s="381"/>
    </row>
    <row r="648" spans="1:16" ht="13.8" thickBot="1">
      <c r="A648" s="355">
        <f>A645+1</f>
        <v>568</v>
      </c>
      <c r="B648" s="372">
        <f t="shared" ref="B648:B656" si="602">K648</f>
        <v>47669.5</v>
      </c>
      <c r="C648" s="357">
        <f t="shared" si="599"/>
        <v>6</v>
      </c>
      <c r="D648" s="358" t="str">
        <f t="shared" si="600"/>
        <v>rahu</v>
      </c>
      <c r="E648" s="359">
        <f t="shared" ref="E648:E656" si="603">E647</f>
        <v>6</v>
      </c>
      <c r="F648" s="367" t="str">
        <f t="shared" si="601"/>
        <v>rahu</v>
      </c>
      <c r="G648" s="367">
        <f>E648</f>
        <v>6</v>
      </c>
      <c r="H648" s="367" t="str">
        <f t="shared" ref="H648:H656" si="604">VLOOKUP(G648,$A$848:$B$856,2,FALSE)</f>
        <v>rahu</v>
      </c>
      <c r="I648" s="403">
        <f>I646</f>
        <v>47521.5</v>
      </c>
      <c r="J648" s="377">
        <f t="shared" ref="J648:J656" si="605">ROUND(J$647*VLOOKUP(G648,$A$848:$E$856,5,FALSE),0)</f>
        <v>148</v>
      </c>
      <c r="K648" s="369">
        <f t="shared" si="598"/>
        <v>47669.5</v>
      </c>
      <c r="L648" s="360">
        <f>L645+1</f>
        <v>568</v>
      </c>
      <c r="O648" s="381"/>
    </row>
    <row r="649" spans="1:16">
      <c r="A649" s="355">
        <f t="shared" ref="A649:A656" si="606">A648+1</f>
        <v>569</v>
      </c>
      <c r="B649" s="372">
        <f t="shared" si="602"/>
        <v>47797.5</v>
      </c>
      <c r="C649" s="357">
        <f t="shared" si="599"/>
        <v>6</v>
      </c>
      <c r="D649" s="358" t="str">
        <f t="shared" si="600"/>
        <v>rahu</v>
      </c>
      <c r="E649" s="359">
        <f t="shared" si="603"/>
        <v>6</v>
      </c>
      <c r="F649" s="367" t="str">
        <f t="shared" si="601"/>
        <v>rahu</v>
      </c>
      <c r="G649" s="367">
        <f>IF(G648+1&gt;9,G648+1-9,G648+1)</f>
        <v>7</v>
      </c>
      <c r="H649" s="367" t="str">
        <f t="shared" si="604"/>
        <v>jupiter</v>
      </c>
      <c r="I649" s="369">
        <f>K648</f>
        <v>47669.5</v>
      </c>
      <c r="J649" s="377">
        <f t="shared" si="605"/>
        <v>128</v>
      </c>
      <c r="K649" s="369">
        <f t="shared" si="598"/>
        <v>47797.5</v>
      </c>
      <c r="L649" s="360">
        <f t="shared" ref="L649:L656" si="607">L648+1</f>
        <v>569</v>
      </c>
      <c r="O649" s="381"/>
    </row>
    <row r="650" spans="1:16">
      <c r="A650" s="355">
        <f t="shared" si="606"/>
        <v>570</v>
      </c>
      <c r="B650" s="372">
        <f t="shared" si="602"/>
        <v>47955.5</v>
      </c>
      <c r="C650" s="357">
        <f t="shared" si="599"/>
        <v>6</v>
      </c>
      <c r="D650" s="358" t="str">
        <f t="shared" si="600"/>
        <v>rahu</v>
      </c>
      <c r="E650" s="359">
        <f t="shared" si="603"/>
        <v>6</v>
      </c>
      <c r="F650" s="367" t="str">
        <f t="shared" si="601"/>
        <v>rahu</v>
      </c>
      <c r="G650" s="367">
        <f t="shared" ref="G650:G656" si="608">IF(G649+1&gt;9,G649+1-9,G649+1)</f>
        <v>8</v>
      </c>
      <c r="H650" s="367" t="str">
        <f t="shared" si="604"/>
        <v>saturn</v>
      </c>
      <c r="I650" s="369">
        <f t="shared" ref="I650:I656" si="609">K649</f>
        <v>47797.5</v>
      </c>
      <c r="J650" s="377">
        <f t="shared" si="605"/>
        <v>158</v>
      </c>
      <c r="K650" s="369">
        <f t="shared" si="598"/>
        <v>47955.5</v>
      </c>
      <c r="L650" s="360">
        <f t="shared" si="607"/>
        <v>570</v>
      </c>
      <c r="O650" s="381"/>
    </row>
    <row r="651" spans="1:16">
      <c r="A651" s="355">
        <f t="shared" si="606"/>
        <v>571</v>
      </c>
      <c r="B651" s="372">
        <f t="shared" si="602"/>
        <v>48093.5</v>
      </c>
      <c r="C651" s="357">
        <f t="shared" si="599"/>
        <v>6</v>
      </c>
      <c r="D651" s="358" t="str">
        <f t="shared" si="600"/>
        <v>rahu</v>
      </c>
      <c r="E651" s="359">
        <f t="shared" si="603"/>
        <v>6</v>
      </c>
      <c r="F651" s="367" t="str">
        <f t="shared" si="601"/>
        <v>rahu</v>
      </c>
      <c r="G651" s="367">
        <f t="shared" si="608"/>
        <v>9</v>
      </c>
      <c r="H651" s="367" t="str">
        <f t="shared" si="604"/>
        <v>mercury</v>
      </c>
      <c r="I651" s="369">
        <f t="shared" si="609"/>
        <v>47955.5</v>
      </c>
      <c r="J651" s="377">
        <f t="shared" si="605"/>
        <v>138</v>
      </c>
      <c r="K651" s="369">
        <f t="shared" si="598"/>
        <v>48093.5</v>
      </c>
      <c r="L651" s="360">
        <f t="shared" si="607"/>
        <v>571</v>
      </c>
      <c r="O651" s="381"/>
    </row>
    <row r="652" spans="1:16">
      <c r="A652" s="355">
        <f t="shared" si="606"/>
        <v>572</v>
      </c>
      <c r="B652" s="372">
        <f t="shared" si="602"/>
        <v>48152.5</v>
      </c>
      <c r="C652" s="357">
        <f t="shared" si="599"/>
        <v>6</v>
      </c>
      <c r="D652" s="358" t="str">
        <f t="shared" si="600"/>
        <v>rahu</v>
      </c>
      <c r="E652" s="359">
        <f t="shared" si="603"/>
        <v>6</v>
      </c>
      <c r="F652" s="367" t="str">
        <f t="shared" si="601"/>
        <v>rahu</v>
      </c>
      <c r="G652" s="367">
        <f t="shared" si="608"/>
        <v>1</v>
      </c>
      <c r="H652" s="367" t="str">
        <f t="shared" si="604"/>
        <v>ketu</v>
      </c>
      <c r="I652" s="369">
        <f t="shared" si="609"/>
        <v>48093.5</v>
      </c>
      <c r="J652" s="377">
        <f t="shared" si="605"/>
        <v>59</v>
      </c>
      <c r="K652" s="369">
        <f t="shared" si="598"/>
        <v>48152.5</v>
      </c>
      <c r="L652" s="360">
        <f t="shared" si="607"/>
        <v>572</v>
      </c>
      <c r="O652" s="381"/>
    </row>
    <row r="653" spans="1:16">
      <c r="A653" s="355">
        <f t="shared" si="606"/>
        <v>573</v>
      </c>
      <c r="B653" s="372">
        <f t="shared" si="602"/>
        <v>48320.5</v>
      </c>
      <c r="C653" s="357">
        <f t="shared" si="599"/>
        <v>6</v>
      </c>
      <c r="D653" s="358" t="str">
        <f t="shared" si="600"/>
        <v>rahu</v>
      </c>
      <c r="E653" s="359">
        <f t="shared" si="603"/>
        <v>6</v>
      </c>
      <c r="F653" s="367" t="str">
        <f t="shared" si="601"/>
        <v>rahu</v>
      </c>
      <c r="G653" s="367">
        <f t="shared" si="608"/>
        <v>2</v>
      </c>
      <c r="H653" s="367" t="str">
        <f t="shared" si="604"/>
        <v>venus</v>
      </c>
      <c r="I653" s="369">
        <f t="shared" si="609"/>
        <v>48152.5</v>
      </c>
      <c r="J653" s="377">
        <f t="shared" si="605"/>
        <v>168</v>
      </c>
      <c r="K653" s="369">
        <f t="shared" si="598"/>
        <v>48320.5</v>
      </c>
      <c r="L653" s="360">
        <f t="shared" si="607"/>
        <v>573</v>
      </c>
      <c r="O653" s="381"/>
    </row>
    <row r="654" spans="1:16">
      <c r="A654" s="355">
        <f t="shared" si="606"/>
        <v>574</v>
      </c>
      <c r="B654" s="372">
        <f t="shared" si="602"/>
        <v>48369.5</v>
      </c>
      <c r="C654" s="357">
        <f t="shared" si="599"/>
        <v>6</v>
      </c>
      <c r="D654" s="358" t="str">
        <f t="shared" si="600"/>
        <v>rahu</v>
      </c>
      <c r="E654" s="359">
        <f t="shared" si="603"/>
        <v>6</v>
      </c>
      <c r="F654" s="367" t="str">
        <f t="shared" si="601"/>
        <v>rahu</v>
      </c>
      <c r="G654" s="367">
        <f t="shared" si="608"/>
        <v>3</v>
      </c>
      <c r="H654" s="367" t="str">
        <f t="shared" si="604"/>
        <v>sun</v>
      </c>
      <c r="I654" s="369">
        <f t="shared" si="609"/>
        <v>48320.5</v>
      </c>
      <c r="J654" s="377">
        <f t="shared" si="605"/>
        <v>49</v>
      </c>
      <c r="K654" s="369">
        <f t="shared" si="598"/>
        <v>48369.5</v>
      </c>
      <c r="L654" s="360">
        <f t="shared" si="607"/>
        <v>574</v>
      </c>
      <c r="O654" s="381"/>
    </row>
    <row r="655" spans="1:16">
      <c r="A655" s="355">
        <f t="shared" si="606"/>
        <v>575</v>
      </c>
      <c r="B655" s="372">
        <f t="shared" si="602"/>
        <v>48448.5</v>
      </c>
      <c r="C655" s="357">
        <f t="shared" si="599"/>
        <v>6</v>
      </c>
      <c r="D655" s="358" t="str">
        <f t="shared" si="600"/>
        <v>rahu</v>
      </c>
      <c r="E655" s="359">
        <f t="shared" si="603"/>
        <v>6</v>
      </c>
      <c r="F655" s="367" t="str">
        <f t="shared" si="601"/>
        <v>rahu</v>
      </c>
      <c r="G655" s="367">
        <f t="shared" si="608"/>
        <v>4</v>
      </c>
      <c r="H655" s="367" t="str">
        <f t="shared" si="604"/>
        <v>moon</v>
      </c>
      <c r="I655" s="369">
        <f t="shared" si="609"/>
        <v>48369.5</v>
      </c>
      <c r="J655" s="377">
        <f t="shared" si="605"/>
        <v>79</v>
      </c>
      <c r="K655" s="369">
        <f t="shared" si="598"/>
        <v>48448.5</v>
      </c>
      <c r="L655" s="360">
        <f t="shared" si="607"/>
        <v>575</v>
      </c>
      <c r="O655" s="381"/>
    </row>
    <row r="656" spans="1:16">
      <c r="A656" s="355">
        <f t="shared" si="606"/>
        <v>576</v>
      </c>
      <c r="B656" s="372">
        <f t="shared" si="602"/>
        <v>48507.5</v>
      </c>
      <c r="C656" s="357">
        <f t="shared" si="599"/>
        <v>6</v>
      </c>
      <c r="D656" s="358" t="str">
        <f t="shared" si="600"/>
        <v>rahu</v>
      </c>
      <c r="E656" s="359">
        <f t="shared" si="603"/>
        <v>6</v>
      </c>
      <c r="F656" s="367" t="str">
        <f t="shared" si="601"/>
        <v>rahu</v>
      </c>
      <c r="G656" s="367">
        <f t="shared" si="608"/>
        <v>5</v>
      </c>
      <c r="H656" s="367" t="str">
        <f t="shared" si="604"/>
        <v>mars</v>
      </c>
      <c r="I656" s="369">
        <f t="shared" si="609"/>
        <v>48448.5</v>
      </c>
      <c r="J656" s="377">
        <f t="shared" si="605"/>
        <v>59</v>
      </c>
      <c r="K656" s="369">
        <f t="shared" si="598"/>
        <v>48507.5</v>
      </c>
      <c r="L656" s="360">
        <f t="shared" si="607"/>
        <v>576</v>
      </c>
      <c r="N656" s="358">
        <f>SUM(J648:J656)</f>
        <v>986</v>
      </c>
      <c r="O656" s="381"/>
    </row>
    <row r="657" spans="1:15">
      <c r="A657" s="399"/>
      <c r="B657" s="386"/>
      <c r="C657" s="387">
        <f>C647</f>
        <v>6</v>
      </c>
      <c r="D657" s="373" t="str">
        <f>D647</f>
        <v>rahu</v>
      </c>
      <c r="E657" s="393">
        <f>IF(E647+1&gt;9,E647+1-9,E647+1)</f>
        <v>7</v>
      </c>
      <c r="F657" s="389" t="str">
        <f t="shared" si="601"/>
        <v>jupiter</v>
      </c>
      <c r="G657" s="389"/>
      <c r="H657" s="389"/>
      <c r="I657" s="390">
        <f>K647</f>
        <v>48507.5</v>
      </c>
      <c r="J657" s="373">
        <f>ROUND(J$646*VLOOKUP(E657,$A$848:$E$856,5,FALSE),0)</f>
        <v>855</v>
      </c>
      <c r="K657" s="390">
        <f t="shared" si="598"/>
        <v>49362.5</v>
      </c>
      <c r="L657" s="400"/>
      <c r="M657" s="373"/>
      <c r="N657" s="373"/>
      <c r="O657" s="381"/>
    </row>
    <row r="658" spans="1:15">
      <c r="A658" s="355">
        <f>A656+1</f>
        <v>577</v>
      </c>
      <c r="B658" s="372">
        <f>K658</f>
        <v>48618.5</v>
      </c>
      <c r="C658" s="357">
        <f t="shared" ref="C658:C666" si="610">C657</f>
        <v>6</v>
      </c>
      <c r="D658" s="358" t="str">
        <f t="shared" ref="D658:D666" si="611">D657</f>
        <v>rahu</v>
      </c>
      <c r="E658" s="368">
        <f t="shared" ref="E658:E666" si="612">E657</f>
        <v>7</v>
      </c>
      <c r="F658" s="367" t="str">
        <f t="shared" si="601"/>
        <v>jupiter</v>
      </c>
      <c r="G658" s="367">
        <f>E658</f>
        <v>7</v>
      </c>
      <c r="H658" s="367" t="str">
        <f t="shared" ref="H658:H666" si="613">VLOOKUP(G658,$A$848:$B$856,2,FALSE)</f>
        <v>jupiter</v>
      </c>
      <c r="I658" s="369">
        <f>K656</f>
        <v>48507.5</v>
      </c>
      <c r="J658" s="377">
        <f>ROUND(J$657*VLOOKUP(E658,$A$848:$E$856,5,FALSE),0)</f>
        <v>111</v>
      </c>
      <c r="K658" s="369">
        <f t="shared" si="598"/>
        <v>48618.5</v>
      </c>
      <c r="L658" s="360">
        <f>L656+1</f>
        <v>577</v>
      </c>
      <c r="O658" s="381"/>
    </row>
    <row r="659" spans="1:15">
      <c r="A659" s="355">
        <f t="shared" ref="A659:A666" si="614">A658+1</f>
        <v>578</v>
      </c>
      <c r="B659" s="372">
        <f>K659</f>
        <v>48755.5</v>
      </c>
      <c r="C659" s="357">
        <f t="shared" si="610"/>
        <v>6</v>
      </c>
      <c r="D659" s="358" t="str">
        <f t="shared" si="611"/>
        <v>rahu</v>
      </c>
      <c r="E659" s="368">
        <f t="shared" si="612"/>
        <v>7</v>
      </c>
      <c r="F659" s="367" t="str">
        <f t="shared" si="601"/>
        <v>jupiter</v>
      </c>
      <c r="G659" s="367">
        <f>IF(G658+1&gt;9,G658+1-9,G658+1)</f>
        <v>8</v>
      </c>
      <c r="H659" s="367" t="str">
        <f t="shared" si="613"/>
        <v>saturn</v>
      </c>
      <c r="I659" s="369">
        <f>K658</f>
        <v>48618.5</v>
      </c>
      <c r="J659" s="377">
        <f t="shared" ref="J659:J666" si="615">ROUND(J$657*VLOOKUP(G659,$A$848:$E$856,5,FALSE),0)</f>
        <v>137</v>
      </c>
      <c r="K659" s="369">
        <f t="shared" si="598"/>
        <v>48755.5</v>
      </c>
      <c r="L659" s="360">
        <f t="shared" ref="L659:L666" si="616">L658+1</f>
        <v>578</v>
      </c>
      <c r="O659" s="381"/>
    </row>
    <row r="660" spans="1:15">
      <c r="A660" s="355">
        <f t="shared" si="614"/>
        <v>579</v>
      </c>
      <c r="B660" s="372">
        <f t="shared" ref="B660:B666" si="617">K660</f>
        <v>48875.5</v>
      </c>
      <c r="C660" s="357">
        <f t="shared" si="610"/>
        <v>6</v>
      </c>
      <c r="D660" s="358" t="str">
        <f t="shared" si="611"/>
        <v>rahu</v>
      </c>
      <c r="E660" s="368">
        <f t="shared" si="612"/>
        <v>7</v>
      </c>
      <c r="F660" s="367" t="str">
        <f t="shared" si="601"/>
        <v>jupiter</v>
      </c>
      <c r="G660" s="367">
        <f t="shared" ref="G660:G666" si="618">IF(G659+1&gt;9,G659+1-9,G659+1)</f>
        <v>9</v>
      </c>
      <c r="H660" s="367" t="str">
        <f t="shared" si="613"/>
        <v>mercury</v>
      </c>
      <c r="I660" s="369">
        <f t="shared" ref="I660:I666" si="619">K659</f>
        <v>48755.5</v>
      </c>
      <c r="J660" s="377">
        <f t="shared" si="615"/>
        <v>120</v>
      </c>
      <c r="K660" s="369">
        <f t="shared" si="598"/>
        <v>48875.5</v>
      </c>
      <c r="L660" s="360">
        <f t="shared" si="616"/>
        <v>579</v>
      </c>
      <c r="O660" s="381"/>
    </row>
    <row r="661" spans="1:15">
      <c r="A661" s="355">
        <f t="shared" si="614"/>
        <v>580</v>
      </c>
      <c r="B661" s="372">
        <f t="shared" si="617"/>
        <v>48926.5</v>
      </c>
      <c r="C661" s="357">
        <f t="shared" si="610"/>
        <v>6</v>
      </c>
      <c r="D661" s="358" t="str">
        <f t="shared" si="611"/>
        <v>rahu</v>
      </c>
      <c r="E661" s="368">
        <f t="shared" si="612"/>
        <v>7</v>
      </c>
      <c r="F661" s="367" t="str">
        <f t="shared" si="601"/>
        <v>jupiter</v>
      </c>
      <c r="G661" s="367">
        <f t="shared" si="618"/>
        <v>1</v>
      </c>
      <c r="H661" s="367" t="str">
        <f t="shared" si="613"/>
        <v>ketu</v>
      </c>
      <c r="I661" s="369">
        <f t="shared" si="619"/>
        <v>48875.5</v>
      </c>
      <c r="J661" s="377">
        <f t="shared" si="615"/>
        <v>51</v>
      </c>
      <c r="K661" s="369">
        <f t="shared" si="598"/>
        <v>48926.5</v>
      </c>
      <c r="L661" s="360">
        <f t="shared" si="616"/>
        <v>580</v>
      </c>
      <c r="O661" s="381"/>
    </row>
    <row r="662" spans="1:15">
      <c r="A662" s="355">
        <f t="shared" si="614"/>
        <v>581</v>
      </c>
      <c r="B662" s="372">
        <f t="shared" si="617"/>
        <v>49071.5</v>
      </c>
      <c r="C662" s="357">
        <f t="shared" si="610"/>
        <v>6</v>
      </c>
      <c r="D662" s="358" t="str">
        <f t="shared" si="611"/>
        <v>rahu</v>
      </c>
      <c r="E662" s="368">
        <f t="shared" si="612"/>
        <v>7</v>
      </c>
      <c r="F662" s="367" t="str">
        <f t="shared" si="601"/>
        <v>jupiter</v>
      </c>
      <c r="G662" s="367">
        <f t="shared" si="618"/>
        <v>2</v>
      </c>
      <c r="H662" s="367" t="str">
        <f t="shared" si="613"/>
        <v>venus</v>
      </c>
      <c r="I662" s="369">
        <f t="shared" si="619"/>
        <v>48926.5</v>
      </c>
      <c r="J662" s="377">
        <f t="shared" si="615"/>
        <v>145</v>
      </c>
      <c r="K662" s="369">
        <f t="shared" si="598"/>
        <v>49071.5</v>
      </c>
      <c r="L662" s="360">
        <f t="shared" si="616"/>
        <v>581</v>
      </c>
      <c r="O662" s="381"/>
    </row>
    <row r="663" spans="1:15">
      <c r="A663" s="355">
        <f t="shared" si="614"/>
        <v>582</v>
      </c>
      <c r="B663" s="372">
        <f t="shared" si="617"/>
        <v>49114.5</v>
      </c>
      <c r="C663" s="357">
        <f t="shared" si="610"/>
        <v>6</v>
      </c>
      <c r="D663" s="358" t="str">
        <f t="shared" si="611"/>
        <v>rahu</v>
      </c>
      <c r="E663" s="368">
        <f t="shared" si="612"/>
        <v>7</v>
      </c>
      <c r="F663" s="367" t="str">
        <f t="shared" si="601"/>
        <v>jupiter</v>
      </c>
      <c r="G663" s="367">
        <f t="shared" si="618"/>
        <v>3</v>
      </c>
      <c r="H663" s="367" t="str">
        <f t="shared" si="613"/>
        <v>sun</v>
      </c>
      <c r="I663" s="369">
        <f t="shared" si="619"/>
        <v>49071.5</v>
      </c>
      <c r="J663" s="377">
        <f t="shared" si="615"/>
        <v>43</v>
      </c>
      <c r="K663" s="369">
        <f t="shared" si="598"/>
        <v>49114.5</v>
      </c>
      <c r="L663" s="360">
        <f t="shared" si="616"/>
        <v>582</v>
      </c>
      <c r="O663" s="381"/>
    </row>
    <row r="664" spans="1:15">
      <c r="A664" s="355">
        <f t="shared" si="614"/>
        <v>583</v>
      </c>
      <c r="B664" s="372">
        <f t="shared" si="617"/>
        <v>49182.5</v>
      </c>
      <c r="C664" s="357">
        <f t="shared" si="610"/>
        <v>6</v>
      </c>
      <c r="D664" s="358" t="str">
        <f t="shared" si="611"/>
        <v>rahu</v>
      </c>
      <c r="E664" s="368">
        <f t="shared" si="612"/>
        <v>7</v>
      </c>
      <c r="F664" s="367" t="str">
        <f t="shared" si="601"/>
        <v>jupiter</v>
      </c>
      <c r="G664" s="367">
        <f t="shared" si="618"/>
        <v>4</v>
      </c>
      <c r="H664" s="367" t="str">
        <f t="shared" si="613"/>
        <v>moon</v>
      </c>
      <c r="I664" s="369">
        <f t="shared" si="619"/>
        <v>49114.5</v>
      </c>
      <c r="J664" s="377">
        <f t="shared" si="615"/>
        <v>68</v>
      </c>
      <c r="K664" s="369">
        <f t="shared" si="598"/>
        <v>49182.5</v>
      </c>
      <c r="L664" s="360">
        <f t="shared" si="616"/>
        <v>583</v>
      </c>
      <c r="O664" s="381"/>
    </row>
    <row r="665" spans="1:15">
      <c r="A665" s="355">
        <f t="shared" si="614"/>
        <v>584</v>
      </c>
      <c r="B665" s="372">
        <f t="shared" si="617"/>
        <v>49233.5</v>
      </c>
      <c r="C665" s="357">
        <f t="shared" si="610"/>
        <v>6</v>
      </c>
      <c r="D665" s="358" t="str">
        <f t="shared" si="611"/>
        <v>rahu</v>
      </c>
      <c r="E665" s="368">
        <f t="shared" si="612"/>
        <v>7</v>
      </c>
      <c r="F665" s="367" t="str">
        <f t="shared" si="601"/>
        <v>jupiter</v>
      </c>
      <c r="G665" s="367">
        <f t="shared" si="618"/>
        <v>5</v>
      </c>
      <c r="H665" s="367" t="str">
        <f t="shared" si="613"/>
        <v>mars</v>
      </c>
      <c r="I665" s="369">
        <f t="shared" si="619"/>
        <v>49182.5</v>
      </c>
      <c r="J665" s="377">
        <f t="shared" si="615"/>
        <v>51</v>
      </c>
      <c r="K665" s="369">
        <f t="shared" si="598"/>
        <v>49233.5</v>
      </c>
      <c r="L665" s="360">
        <f t="shared" si="616"/>
        <v>584</v>
      </c>
      <c r="O665" s="381"/>
    </row>
    <row r="666" spans="1:15">
      <c r="A666" s="355">
        <f t="shared" si="614"/>
        <v>585</v>
      </c>
      <c r="B666" s="372">
        <f t="shared" si="617"/>
        <v>49361.5</v>
      </c>
      <c r="C666" s="357">
        <f t="shared" si="610"/>
        <v>6</v>
      </c>
      <c r="D666" s="358" t="str">
        <f t="shared" si="611"/>
        <v>rahu</v>
      </c>
      <c r="E666" s="368">
        <f t="shared" si="612"/>
        <v>7</v>
      </c>
      <c r="F666" s="367" t="str">
        <f t="shared" si="601"/>
        <v>jupiter</v>
      </c>
      <c r="G666" s="367">
        <f t="shared" si="618"/>
        <v>6</v>
      </c>
      <c r="H666" s="367" t="str">
        <f t="shared" si="613"/>
        <v>rahu</v>
      </c>
      <c r="I666" s="369">
        <f t="shared" si="619"/>
        <v>49233.5</v>
      </c>
      <c r="J666" s="377">
        <f t="shared" si="615"/>
        <v>128</v>
      </c>
      <c r="K666" s="369">
        <f t="shared" si="598"/>
        <v>49361.5</v>
      </c>
      <c r="L666" s="360">
        <f t="shared" si="616"/>
        <v>585</v>
      </c>
      <c r="N666" s="358">
        <f>SUM(J658:J666)</f>
        <v>854</v>
      </c>
      <c r="O666" s="381"/>
    </row>
    <row r="667" spans="1:15">
      <c r="A667" s="399"/>
      <c r="B667" s="386"/>
      <c r="C667" s="387">
        <f>C657</f>
        <v>6</v>
      </c>
      <c r="D667" s="373" t="str">
        <f>D657</f>
        <v>rahu</v>
      </c>
      <c r="E667" s="393">
        <f>IF(E657+1&gt;9,E657+1-9,E657+1)</f>
        <v>8</v>
      </c>
      <c r="F667" s="389" t="str">
        <f t="shared" si="601"/>
        <v>saturn</v>
      </c>
      <c r="G667" s="389"/>
      <c r="H667" s="389"/>
      <c r="I667" s="390">
        <f>K657</f>
        <v>49362.5</v>
      </c>
      <c r="J667" s="373">
        <f>ROUND(J$646*VLOOKUP(E667,$A$848:$E$856,5,FALSE),0)</f>
        <v>1052</v>
      </c>
      <c r="K667" s="390">
        <f t="shared" si="598"/>
        <v>50414.5</v>
      </c>
      <c r="L667" s="400"/>
      <c r="M667" s="373"/>
      <c r="N667" s="373"/>
      <c r="O667" s="381"/>
    </row>
    <row r="668" spans="1:15">
      <c r="A668" s="355">
        <f>A666+1</f>
        <v>586</v>
      </c>
      <c r="B668" s="372">
        <f t="shared" ref="B668:B676" si="620">I668</f>
        <v>49361.5</v>
      </c>
      <c r="C668" s="357">
        <f t="shared" ref="C668:C736" si="621">C667</f>
        <v>6</v>
      </c>
      <c r="D668" s="358" t="str">
        <f t="shared" ref="D668:D736" si="622">D667</f>
        <v>rahu</v>
      </c>
      <c r="E668" s="368">
        <f t="shared" ref="E668:E676" si="623">E667</f>
        <v>8</v>
      </c>
      <c r="F668" s="367" t="str">
        <f t="shared" si="601"/>
        <v>saturn</v>
      </c>
      <c r="G668" s="367">
        <f>E668</f>
        <v>8</v>
      </c>
      <c r="H668" s="367" t="str">
        <f t="shared" ref="H668:H676" si="624">VLOOKUP(G668,$A$848:$B$856,2,FALSE)</f>
        <v>saturn</v>
      </c>
      <c r="I668" s="369">
        <f>K666</f>
        <v>49361.5</v>
      </c>
      <c r="J668" s="377">
        <f t="shared" ref="J668:J676" si="625">ROUND(J$667*VLOOKUP(G668,$A$848:$E$856,5,FALSE),0)</f>
        <v>168</v>
      </c>
      <c r="K668" s="369">
        <f t="shared" si="598"/>
        <v>49529.5</v>
      </c>
      <c r="L668" s="360">
        <f>L666+1</f>
        <v>586</v>
      </c>
      <c r="O668" s="381"/>
    </row>
    <row r="669" spans="1:15">
      <c r="A669" s="355">
        <f t="shared" ref="A669:A676" si="626">A668+1</f>
        <v>587</v>
      </c>
      <c r="B669" s="372">
        <f t="shared" si="620"/>
        <v>49529.5</v>
      </c>
      <c r="C669" s="357">
        <f t="shared" si="621"/>
        <v>6</v>
      </c>
      <c r="D669" s="358" t="str">
        <f t="shared" si="622"/>
        <v>rahu</v>
      </c>
      <c r="E669" s="368">
        <f t="shared" si="623"/>
        <v>8</v>
      </c>
      <c r="F669" s="367" t="str">
        <f t="shared" si="601"/>
        <v>saturn</v>
      </c>
      <c r="G669" s="367">
        <f>IF(G668+1&gt;9,G668+1-9,G668+1)</f>
        <v>9</v>
      </c>
      <c r="H669" s="367" t="str">
        <f t="shared" si="624"/>
        <v>mercury</v>
      </c>
      <c r="I669" s="369">
        <f t="shared" ref="I669:I676" si="627">K668</f>
        <v>49529.5</v>
      </c>
      <c r="J669" s="377">
        <f t="shared" si="625"/>
        <v>147</v>
      </c>
      <c r="K669" s="369">
        <f t="shared" si="598"/>
        <v>49676.5</v>
      </c>
      <c r="L669" s="360">
        <f t="shared" ref="L669:L676" si="628">L668+1</f>
        <v>587</v>
      </c>
      <c r="O669" s="381"/>
    </row>
    <row r="670" spans="1:15">
      <c r="A670" s="355">
        <f t="shared" si="626"/>
        <v>588</v>
      </c>
      <c r="B670" s="372">
        <f t="shared" si="620"/>
        <v>49676.5</v>
      </c>
      <c r="C670" s="357">
        <f t="shared" si="621"/>
        <v>6</v>
      </c>
      <c r="D670" s="358" t="str">
        <f t="shared" si="622"/>
        <v>rahu</v>
      </c>
      <c r="E670" s="368">
        <f t="shared" si="623"/>
        <v>8</v>
      </c>
      <c r="F670" s="367" t="str">
        <f t="shared" si="601"/>
        <v>saturn</v>
      </c>
      <c r="G670" s="367">
        <f t="shared" ref="G670:G676" si="629">IF(G669+1&gt;9,G669+1-9,G669+1)</f>
        <v>1</v>
      </c>
      <c r="H670" s="367" t="str">
        <f t="shared" si="624"/>
        <v>ketu</v>
      </c>
      <c r="I670" s="369">
        <f t="shared" si="627"/>
        <v>49676.5</v>
      </c>
      <c r="J670" s="377">
        <f t="shared" si="625"/>
        <v>63</v>
      </c>
      <c r="K670" s="369">
        <f t="shared" ref="K670:K676" si="630">I670+J670</f>
        <v>49739.5</v>
      </c>
      <c r="L670" s="360">
        <f t="shared" si="628"/>
        <v>588</v>
      </c>
      <c r="O670" s="381"/>
    </row>
    <row r="671" spans="1:15">
      <c r="A671" s="355">
        <f t="shared" si="626"/>
        <v>589</v>
      </c>
      <c r="B671" s="372">
        <f t="shared" si="620"/>
        <v>49739.5</v>
      </c>
      <c r="C671" s="357">
        <f t="shared" si="621"/>
        <v>6</v>
      </c>
      <c r="D671" s="358" t="str">
        <f t="shared" si="622"/>
        <v>rahu</v>
      </c>
      <c r="E671" s="368">
        <f t="shared" si="623"/>
        <v>8</v>
      </c>
      <c r="F671" s="367" t="str">
        <f t="shared" si="601"/>
        <v>saturn</v>
      </c>
      <c r="G671" s="367">
        <f t="shared" si="629"/>
        <v>2</v>
      </c>
      <c r="H671" s="367" t="str">
        <f t="shared" si="624"/>
        <v>venus</v>
      </c>
      <c r="I671" s="369">
        <f t="shared" si="627"/>
        <v>49739.5</v>
      </c>
      <c r="J671" s="377">
        <f t="shared" si="625"/>
        <v>179</v>
      </c>
      <c r="K671" s="369">
        <f t="shared" si="630"/>
        <v>49918.5</v>
      </c>
      <c r="L671" s="360">
        <f t="shared" si="628"/>
        <v>589</v>
      </c>
      <c r="O671" s="381"/>
    </row>
    <row r="672" spans="1:15">
      <c r="A672" s="355">
        <f t="shared" si="626"/>
        <v>590</v>
      </c>
      <c r="B672" s="372">
        <f t="shared" si="620"/>
        <v>49918.5</v>
      </c>
      <c r="C672" s="357">
        <f t="shared" si="621"/>
        <v>6</v>
      </c>
      <c r="D672" s="358" t="str">
        <f t="shared" si="622"/>
        <v>rahu</v>
      </c>
      <c r="E672" s="368">
        <f t="shared" si="623"/>
        <v>8</v>
      </c>
      <c r="F672" s="367" t="str">
        <f t="shared" si="601"/>
        <v>saturn</v>
      </c>
      <c r="G672" s="367">
        <f t="shared" si="629"/>
        <v>3</v>
      </c>
      <c r="H672" s="367" t="str">
        <f t="shared" si="624"/>
        <v>sun</v>
      </c>
      <c r="I672" s="369">
        <f t="shared" si="627"/>
        <v>49918.5</v>
      </c>
      <c r="J672" s="377">
        <f t="shared" si="625"/>
        <v>53</v>
      </c>
      <c r="K672" s="369">
        <f t="shared" si="630"/>
        <v>49971.5</v>
      </c>
      <c r="L672" s="360">
        <f t="shared" si="628"/>
        <v>590</v>
      </c>
      <c r="O672" s="381"/>
    </row>
    <row r="673" spans="1:15">
      <c r="A673" s="355">
        <f t="shared" si="626"/>
        <v>591</v>
      </c>
      <c r="B673" s="372">
        <f t="shared" si="620"/>
        <v>49971.5</v>
      </c>
      <c r="C673" s="357">
        <f t="shared" si="621"/>
        <v>6</v>
      </c>
      <c r="D673" s="358" t="str">
        <f t="shared" si="622"/>
        <v>rahu</v>
      </c>
      <c r="E673" s="368">
        <f t="shared" si="623"/>
        <v>8</v>
      </c>
      <c r="F673" s="367" t="str">
        <f t="shared" si="601"/>
        <v>saturn</v>
      </c>
      <c r="G673" s="367">
        <f t="shared" si="629"/>
        <v>4</v>
      </c>
      <c r="H673" s="367" t="str">
        <f t="shared" si="624"/>
        <v>moon</v>
      </c>
      <c r="I673" s="369">
        <f t="shared" si="627"/>
        <v>49971.5</v>
      </c>
      <c r="J673" s="377">
        <f t="shared" si="625"/>
        <v>84</v>
      </c>
      <c r="K673" s="369">
        <f t="shared" si="630"/>
        <v>50055.5</v>
      </c>
      <c r="L673" s="360">
        <f t="shared" si="628"/>
        <v>591</v>
      </c>
      <c r="O673" s="381"/>
    </row>
    <row r="674" spans="1:15">
      <c r="A674" s="355">
        <f t="shared" si="626"/>
        <v>592</v>
      </c>
      <c r="B674" s="372">
        <f t="shared" si="620"/>
        <v>50055.5</v>
      </c>
      <c r="C674" s="357">
        <f t="shared" si="621"/>
        <v>6</v>
      </c>
      <c r="D674" s="358" t="str">
        <f t="shared" si="622"/>
        <v>rahu</v>
      </c>
      <c r="E674" s="368">
        <f t="shared" si="623"/>
        <v>8</v>
      </c>
      <c r="F674" s="367" t="str">
        <f t="shared" si="601"/>
        <v>saturn</v>
      </c>
      <c r="G674" s="367">
        <f t="shared" si="629"/>
        <v>5</v>
      </c>
      <c r="H674" s="367" t="str">
        <f t="shared" si="624"/>
        <v>mars</v>
      </c>
      <c r="I674" s="369">
        <f t="shared" si="627"/>
        <v>50055.5</v>
      </c>
      <c r="J674" s="377">
        <f t="shared" si="625"/>
        <v>63</v>
      </c>
      <c r="K674" s="369">
        <f t="shared" si="630"/>
        <v>50118.5</v>
      </c>
      <c r="L674" s="360">
        <f t="shared" si="628"/>
        <v>592</v>
      </c>
      <c r="O674" s="381"/>
    </row>
    <row r="675" spans="1:15">
      <c r="A675" s="355">
        <f t="shared" si="626"/>
        <v>593</v>
      </c>
      <c r="B675" s="372">
        <f t="shared" si="620"/>
        <v>50118.5</v>
      </c>
      <c r="C675" s="357">
        <f t="shared" si="621"/>
        <v>6</v>
      </c>
      <c r="D675" s="358" t="str">
        <f t="shared" si="622"/>
        <v>rahu</v>
      </c>
      <c r="E675" s="368">
        <f t="shared" si="623"/>
        <v>8</v>
      </c>
      <c r="F675" s="367" t="str">
        <f t="shared" si="601"/>
        <v>saturn</v>
      </c>
      <c r="G675" s="367">
        <f t="shared" si="629"/>
        <v>6</v>
      </c>
      <c r="H675" s="367" t="str">
        <f t="shared" si="624"/>
        <v>rahu</v>
      </c>
      <c r="I675" s="369">
        <f t="shared" si="627"/>
        <v>50118.5</v>
      </c>
      <c r="J675" s="377">
        <f t="shared" si="625"/>
        <v>158</v>
      </c>
      <c r="K675" s="369">
        <f t="shared" si="630"/>
        <v>50276.5</v>
      </c>
      <c r="L675" s="360">
        <f t="shared" si="628"/>
        <v>593</v>
      </c>
      <c r="O675" s="381"/>
    </row>
    <row r="676" spans="1:15">
      <c r="A676" s="355">
        <f t="shared" si="626"/>
        <v>594</v>
      </c>
      <c r="B676" s="372">
        <f t="shared" si="620"/>
        <v>50276.5</v>
      </c>
      <c r="C676" s="357">
        <f t="shared" si="621"/>
        <v>6</v>
      </c>
      <c r="D676" s="358" t="str">
        <f t="shared" si="622"/>
        <v>rahu</v>
      </c>
      <c r="E676" s="368">
        <f t="shared" si="623"/>
        <v>8</v>
      </c>
      <c r="F676" s="367" t="str">
        <f t="shared" si="601"/>
        <v>saturn</v>
      </c>
      <c r="G676" s="367">
        <f t="shared" si="629"/>
        <v>7</v>
      </c>
      <c r="H676" s="367" t="str">
        <f t="shared" si="624"/>
        <v>jupiter</v>
      </c>
      <c r="I676" s="369">
        <f t="shared" si="627"/>
        <v>50276.5</v>
      </c>
      <c r="J676" s="377">
        <f t="shared" si="625"/>
        <v>137</v>
      </c>
      <c r="K676" s="369">
        <f t="shared" si="630"/>
        <v>50413.5</v>
      </c>
      <c r="L676" s="360">
        <f t="shared" si="628"/>
        <v>594</v>
      </c>
      <c r="N676" s="358">
        <f>SUM(J668:J676)</f>
        <v>1052</v>
      </c>
      <c r="O676" s="381"/>
    </row>
    <row r="677" spans="1:15">
      <c r="A677" s="399"/>
      <c r="B677" s="386"/>
      <c r="C677" s="387">
        <f>C667</f>
        <v>6</v>
      </c>
      <c r="D677" s="373" t="str">
        <f>D667</f>
        <v>rahu</v>
      </c>
      <c r="E677" s="393">
        <f>IF(E667+1&gt;9,E667+1-9,E667+1)</f>
        <v>9</v>
      </c>
      <c r="F677" s="389" t="str">
        <f t="shared" si="601"/>
        <v>mercury</v>
      </c>
      <c r="G677" s="389"/>
      <c r="H677" s="389"/>
      <c r="I677" s="390">
        <f>K667</f>
        <v>50414.5</v>
      </c>
      <c r="J677" s="373">
        <f>ROUND(J$646*VLOOKUP(E677,$A$848:$E$856,5,FALSE),0)</f>
        <v>920</v>
      </c>
      <c r="K677" s="390">
        <f>I677+J677</f>
        <v>51334.5</v>
      </c>
      <c r="L677" s="400"/>
      <c r="M677" s="373"/>
      <c r="N677" s="373"/>
      <c r="O677" s="381"/>
    </row>
    <row r="678" spans="1:15">
      <c r="A678" s="355">
        <f>A676+1</f>
        <v>595</v>
      </c>
      <c r="B678" s="372">
        <f t="shared" ref="B678:B686" si="631">I678</f>
        <v>50413.5</v>
      </c>
      <c r="C678" s="357">
        <f t="shared" si="621"/>
        <v>6</v>
      </c>
      <c r="D678" s="358" t="str">
        <f t="shared" si="622"/>
        <v>rahu</v>
      </c>
      <c r="E678" s="368">
        <f t="shared" ref="E678:E686" si="632">E677</f>
        <v>9</v>
      </c>
      <c r="F678" s="367" t="str">
        <f t="shared" si="601"/>
        <v>mercury</v>
      </c>
      <c r="G678" s="367">
        <f>E678</f>
        <v>9</v>
      </c>
      <c r="H678" s="367" t="str">
        <f t="shared" ref="H678:H686" si="633">VLOOKUP(G678,$A$848:$B$856,2,FALSE)</f>
        <v>mercury</v>
      </c>
      <c r="I678" s="369">
        <f>K676</f>
        <v>50413.5</v>
      </c>
      <c r="J678" s="377">
        <f t="shared" ref="J678:J686" si="634">ROUND(J$677*VLOOKUP(G678,$A$848:$E$856,5,FALSE),0)</f>
        <v>129</v>
      </c>
      <c r="K678" s="369">
        <f>I678+J678</f>
        <v>50542.5</v>
      </c>
      <c r="L678" s="360">
        <f>L676+1</f>
        <v>595</v>
      </c>
      <c r="O678" s="381"/>
    </row>
    <row r="679" spans="1:15">
      <c r="A679" s="355">
        <f t="shared" ref="A679:A686" si="635">A678+1</f>
        <v>596</v>
      </c>
      <c r="B679" s="372">
        <f t="shared" si="631"/>
        <v>50542.5</v>
      </c>
      <c r="C679" s="357">
        <f t="shared" si="621"/>
        <v>6</v>
      </c>
      <c r="D679" s="358" t="str">
        <f t="shared" si="622"/>
        <v>rahu</v>
      </c>
      <c r="E679" s="368">
        <f t="shared" si="632"/>
        <v>9</v>
      </c>
      <c r="F679" s="367" t="str">
        <f t="shared" ref="F679:F710" si="636">VLOOKUP(E679,$A$848:$B$856,2,FALSE)</f>
        <v>mercury</v>
      </c>
      <c r="G679" s="367">
        <f>IF(G678+1&gt;9,G678+1-9,G678+1)</f>
        <v>1</v>
      </c>
      <c r="H679" s="367" t="str">
        <f t="shared" si="633"/>
        <v>ketu</v>
      </c>
      <c r="I679" s="369">
        <f t="shared" ref="I679:I686" si="637">K678</f>
        <v>50542.5</v>
      </c>
      <c r="J679" s="377">
        <f t="shared" si="634"/>
        <v>55</v>
      </c>
      <c r="K679" s="369">
        <f>I679+J679</f>
        <v>50597.5</v>
      </c>
      <c r="L679" s="360">
        <f t="shared" ref="L679:L686" si="638">L678+1</f>
        <v>596</v>
      </c>
      <c r="O679" s="381"/>
    </row>
    <row r="680" spans="1:15">
      <c r="A680" s="355">
        <f t="shared" si="635"/>
        <v>597</v>
      </c>
      <c r="B680" s="372">
        <f t="shared" si="631"/>
        <v>50597.5</v>
      </c>
      <c r="C680" s="357">
        <f t="shared" si="621"/>
        <v>6</v>
      </c>
      <c r="D680" s="358" t="str">
        <f t="shared" si="622"/>
        <v>rahu</v>
      </c>
      <c r="E680" s="368">
        <f t="shared" si="632"/>
        <v>9</v>
      </c>
      <c r="F680" s="367" t="str">
        <f t="shared" si="636"/>
        <v>mercury</v>
      </c>
      <c r="G680" s="367">
        <f t="shared" ref="G680:G686" si="639">IF(G679+1&gt;9,G679+1-9,G679+1)</f>
        <v>2</v>
      </c>
      <c r="H680" s="367" t="str">
        <f t="shared" si="633"/>
        <v>venus</v>
      </c>
      <c r="I680" s="369">
        <f t="shared" si="637"/>
        <v>50597.5</v>
      </c>
      <c r="J680" s="377">
        <f t="shared" si="634"/>
        <v>156</v>
      </c>
      <c r="K680" s="369">
        <f t="shared" ref="K680:K686" si="640">I680+J680</f>
        <v>50753.5</v>
      </c>
      <c r="L680" s="360">
        <f t="shared" si="638"/>
        <v>597</v>
      </c>
      <c r="O680" s="381"/>
    </row>
    <row r="681" spans="1:15">
      <c r="A681" s="355">
        <f t="shared" si="635"/>
        <v>598</v>
      </c>
      <c r="B681" s="372">
        <f t="shared" si="631"/>
        <v>50753.5</v>
      </c>
      <c r="C681" s="357">
        <f t="shared" si="621"/>
        <v>6</v>
      </c>
      <c r="D681" s="358" t="str">
        <f t="shared" si="622"/>
        <v>rahu</v>
      </c>
      <c r="E681" s="368">
        <f t="shared" si="632"/>
        <v>9</v>
      </c>
      <c r="F681" s="367" t="str">
        <f t="shared" si="636"/>
        <v>mercury</v>
      </c>
      <c r="G681" s="367">
        <f t="shared" si="639"/>
        <v>3</v>
      </c>
      <c r="H681" s="367" t="str">
        <f t="shared" si="633"/>
        <v>sun</v>
      </c>
      <c r="I681" s="369">
        <f t="shared" si="637"/>
        <v>50753.5</v>
      </c>
      <c r="J681" s="377">
        <f t="shared" si="634"/>
        <v>46</v>
      </c>
      <c r="K681" s="369">
        <f t="shared" si="640"/>
        <v>50799.5</v>
      </c>
      <c r="L681" s="360">
        <f t="shared" si="638"/>
        <v>598</v>
      </c>
      <c r="O681" s="381"/>
    </row>
    <row r="682" spans="1:15">
      <c r="A682" s="355">
        <f t="shared" si="635"/>
        <v>599</v>
      </c>
      <c r="B682" s="372">
        <f t="shared" si="631"/>
        <v>50799.5</v>
      </c>
      <c r="C682" s="357">
        <f t="shared" si="621"/>
        <v>6</v>
      </c>
      <c r="D682" s="358" t="str">
        <f t="shared" si="622"/>
        <v>rahu</v>
      </c>
      <c r="E682" s="368">
        <f t="shared" si="632"/>
        <v>9</v>
      </c>
      <c r="F682" s="367" t="str">
        <f t="shared" si="636"/>
        <v>mercury</v>
      </c>
      <c r="G682" s="367">
        <f t="shared" si="639"/>
        <v>4</v>
      </c>
      <c r="H682" s="367" t="str">
        <f t="shared" si="633"/>
        <v>moon</v>
      </c>
      <c r="I682" s="369">
        <f t="shared" si="637"/>
        <v>50799.5</v>
      </c>
      <c r="J682" s="377">
        <f t="shared" si="634"/>
        <v>74</v>
      </c>
      <c r="K682" s="369">
        <f t="shared" si="640"/>
        <v>50873.5</v>
      </c>
      <c r="L682" s="360">
        <f t="shared" si="638"/>
        <v>599</v>
      </c>
      <c r="O682" s="381"/>
    </row>
    <row r="683" spans="1:15">
      <c r="A683" s="355">
        <f t="shared" si="635"/>
        <v>600</v>
      </c>
      <c r="B683" s="372">
        <f t="shared" si="631"/>
        <v>50873.5</v>
      </c>
      <c r="C683" s="357">
        <f t="shared" si="621"/>
        <v>6</v>
      </c>
      <c r="D683" s="358" t="str">
        <f t="shared" si="622"/>
        <v>rahu</v>
      </c>
      <c r="E683" s="368">
        <f t="shared" si="632"/>
        <v>9</v>
      </c>
      <c r="F683" s="367" t="str">
        <f t="shared" si="636"/>
        <v>mercury</v>
      </c>
      <c r="G683" s="367">
        <f t="shared" si="639"/>
        <v>5</v>
      </c>
      <c r="H683" s="367" t="str">
        <f t="shared" si="633"/>
        <v>mars</v>
      </c>
      <c r="I683" s="369">
        <f t="shared" si="637"/>
        <v>50873.5</v>
      </c>
      <c r="J683" s="377">
        <f t="shared" si="634"/>
        <v>55</v>
      </c>
      <c r="K683" s="369">
        <f t="shared" si="640"/>
        <v>50928.5</v>
      </c>
      <c r="L683" s="360">
        <f t="shared" si="638"/>
        <v>600</v>
      </c>
      <c r="O683" s="381"/>
    </row>
    <row r="684" spans="1:15">
      <c r="A684" s="355">
        <f t="shared" si="635"/>
        <v>601</v>
      </c>
      <c r="B684" s="372">
        <f t="shared" si="631"/>
        <v>50928.5</v>
      </c>
      <c r="C684" s="357">
        <f t="shared" si="621"/>
        <v>6</v>
      </c>
      <c r="D684" s="358" t="str">
        <f t="shared" si="622"/>
        <v>rahu</v>
      </c>
      <c r="E684" s="368">
        <f t="shared" si="632"/>
        <v>9</v>
      </c>
      <c r="F684" s="367" t="str">
        <f t="shared" si="636"/>
        <v>mercury</v>
      </c>
      <c r="G684" s="367">
        <f t="shared" si="639"/>
        <v>6</v>
      </c>
      <c r="H684" s="367" t="str">
        <f t="shared" si="633"/>
        <v>rahu</v>
      </c>
      <c r="I684" s="369">
        <f t="shared" si="637"/>
        <v>50928.5</v>
      </c>
      <c r="J684" s="377">
        <f t="shared" si="634"/>
        <v>138</v>
      </c>
      <c r="K684" s="369">
        <f t="shared" si="640"/>
        <v>51066.5</v>
      </c>
      <c r="L684" s="360">
        <f t="shared" si="638"/>
        <v>601</v>
      </c>
      <c r="O684" s="381"/>
    </row>
    <row r="685" spans="1:15">
      <c r="A685" s="355">
        <f t="shared" si="635"/>
        <v>602</v>
      </c>
      <c r="B685" s="372">
        <f t="shared" si="631"/>
        <v>51066.5</v>
      </c>
      <c r="C685" s="357">
        <f t="shared" si="621"/>
        <v>6</v>
      </c>
      <c r="D685" s="358" t="str">
        <f t="shared" si="622"/>
        <v>rahu</v>
      </c>
      <c r="E685" s="368">
        <f t="shared" si="632"/>
        <v>9</v>
      </c>
      <c r="F685" s="367" t="str">
        <f t="shared" si="636"/>
        <v>mercury</v>
      </c>
      <c r="G685" s="367">
        <f t="shared" si="639"/>
        <v>7</v>
      </c>
      <c r="H685" s="367" t="str">
        <f t="shared" si="633"/>
        <v>jupiter</v>
      </c>
      <c r="I685" s="369">
        <f t="shared" si="637"/>
        <v>51066.5</v>
      </c>
      <c r="J685" s="377">
        <f t="shared" si="634"/>
        <v>120</v>
      </c>
      <c r="K685" s="369">
        <f t="shared" si="640"/>
        <v>51186.5</v>
      </c>
      <c r="L685" s="360">
        <f t="shared" si="638"/>
        <v>602</v>
      </c>
      <c r="O685" s="381"/>
    </row>
    <row r="686" spans="1:15">
      <c r="A686" s="355">
        <f t="shared" si="635"/>
        <v>603</v>
      </c>
      <c r="B686" s="372">
        <f t="shared" si="631"/>
        <v>51186.5</v>
      </c>
      <c r="C686" s="357">
        <f t="shared" si="621"/>
        <v>6</v>
      </c>
      <c r="D686" s="358" t="str">
        <f t="shared" si="622"/>
        <v>rahu</v>
      </c>
      <c r="E686" s="368">
        <f t="shared" si="632"/>
        <v>9</v>
      </c>
      <c r="F686" s="367" t="str">
        <f t="shared" si="636"/>
        <v>mercury</v>
      </c>
      <c r="G686" s="367">
        <f t="shared" si="639"/>
        <v>8</v>
      </c>
      <c r="H686" s="367" t="str">
        <f t="shared" si="633"/>
        <v>saturn</v>
      </c>
      <c r="I686" s="369">
        <f t="shared" si="637"/>
        <v>51186.5</v>
      </c>
      <c r="J686" s="377">
        <f t="shared" si="634"/>
        <v>147</v>
      </c>
      <c r="K686" s="369">
        <f t="shared" si="640"/>
        <v>51333.5</v>
      </c>
      <c r="L686" s="360">
        <f t="shared" si="638"/>
        <v>603</v>
      </c>
      <c r="N686" s="358">
        <f>SUM(J678:J686)</f>
        <v>920</v>
      </c>
      <c r="O686" s="381"/>
    </row>
    <row r="687" spans="1:15">
      <c r="A687" s="399"/>
      <c r="B687" s="386"/>
      <c r="C687" s="387">
        <f>C677</f>
        <v>6</v>
      </c>
      <c r="D687" s="373" t="str">
        <f>D677</f>
        <v>rahu</v>
      </c>
      <c r="E687" s="393">
        <f>IF(E677+1&gt;9,E677+1-9,E677+1)</f>
        <v>1</v>
      </c>
      <c r="F687" s="389" t="str">
        <f t="shared" si="636"/>
        <v>ketu</v>
      </c>
      <c r="G687" s="389"/>
      <c r="H687" s="389"/>
      <c r="I687" s="390">
        <f>K677</f>
        <v>51334.5</v>
      </c>
      <c r="J687" s="373">
        <f>ROUND(J$646*VLOOKUP(E687,$A$848:$E$856,5,FALSE),0)</f>
        <v>394</v>
      </c>
      <c r="K687" s="390">
        <f>I687+J687</f>
        <v>51728.5</v>
      </c>
      <c r="L687" s="400"/>
      <c r="M687" s="373"/>
      <c r="N687" s="373"/>
      <c r="O687" s="381"/>
    </row>
    <row r="688" spans="1:15">
      <c r="A688" s="355">
        <f>A686+1</f>
        <v>604</v>
      </c>
      <c r="B688" s="372">
        <f>I688</f>
        <v>51333.5</v>
      </c>
      <c r="C688" s="357">
        <f t="shared" si="621"/>
        <v>6</v>
      </c>
      <c r="D688" s="358" t="str">
        <f t="shared" si="622"/>
        <v>rahu</v>
      </c>
      <c r="E688" s="368">
        <f t="shared" ref="E688:E696" si="641">E687</f>
        <v>1</v>
      </c>
      <c r="F688" s="367" t="str">
        <f t="shared" si="636"/>
        <v>ketu</v>
      </c>
      <c r="G688" s="367">
        <f>E688</f>
        <v>1</v>
      </c>
      <c r="H688" s="367" t="str">
        <f t="shared" ref="H688:H696" si="642">VLOOKUP(G688,$A$848:$B$856,2,FALSE)</f>
        <v>ketu</v>
      </c>
      <c r="I688" s="369">
        <f>K686</f>
        <v>51333.5</v>
      </c>
      <c r="J688" s="377">
        <f t="shared" ref="J688:J696" si="643">ROUND(J$687*VLOOKUP(G688,$A$848:$E$856,5,FALSE),0)</f>
        <v>24</v>
      </c>
      <c r="K688" s="369">
        <f>I688+J688</f>
        <v>51357.5</v>
      </c>
      <c r="L688" s="360">
        <f>L686+1</f>
        <v>604</v>
      </c>
      <c r="O688" s="381"/>
    </row>
    <row r="689" spans="1:15">
      <c r="A689" s="355">
        <f t="shared" ref="A689:A696" si="644">A688+1</f>
        <v>605</v>
      </c>
      <c r="B689" s="372">
        <f t="shared" ref="B689:B696" si="645">I689</f>
        <v>51357.5</v>
      </c>
      <c r="C689" s="357">
        <f t="shared" si="621"/>
        <v>6</v>
      </c>
      <c r="D689" s="358" t="str">
        <f t="shared" si="622"/>
        <v>rahu</v>
      </c>
      <c r="E689" s="368">
        <f t="shared" si="641"/>
        <v>1</v>
      </c>
      <c r="F689" s="367" t="str">
        <f t="shared" si="636"/>
        <v>ketu</v>
      </c>
      <c r="G689" s="367">
        <f>IF(G688+1&gt;9,G688+1-9,G688+1)</f>
        <v>2</v>
      </c>
      <c r="H689" s="367" t="str">
        <f t="shared" si="642"/>
        <v>venus</v>
      </c>
      <c r="I689" s="369">
        <f t="shared" ref="I689:I696" si="646">K688</f>
        <v>51357.5</v>
      </c>
      <c r="J689" s="377">
        <f t="shared" si="643"/>
        <v>67</v>
      </c>
      <c r="K689" s="369">
        <f>I689+J689</f>
        <v>51424.5</v>
      </c>
      <c r="L689" s="360">
        <f t="shared" ref="L689:L696" si="647">L688+1</f>
        <v>605</v>
      </c>
      <c r="O689" s="381"/>
    </row>
    <row r="690" spans="1:15">
      <c r="A690" s="355">
        <f t="shared" si="644"/>
        <v>606</v>
      </c>
      <c r="B690" s="372">
        <f t="shared" si="645"/>
        <v>51424.5</v>
      </c>
      <c r="C690" s="357">
        <f t="shared" si="621"/>
        <v>6</v>
      </c>
      <c r="D690" s="358" t="str">
        <f t="shared" si="622"/>
        <v>rahu</v>
      </c>
      <c r="E690" s="368">
        <f t="shared" si="641"/>
        <v>1</v>
      </c>
      <c r="F690" s="367" t="str">
        <f t="shared" si="636"/>
        <v>ketu</v>
      </c>
      <c r="G690" s="367">
        <f>IF(G689+1&gt;9,G689+1-9,G689+1)</f>
        <v>3</v>
      </c>
      <c r="H690" s="367" t="str">
        <f t="shared" si="642"/>
        <v>sun</v>
      </c>
      <c r="I690" s="369">
        <f t="shared" si="646"/>
        <v>51424.5</v>
      </c>
      <c r="J690" s="377">
        <f t="shared" si="643"/>
        <v>20</v>
      </c>
      <c r="K690" s="369">
        <f>I690+J690</f>
        <v>51444.5</v>
      </c>
      <c r="L690" s="360">
        <f t="shared" si="647"/>
        <v>606</v>
      </c>
      <c r="O690" s="381"/>
    </row>
    <row r="691" spans="1:15">
      <c r="A691" s="355">
        <f t="shared" si="644"/>
        <v>607</v>
      </c>
      <c r="B691" s="372">
        <f t="shared" si="645"/>
        <v>51444.5</v>
      </c>
      <c r="C691" s="357">
        <f t="shared" si="621"/>
        <v>6</v>
      </c>
      <c r="D691" s="358" t="str">
        <f t="shared" si="622"/>
        <v>rahu</v>
      </c>
      <c r="E691" s="368">
        <f t="shared" si="641"/>
        <v>1</v>
      </c>
      <c r="F691" s="367" t="str">
        <f t="shared" si="636"/>
        <v>ketu</v>
      </c>
      <c r="G691" s="367">
        <f t="shared" ref="G691:G696" si="648">IF(G690+1&gt;9,G690+1-9,G690+1)</f>
        <v>4</v>
      </c>
      <c r="H691" s="367" t="str">
        <f t="shared" si="642"/>
        <v>moon</v>
      </c>
      <c r="I691" s="369">
        <f t="shared" si="646"/>
        <v>51444.5</v>
      </c>
      <c r="J691" s="377">
        <f t="shared" si="643"/>
        <v>32</v>
      </c>
      <c r="K691" s="369">
        <f t="shared" ref="K691:K696" si="649">I691+J691</f>
        <v>51476.5</v>
      </c>
      <c r="L691" s="360">
        <f t="shared" si="647"/>
        <v>607</v>
      </c>
      <c r="O691" s="381"/>
    </row>
    <row r="692" spans="1:15">
      <c r="A692" s="355">
        <f t="shared" si="644"/>
        <v>608</v>
      </c>
      <c r="B692" s="372">
        <f t="shared" si="645"/>
        <v>51476.5</v>
      </c>
      <c r="C692" s="357">
        <f t="shared" si="621"/>
        <v>6</v>
      </c>
      <c r="D692" s="358" t="str">
        <f t="shared" si="622"/>
        <v>rahu</v>
      </c>
      <c r="E692" s="368">
        <f t="shared" si="641"/>
        <v>1</v>
      </c>
      <c r="F692" s="367" t="str">
        <f t="shared" si="636"/>
        <v>ketu</v>
      </c>
      <c r="G692" s="367">
        <f t="shared" si="648"/>
        <v>5</v>
      </c>
      <c r="H692" s="367" t="str">
        <f t="shared" si="642"/>
        <v>mars</v>
      </c>
      <c r="I692" s="369">
        <f t="shared" si="646"/>
        <v>51476.5</v>
      </c>
      <c r="J692" s="377">
        <f t="shared" si="643"/>
        <v>24</v>
      </c>
      <c r="K692" s="369">
        <f t="shared" si="649"/>
        <v>51500.5</v>
      </c>
      <c r="L692" s="360">
        <f t="shared" si="647"/>
        <v>608</v>
      </c>
      <c r="O692" s="381"/>
    </row>
    <row r="693" spans="1:15">
      <c r="A693" s="355">
        <f t="shared" si="644"/>
        <v>609</v>
      </c>
      <c r="B693" s="372">
        <f t="shared" si="645"/>
        <v>51500.5</v>
      </c>
      <c r="C693" s="357">
        <f t="shared" si="621"/>
        <v>6</v>
      </c>
      <c r="D693" s="358" t="str">
        <f t="shared" si="622"/>
        <v>rahu</v>
      </c>
      <c r="E693" s="368">
        <f t="shared" si="641"/>
        <v>1</v>
      </c>
      <c r="F693" s="367" t="str">
        <f t="shared" si="636"/>
        <v>ketu</v>
      </c>
      <c r="G693" s="367">
        <f t="shared" si="648"/>
        <v>6</v>
      </c>
      <c r="H693" s="367" t="str">
        <f t="shared" si="642"/>
        <v>rahu</v>
      </c>
      <c r="I693" s="369">
        <f t="shared" si="646"/>
        <v>51500.5</v>
      </c>
      <c r="J693" s="377">
        <f t="shared" si="643"/>
        <v>59</v>
      </c>
      <c r="K693" s="369">
        <f t="shared" si="649"/>
        <v>51559.5</v>
      </c>
      <c r="L693" s="360">
        <f t="shared" si="647"/>
        <v>609</v>
      </c>
      <c r="O693" s="381"/>
    </row>
    <row r="694" spans="1:15">
      <c r="A694" s="355">
        <f t="shared" si="644"/>
        <v>610</v>
      </c>
      <c r="B694" s="372">
        <f t="shared" si="645"/>
        <v>51559.5</v>
      </c>
      <c r="C694" s="357">
        <f t="shared" si="621"/>
        <v>6</v>
      </c>
      <c r="D694" s="358" t="str">
        <f t="shared" si="622"/>
        <v>rahu</v>
      </c>
      <c r="E694" s="368">
        <f t="shared" si="641"/>
        <v>1</v>
      </c>
      <c r="F694" s="367" t="str">
        <f t="shared" si="636"/>
        <v>ketu</v>
      </c>
      <c r="G694" s="367">
        <f t="shared" si="648"/>
        <v>7</v>
      </c>
      <c r="H694" s="367" t="str">
        <f t="shared" si="642"/>
        <v>jupiter</v>
      </c>
      <c r="I694" s="369">
        <f t="shared" si="646"/>
        <v>51559.5</v>
      </c>
      <c r="J694" s="377">
        <f t="shared" si="643"/>
        <v>51</v>
      </c>
      <c r="K694" s="369">
        <f t="shared" si="649"/>
        <v>51610.5</v>
      </c>
      <c r="L694" s="360">
        <f t="shared" si="647"/>
        <v>610</v>
      </c>
      <c r="O694" s="381"/>
    </row>
    <row r="695" spans="1:15">
      <c r="A695" s="355">
        <f t="shared" si="644"/>
        <v>611</v>
      </c>
      <c r="B695" s="372">
        <f t="shared" si="645"/>
        <v>51610.5</v>
      </c>
      <c r="C695" s="357">
        <f>C694</f>
        <v>6</v>
      </c>
      <c r="D695" s="358" t="str">
        <f>D694</f>
        <v>rahu</v>
      </c>
      <c r="E695" s="368">
        <f t="shared" si="641"/>
        <v>1</v>
      </c>
      <c r="F695" s="367" t="str">
        <f t="shared" si="636"/>
        <v>ketu</v>
      </c>
      <c r="G695" s="367">
        <f>IF(G694+1&gt;9,G694+1-9,G694+1)</f>
        <v>8</v>
      </c>
      <c r="H695" s="367" t="str">
        <f t="shared" si="642"/>
        <v>saturn</v>
      </c>
      <c r="I695" s="369">
        <f t="shared" si="646"/>
        <v>51610.5</v>
      </c>
      <c r="J695" s="377">
        <f t="shared" si="643"/>
        <v>63</v>
      </c>
      <c r="K695" s="369">
        <f t="shared" si="649"/>
        <v>51673.5</v>
      </c>
      <c r="L695" s="360">
        <f t="shared" si="647"/>
        <v>611</v>
      </c>
      <c r="O695" s="381"/>
    </row>
    <row r="696" spans="1:15">
      <c r="A696" s="355">
        <f t="shared" si="644"/>
        <v>612</v>
      </c>
      <c r="B696" s="372">
        <f t="shared" si="645"/>
        <v>51673.5</v>
      </c>
      <c r="C696" s="357">
        <f t="shared" si="621"/>
        <v>6</v>
      </c>
      <c r="D696" s="358" t="str">
        <f t="shared" si="622"/>
        <v>rahu</v>
      </c>
      <c r="E696" s="368">
        <f t="shared" si="641"/>
        <v>1</v>
      </c>
      <c r="F696" s="367" t="str">
        <f t="shared" si="636"/>
        <v>ketu</v>
      </c>
      <c r="G696" s="367">
        <f t="shared" si="648"/>
        <v>9</v>
      </c>
      <c r="H696" s="367" t="str">
        <f t="shared" si="642"/>
        <v>mercury</v>
      </c>
      <c r="I696" s="369">
        <f t="shared" si="646"/>
        <v>51673.5</v>
      </c>
      <c r="J696" s="377">
        <f t="shared" si="643"/>
        <v>55</v>
      </c>
      <c r="K696" s="369">
        <f t="shared" si="649"/>
        <v>51728.5</v>
      </c>
      <c r="L696" s="360">
        <f t="shared" si="647"/>
        <v>612</v>
      </c>
      <c r="N696" s="358">
        <f>SUM(J688:J696)</f>
        <v>395</v>
      </c>
      <c r="O696" s="381"/>
    </row>
    <row r="697" spans="1:15">
      <c r="A697" s="399"/>
      <c r="B697" s="386"/>
      <c r="C697" s="387">
        <f>C687</f>
        <v>6</v>
      </c>
      <c r="D697" s="373" t="str">
        <f>D687</f>
        <v>rahu</v>
      </c>
      <c r="E697" s="393">
        <f>IF(E687+1&gt;9,E687+1-9,E687+1)</f>
        <v>2</v>
      </c>
      <c r="F697" s="389" t="str">
        <f t="shared" si="636"/>
        <v>venus</v>
      </c>
      <c r="G697" s="389"/>
      <c r="H697" s="389"/>
      <c r="I697" s="390">
        <f>K687</f>
        <v>51728.5</v>
      </c>
      <c r="J697" s="373">
        <f>ROUND(J$646*VLOOKUP(E697,$A$848:$E$856,5,FALSE),0)</f>
        <v>1118</v>
      </c>
      <c r="K697" s="390">
        <f>I697+J697</f>
        <v>52846.5</v>
      </c>
      <c r="L697" s="400"/>
      <c r="M697" s="373"/>
      <c r="N697" s="373"/>
      <c r="O697" s="381"/>
    </row>
    <row r="698" spans="1:15">
      <c r="A698" s="355">
        <f>A696+1</f>
        <v>613</v>
      </c>
      <c r="B698" s="372">
        <f t="shared" ref="B698:B706" si="650">I698</f>
        <v>51728.5</v>
      </c>
      <c r="C698" s="357">
        <f t="shared" si="621"/>
        <v>6</v>
      </c>
      <c r="D698" s="358" t="str">
        <f t="shared" si="622"/>
        <v>rahu</v>
      </c>
      <c r="E698" s="368">
        <f t="shared" ref="E698:E706" si="651">E697</f>
        <v>2</v>
      </c>
      <c r="F698" s="367" t="str">
        <f t="shared" si="636"/>
        <v>venus</v>
      </c>
      <c r="G698" s="367">
        <f>E698</f>
        <v>2</v>
      </c>
      <c r="H698" s="367" t="str">
        <f t="shared" ref="H698:H706" si="652">VLOOKUP(G698,$A$848:$B$856,2,FALSE)</f>
        <v>venus</v>
      </c>
      <c r="I698" s="369">
        <f>K696</f>
        <v>51728.5</v>
      </c>
      <c r="J698" s="377">
        <f t="shared" ref="J698:J706" si="653">ROUND(J$697*VLOOKUP(G698,$A$848:$E$856,5,FALSE),0)</f>
        <v>190</v>
      </c>
      <c r="K698" s="369">
        <f>I698+J698</f>
        <v>51918.5</v>
      </c>
      <c r="L698" s="360">
        <f>L696+1</f>
        <v>613</v>
      </c>
      <c r="O698" s="381"/>
    </row>
    <row r="699" spans="1:15">
      <c r="A699" s="355">
        <f t="shared" ref="A699:A706" si="654">A698+1</f>
        <v>614</v>
      </c>
      <c r="B699" s="372">
        <f t="shared" si="650"/>
        <v>51918.5</v>
      </c>
      <c r="C699" s="357">
        <f t="shared" si="621"/>
        <v>6</v>
      </c>
      <c r="D699" s="358" t="str">
        <f t="shared" si="622"/>
        <v>rahu</v>
      </c>
      <c r="E699" s="368">
        <f t="shared" si="651"/>
        <v>2</v>
      </c>
      <c r="F699" s="367" t="str">
        <f t="shared" si="636"/>
        <v>venus</v>
      </c>
      <c r="G699" s="367">
        <f>IF(G698+1&gt;9,G698+1-9,G698+1)</f>
        <v>3</v>
      </c>
      <c r="H699" s="367" t="str">
        <f t="shared" si="652"/>
        <v>sun</v>
      </c>
      <c r="I699" s="369">
        <f t="shared" ref="I699:I706" si="655">K698</f>
        <v>51918.5</v>
      </c>
      <c r="J699" s="377">
        <f t="shared" si="653"/>
        <v>56</v>
      </c>
      <c r="K699" s="369">
        <f>I699+J699</f>
        <v>51974.5</v>
      </c>
      <c r="L699" s="360">
        <f t="shared" ref="L699:L706" si="656">L698+1</f>
        <v>614</v>
      </c>
      <c r="O699" s="381"/>
    </row>
    <row r="700" spans="1:15">
      <c r="A700" s="355">
        <f t="shared" si="654"/>
        <v>615</v>
      </c>
      <c r="B700" s="372">
        <f t="shared" si="650"/>
        <v>51974.5</v>
      </c>
      <c r="C700" s="357">
        <f t="shared" si="621"/>
        <v>6</v>
      </c>
      <c r="D700" s="358" t="str">
        <f t="shared" si="622"/>
        <v>rahu</v>
      </c>
      <c r="E700" s="368">
        <f t="shared" si="651"/>
        <v>2</v>
      </c>
      <c r="F700" s="367" t="str">
        <f t="shared" si="636"/>
        <v>venus</v>
      </c>
      <c r="G700" s="367">
        <f t="shared" ref="G700:G706" si="657">IF(G699+1&gt;9,G699+1-9,G699+1)</f>
        <v>4</v>
      </c>
      <c r="H700" s="367" t="str">
        <f t="shared" si="652"/>
        <v>moon</v>
      </c>
      <c r="I700" s="369">
        <f t="shared" si="655"/>
        <v>51974.5</v>
      </c>
      <c r="J700" s="377">
        <f t="shared" si="653"/>
        <v>89</v>
      </c>
      <c r="K700" s="369">
        <f t="shared" ref="K700:K706" si="658">I700+J700</f>
        <v>52063.5</v>
      </c>
      <c r="L700" s="360">
        <f t="shared" si="656"/>
        <v>615</v>
      </c>
      <c r="O700" s="381"/>
    </row>
    <row r="701" spans="1:15">
      <c r="A701" s="355">
        <f t="shared" si="654"/>
        <v>616</v>
      </c>
      <c r="B701" s="372">
        <f t="shared" si="650"/>
        <v>52063.5</v>
      </c>
      <c r="C701" s="357">
        <f t="shared" si="621"/>
        <v>6</v>
      </c>
      <c r="D701" s="358" t="str">
        <f t="shared" si="622"/>
        <v>rahu</v>
      </c>
      <c r="E701" s="368">
        <f t="shared" si="651"/>
        <v>2</v>
      </c>
      <c r="F701" s="367" t="str">
        <f t="shared" si="636"/>
        <v>venus</v>
      </c>
      <c r="G701" s="367">
        <f t="shared" si="657"/>
        <v>5</v>
      </c>
      <c r="H701" s="367" t="str">
        <f t="shared" si="652"/>
        <v>mars</v>
      </c>
      <c r="I701" s="369">
        <f t="shared" si="655"/>
        <v>52063.5</v>
      </c>
      <c r="J701" s="377">
        <f t="shared" si="653"/>
        <v>67</v>
      </c>
      <c r="K701" s="369">
        <f t="shared" si="658"/>
        <v>52130.5</v>
      </c>
      <c r="L701" s="360">
        <f t="shared" si="656"/>
        <v>616</v>
      </c>
      <c r="O701" s="381"/>
    </row>
    <row r="702" spans="1:15">
      <c r="A702" s="355">
        <f t="shared" si="654"/>
        <v>617</v>
      </c>
      <c r="B702" s="372">
        <f t="shared" si="650"/>
        <v>52130.5</v>
      </c>
      <c r="C702" s="357">
        <f t="shared" si="621"/>
        <v>6</v>
      </c>
      <c r="D702" s="358" t="str">
        <f t="shared" si="622"/>
        <v>rahu</v>
      </c>
      <c r="E702" s="368">
        <f t="shared" si="651"/>
        <v>2</v>
      </c>
      <c r="F702" s="367" t="str">
        <f t="shared" si="636"/>
        <v>venus</v>
      </c>
      <c r="G702" s="367">
        <f t="shared" si="657"/>
        <v>6</v>
      </c>
      <c r="H702" s="367" t="str">
        <f t="shared" si="652"/>
        <v>rahu</v>
      </c>
      <c r="I702" s="369">
        <f t="shared" si="655"/>
        <v>52130.5</v>
      </c>
      <c r="J702" s="377">
        <f t="shared" si="653"/>
        <v>168</v>
      </c>
      <c r="K702" s="369">
        <f t="shared" si="658"/>
        <v>52298.5</v>
      </c>
      <c r="L702" s="360">
        <f t="shared" si="656"/>
        <v>617</v>
      </c>
      <c r="O702" s="381"/>
    </row>
    <row r="703" spans="1:15">
      <c r="A703" s="355">
        <f t="shared" si="654"/>
        <v>618</v>
      </c>
      <c r="B703" s="372">
        <f t="shared" si="650"/>
        <v>52298.5</v>
      </c>
      <c r="C703" s="357">
        <f t="shared" si="621"/>
        <v>6</v>
      </c>
      <c r="D703" s="358" t="str">
        <f t="shared" si="622"/>
        <v>rahu</v>
      </c>
      <c r="E703" s="368">
        <f t="shared" si="651"/>
        <v>2</v>
      </c>
      <c r="F703" s="367" t="str">
        <f t="shared" si="636"/>
        <v>venus</v>
      </c>
      <c r="G703" s="367">
        <f t="shared" si="657"/>
        <v>7</v>
      </c>
      <c r="H703" s="367" t="str">
        <f t="shared" si="652"/>
        <v>jupiter</v>
      </c>
      <c r="I703" s="369">
        <f t="shared" si="655"/>
        <v>52298.5</v>
      </c>
      <c r="J703" s="377">
        <f t="shared" si="653"/>
        <v>145</v>
      </c>
      <c r="K703" s="369">
        <f t="shared" si="658"/>
        <v>52443.5</v>
      </c>
      <c r="L703" s="360">
        <f t="shared" si="656"/>
        <v>618</v>
      </c>
      <c r="O703" s="381"/>
    </row>
    <row r="704" spans="1:15">
      <c r="A704" s="355">
        <f t="shared" si="654"/>
        <v>619</v>
      </c>
      <c r="B704" s="372">
        <f t="shared" si="650"/>
        <v>52443.5</v>
      </c>
      <c r="C704" s="357">
        <f t="shared" si="621"/>
        <v>6</v>
      </c>
      <c r="D704" s="358" t="str">
        <f t="shared" si="622"/>
        <v>rahu</v>
      </c>
      <c r="E704" s="368">
        <f t="shared" si="651"/>
        <v>2</v>
      </c>
      <c r="F704" s="367" t="str">
        <f t="shared" si="636"/>
        <v>venus</v>
      </c>
      <c r="G704" s="367">
        <f t="shared" si="657"/>
        <v>8</v>
      </c>
      <c r="H704" s="367" t="str">
        <f t="shared" si="652"/>
        <v>saturn</v>
      </c>
      <c r="I704" s="369">
        <f t="shared" si="655"/>
        <v>52443.5</v>
      </c>
      <c r="J704" s="377">
        <f t="shared" si="653"/>
        <v>179</v>
      </c>
      <c r="K704" s="369">
        <f t="shared" si="658"/>
        <v>52622.5</v>
      </c>
      <c r="L704" s="360">
        <f t="shared" si="656"/>
        <v>619</v>
      </c>
      <c r="O704" s="381"/>
    </row>
    <row r="705" spans="1:15">
      <c r="A705" s="355">
        <f t="shared" si="654"/>
        <v>620</v>
      </c>
      <c r="B705" s="372">
        <f t="shared" si="650"/>
        <v>52622.5</v>
      </c>
      <c r="C705" s="357">
        <f t="shared" si="621"/>
        <v>6</v>
      </c>
      <c r="D705" s="358" t="str">
        <f t="shared" si="622"/>
        <v>rahu</v>
      </c>
      <c r="E705" s="368">
        <f t="shared" si="651"/>
        <v>2</v>
      </c>
      <c r="F705" s="367" t="str">
        <f t="shared" si="636"/>
        <v>venus</v>
      </c>
      <c r="G705" s="367">
        <f t="shared" si="657"/>
        <v>9</v>
      </c>
      <c r="H705" s="367" t="str">
        <f t="shared" si="652"/>
        <v>mercury</v>
      </c>
      <c r="I705" s="369">
        <f t="shared" si="655"/>
        <v>52622.5</v>
      </c>
      <c r="J705" s="377">
        <f t="shared" si="653"/>
        <v>157</v>
      </c>
      <c r="K705" s="369">
        <f t="shared" si="658"/>
        <v>52779.5</v>
      </c>
      <c r="L705" s="360">
        <f t="shared" si="656"/>
        <v>620</v>
      </c>
      <c r="O705" s="381"/>
    </row>
    <row r="706" spans="1:15">
      <c r="A706" s="355">
        <f t="shared" si="654"/>
        <v>621</v>
      </c>
      <c r="B706" s="372">
        <f t="shared" si="650"/>
        <v>52779.5</v>
      </c>
      <c r="C706" s="357">
        <f t="shared" si="621"/>
        <v>6</v>
      </c>
      <c r="D706" s="358" t="str">
        <f t="shared" si="622"/>
        <v>rahu</v>
      </c>
      <c r="E706" s="368">
        <f t="shared" si="651"/>
        <v>2</v>
      </c>
      <c r="F706" s="367" t="str">
        <f t="shared" si="636"/>
        <v>venus</v>
      </c>
      <c r="G706" s="367">
        <f t="shared" si="657"/>
        <v>1</v>
      </c>
      <c r="H706" s="367" t="str">
        <f t="shared" si="652"/>
        <v>ketu</v>
      </c>
      <c r="I706" s="369">
        <f t="shared" si="655"/>
        <v>52779.5</v>
      </c>
      <c r="J706" s="377">
        <f t="shared" si="653"/>
        <v>67</v>
      </c>
      <c r="K706" s="369">
        <f t="shared" si="658"/>
        <v>52846.5</v>
      </c>
      <c r="L706" s="360">
        <f t="shared" si="656"/>
        <v>621</v>
      </c>
      <c r="N706" s="358">
        <f>SUM(J698:J706)</f>
        <v>1118</v>
      </c>
      <c r="O706" s="381"/>
    </row>
    <row r="707" spans="1:15">
      <c r="A707" s="399"/>
      <c r="B707" s="386"/>
      <c r="C707" s="387">
        <f>C697</f>
        <v>6</v>
      </c>
      <c r="D707" s="373" t="str">
        <f>D697</f>
        <v>rahu</v>
      </c>
      <c r="E707" s="393">
        <f>IF(E697+1&gt;9,E697+1-9,E697+1)</f>
        <v>3</v>
      </c>
      <c r="F707" s="389" t="str">
        <f t="shared" si="636"/>
        <v>sun</v>
      </c>
      <c r="G707" s="389"/>
      <c r="H707" s="389"/>
      <c r="I707" s="390">
        <f>K697</f>
        <v>52846.5</v>
      </c>
      <c r="J707" s="373">
        <f>ROUND(J$646*VLOOKUP(E707,$A$848:$E$856,5,FALSE),0)</f>
        <v>329</v>
      </c>
      <c r="K707" s="390">
        <f>I707+J707</f>
        <v>53175.5</v>
      </c>
      <c r="L707" s="400"/>
      <c r="M707" s="373"/>
      <c r="N707" s="373"/>
      <c r="O707" s="381"/>
    </row>
    <row r="708" spans="1:15">
      <c r="A708" s="355">
        <f>A706+1</f>
        <v>622</v>
      </c>
      <c r="B708" s="372">
        <f>I708</f>
        <v>52846.5</v>
      </c>
      <c r="C708" s="357">
        <f t="shared" si="621"/>
        <v>6</v>
      </c>
      <c r="D708" s="358" t="str">
        <f t="shared" si="622"/>
        <v>rahu</v>
      </c>
      <c r="E708" s="368">
        <f t="shared" ref="E708:E716" si="659">E707</f>
        <v>3</v>
      </c>
      <c r="F708" s="367" t="str">
        <f t="shared" si="636"/>
        <v>sun</v>
      </c>
      <c r="G708" s="367">
        <f>E708</f>
        <v>3</v>
      </c>
      <c r="H708" s="367" t="str">
        <f t="shared" ref="H708:H716" si="660">VLOOKUP(G708,$A$848:$B$856,2,FALSE)</f>
        <v>sun</v>
      </c>
      <c r="I708" s="369">
        <f>K706</f>
        <v>52846.5</v>
      </c>
      <c r="J708" s="377">
        <f t="shared" ref="J708:J716" si="661">ROUND(J$707*VLOOKUP(G708,$A$848:$E$856,5,FALSE),0)</f>
        <v>16</v>
      </c>
      <c r="K708" s="369">
        <f>I708+J708</f>
        <v>52862.5</v>
      </c>
      <c r="L708" s="360">
        <f>L706+1</f>
        <v>622</v>
      </c>
      <c r="O708" s="381"/>
    </row>
    <row r="709" spans="1:15">
      <c r="A709" s="355">
        <f t="shared" ref="A709:A716" si="662">A708+1</f>
        <v>623</v>
      </c>
      <c r="B709" s="372">
        <f>K709</f>
        <v>52888.5</v>
      </c>
      <c r="C709" s="357">
        <f>C708</f>
        <v>6</v>
      </c>
      <c r="D709" s="358" t="str">
        <f>D708</f>
        <v>rahu</v>
      </c>
      <c r="E709" s="368">
        <f t="shared" si="659"/>
        <v>3</v>
      </c>
      <c r="F709" s="367" t="str">
        <f t="shared" si="636"/>
        <v>sun</v>
      </c>
      <c r="G709" s="367">
        <f>IF(G708+1&gt;9,G708+1-9,G708+1)</f>
        <v>4</v>
      </c>
      <c r="H709" s="367" t="str">
        <f t="shared" si="660"/>
        <v>moon</v>
      </c>
      <c r="I709" s="369">
        <f>K708</f>
        <v>52862.5</v>
      </c>
      <c r="J709" s="377">
        <f t="shared" si="661"/>
        <v>26</v>
      </c>
      <c r="K709" s="369">
        <f>I709+J709</f>
        <v>52888.5</v>
      </c>
      <c r="L709" s="360">
        <f t="shared" ref="L709:L716" si="663">L708+1</f>
        <v>623</v>
      </c>
      <c r="O709" s="381"/>
    </row>
    <row r="710" spans="1:15">
      <c r="A710" s="355">
        <f t="shared" si="662"/>
        <v>624</v>
      </c>
      <c r="B710" s="372">
        <f>K710</f>
        <v>52908.5</v>
      </c>
      <c r="C710" s="357">
        <f t="shared" si="621"/>
        <v>6</v>
      </c>
      <c r="D710" s="358" t="str">
        <f t="shared" si="622"/>
        <v>rahu</v>
      </c>
      <c r="E710" s="368">
        <f t="shared" si="659"/>
        <v>3</v>
      </c>
      <c r="F710" s="367" t="str">
        <f t="shared" si="636"/>
        <v>sun</v>
      </c>
      <c r="G710" s="367">
        <f>IF(G709+1&gt;9,G709+1-9,G709+1)</f>
        <v>5</v>
      </c>
      <c r="H710" s="367" t="str">
        <f t="shared" si="660"/>
        <v>mars</v>
      </c>
      <c r="I710" s="369">
        <f t="shared" ref="I710:I716" si="664">K709</f>
        <v>52888.5</v>
      </c>
      <c r="J710" s="377">
        <f t="shared" si="661"/>
        <v>20</v>
      </c>
      <c r="K710" s="369">
        <f>I710+J710</f>
        <v>52908.5</v>
      </c>
      <c r="L710" s="360">
        <f t="shared" si="663"/>
        <v>624</v>
      </c>
      <c r="O710" s="381"/>
    </row>
    <row r="711" spans="1:15">
      <c r="A711" s="355">
        <f t="shared" si="662"/>
        <v>625</v>
      </c>
      <c r="B711" s="372">
        <f t="shared" ref="B711:B716" si="665">K711</f>
        <v>52957.5</v>
      </c>
      <c r="C711" s="357">
        <f t="shared" si="621"/>
        <v>6</v>
      </c>
      <c r="D711" s="358" t="str">
        <f t="shared" si="622"/>
        <v>rahu</v>
      </c>
      <c r="E711" s="368">
        <f t="shared" si="659"/>
        <v>3</v>
      </c>
      <c r="F711" s="367" t="str">
        <f t="shared" ref="F711:F736" si="666">VLOOKUP(E711,$A$848:$B$856,2,FALSE)</f>
        <v>sun</v>
      </c>
      <c r="G711" s="367">
        <f t="shared" ref="G711:G716" si="667">IF(G710+1&gt;9,G710+1-9,G710+1)</f>
        <v>6</v>
      </c>
      <c r="H711" s="367" t="str">
        <f t="shared" si="660"/>
        <v>rahu</v>
      </c>
      <c r="I711" s="369">
        <f t="shared" si="664"/>
        <v>52908.5</v>
      </c>
      <c r="J711" s="377">
        <f t="shared" si="661"/>
        <v>49</v>
      </c>
      <c r="K711" s="369">
        <f t="shared" ref="K711:K716" si="668">I711+J711</f>
        <v>52957.5</v>
      </c>
      <c r="L711" s="360">
        <f t="shared" si="663"/>
        <v>625</v>
      </c>
      <c r="O711" s="381"/>
    </row>
    <row r="712" spans="1:15">
      <c r="A712" s="355">
        <f t="shared" si="662"/>
        <v>626</v>
      </c>
      <c r="B712" s="372">
        <f t="shared" si="665"/>
        <v>53000.5</v>
      </c>
      <c r="C712" s="357">
        <f t="shared" si="621"/>
        <v>6</v>
      </c>
      <c r="D712" s="358" t="str">
        <f t="shared" si="622"/>
        <v>rahu</v>
      </c>
      <c r="E712" s="368">
        <f t="shared" si="659"/>
        <v>3</v>
      </c>
      <c r="F712" s="367" t="str">
        <f t="shared" si="666"/>
        <v>sun</v>
      </c>
      <c r="G712" s="367">
        <f t="shared" si="667"/>
        <v>7</v>
      </c>
      <c r="H712" s="367" t="str">
        <f t="shared" si="660"/>
        <v>jupiter</v>
      </c>
      <c r="I712" s="369">
        <f t="shared" si="664"/>
        <v>52957.5</v>
      </c>
      <c r="J712" s="377">
        <f t="shared" si="661"/>
        <v>43</v>
      </c>
      <c r="K712" s="369">
        <f t="shared" si="668"/>
        <v>53000.5</v>
      </c>
      <c r="L712" s="360">
        <f t="shared" si="663"/>
        <v>626</v>
      </c>
      <c r="O712" s="381"/>
    </row>
    <row r="713" spans="1:15">
      <c r="A713" s="355">
        <f t="shared" si="662"/>
        <v>627</v>
      </c>
      <c r="B713" s="372">
        <f t="shared" si="665"/>
        <v>53053.5</v>
      </c>
      <c r="C713" s="357">
        <f t="shared" si="621"/>
        <v>6</v>
      </c>
      <c r="D713" s="358" t="str">
        <f t="shared" si="622"/>
        <v>rahu</v>
      </c>
      <c r="E713" s="368">
        <f t="shared" si="659"/>
        <v>3</v>
      </c>
      <c r="F713" s="367" t="str">
        <f t="shared" si="666"/>
        <v>sun</v>
      </c>
      <c r="G713" s="367">
        <f t="shared" si="667"/>
        <v>8</v>
      </c>
      <c r="H713" s="367" t="str">
        <f t="shared" si="660"/>
        <v>saturn</v>
      </c>
      <c r="I713" s="369">
        <f t="shared" si="664"/>
        <v>53000.5</v>
      </c>
      <c r="J713" s="377">
        <f t="shared" si="661"/>
        <v>53</v>
      </c>
      <c r="K713" s="369">
        <f t="shared" si="668"/>
        <v>53053.5</v>
      </c>
      <c r="L713" s="360">
        <f t="shared" si="663"/>
        <v>627</v>
      </c>
      <c r="O713" s="381"/>
    </row>
    <row r="714" spans="1:15">
      <c r="A714" s="355">
        <f t="shared" si="662"/>
        <v>628</v>
      </c>
      <c r="B714" s="372">
        <f t="shared" si="665"/>
        <v>53099.5</v>
      </c>
      <c r="C714" s="357">
        <f t="shared" si="621"/>
        <v>6</v>
      </c>
      <c r="D714" s="358" t="str">
        <f t="shared" si="622"/>
        <v>rahu</v>
      </c>
      <c r="E714" s="368">
        <f t="shared" si="659"/>
        <v>3</v>
      </c>
      <c r="F714" s="367" t="str">
        <f t="shared" si="666"/>
        <v>sun</v>
      </c>
      <c r="G714" s="367">
        <f t="shared" si="667"/>
        <v>9</v>
      </c>
      <c r="H714" s="367" t="str">
        <f t="shared" si="660"/>
        <v>mercury</v>
      </c>
      <c r="I714" s="369">
        <f t="shared" si="664"/>
        <v>53053.5</v>
      </c>
      <c r="J714" s="377">
        <f t="shared" si="661"/>
        <v>46</v>
      </c>
      <c r="K714" s="369">
        <f t="shared" si="668"/>
        <v>53099.5</v>
      </c>
      <c r="L714" s="360">
        <f t="shared" si="663"/>
        <v>628</v>
      </c>
      <c r="O714" s="381"/>
    </row>
    <row r="715" spans="1:15">
      <c r="A715" s="355">
        <f t="shared" si="662"/>
        <v>629</v>
      </c>
      <c r="B715" s="372">
        <f t="shared" si="665"/>
        <v>53119.5</v>
      </c>
      <c r="C715" s="357">
        <f t="shared" si="621"/>
        <v>6</v>
      </c>
      <c r="D715" s="358" t="str">
        <f t="shared" si="622"/>
        <v>rahu</v>
      </c>
      <c r="E715" s="368">
        <f t="shared" si="659"/>
        <v>3</v>
      </c>
      <c r="F715" s="367" t="str">
        <f t="shared" si="666"/>
        <v>sun</v>
      </c>
      <c r="G715" s="367">
        <f t="shared" si="667"/>
        <v>1</v>
      </c>
      <c r="H715" s="367" t="str">
        <f t="shared" si="660"/>
        <v>ketu</v>
      </c>
      <c r="I715" s="369">
        <f t="shared" si="664"/>
        <v>53099.5</v>
      </c>
      <c r="J715" s="377">
        <f t="shared" si="661"/>
        <v>20</v>
      </c>
      <c r="K715" s="369">
        <f t="shared" si="668"/>
        <v>53119.5</v>
      </c>
      <c r="L715" s="360">
        <f t="shared" si="663"/>
        <v>629</v>
      </c>
      <c r="O715" s="381"/>
    </row>
    <row r="716" spans="1:15">
      <c r="A716" s="355">
        <f t="shared" si="662"/>
        <v>630</v>
      </c>
      <c r="B716" s="372">
        <f t="shared" si="665"/>
        <v>53175.5</v>
      </c>
      <c r="C716" s="357">
        <f t="shared" si="621"/>
        <v>6</v>
      </c>
      <c r="D716" s="358" t="str">
        <f t="shared" si="622"/>
        <v>rahu</v>
      </c>
      <c r="E716" s="368">
        <f t="shared" si="659"/>
        <v>3</v>
      </c>
      <c r="F716" s="367" t="str">
        <f t="shared" si="666"/>
        <v>sun</v>
      </c>
      <c r="G716" s="367">
        <f t="shared" si="667"/>
        <v>2</v>
      </c>
      <c r="H716" s="367" t="str">
        <f t="shared" si="660"/>
        <v>venus</v>
      </c>
      <c r="I716" s="369">
        <f t="shared" si="664"/>
        <v>53119.5</v>
      </c>
      <c r="J716" s="377">
        <f t="shared" si="661"/>
        <v>56</v>
      </c>
      <c r="K716" s="369">
        <f t="shared" si="668"/>
        <v>53175.5</v>
      </c>
      <c r="L716" s="360">
        <f t="shared" si="663"/>
        <v>630</v>
      </c>
      <c r="N716" s="358">
        <f>SUM(J708:J716)</f>
        <v>329</v>
      </c>
      <c r="O716" s="381"/>
    </row>
    <row r="717" spans="1:15">
      <c r="A717" s="399"/>
      <c r="B717" s="386"/>
      <c r="C717" s="387">
        <f>C707</f>
        <v>6</v>
      </c>
      <c r="D717" s="373" t="str">
        <f>D707</f>
        <v>rahu</v>
      </c>
      <c r="E717" s="393">
        <f>IF(E707+1&gt;9,E707+1-9,E707+1)</f>
        <v>4</v>
      </c>
      <c r="F717" s="389" t="str">
        <f t="shared" si="666"/>
        <v>moon</v>
      </c>
      <c r="G717" s="389"/>
      <c r="H717" s="389"/>
      <c r="I717" s="390">
        <f>K707</f>
        <v>53175.5</v>
      </c>
      <c r="J717" s="373">
        <f>ROUND(J$646*VLOOKUP(E717,$A$848:$E$856,5,FALSE),0)</f>
        <v>526</v>
      </c>
      <c r="K717" s="390">
        <f>I717+J717</f>
        <v>53701.5</v>
      </c>
      <c r="L717" s="400"/>
      <c r="M717" s="373"/>
      <c r="N717" s="373"/>
      <c r="O717" s="381"/>
    </row>
    <row r="718" spans="1:15">
      <c r="A718" s="355">
        <f>A716+1</f>
        <v>631</v>
      </c>
      <c r="B718" s="372">
        <f>K718</f>
        <v>53217.5</v>
      </c>
      <c r="C718" s="357">
        <f>C717</f>
        <v>6</v>
      </c>
      <c r="D718" s="358" t="str">
        <f>D717</f>
        <v>rahu</v>
      </c>
      <c r="E718" s="368">
        <f>E717</f>
        <v>4</v>
      </c>
      <c r="F718" s="367" t="str">
        <f t="shared" si="666"/>
        <v>moon</v>
      </c>
      <c r="G718" s="367">
        <f>E718</f>
        <v>4</v>
      </c>
      <c r="H718" s="367" t="str">
        <f t="shared" ref="H718:H726" si="669">VLOOKUP(G718,$A$848:$B$856,2,FALSE)</f>
        <v>moon</v>
      </c>
      <c r="I718" s="369">
        <f>K716</f>
        <v>53175.5</v>
      </c>
      <c r="J718" s="377">
        <f t="shared" ref="J718:J726" si="670">ROUND(J$717*VLOOKUP(G718,$A$848:$E$856,5,FALSE),0)</f>
        <v>42</v>
      </c>
      <c r="K718" s="369">
        <f>I718+J718</f>
        <v>53217.5</v>
      </c>
      <c r="L718" s="360">
        <f>L716+1</f>
        <v>631</v>
      </c>
      <c r="O718" s="381"/>
    </row>
    <row r="719" spans="1:15">
      <c r="A719" s="355">
        <f t="shared" ref="A719:A726" si="671">A718+1</f>
        <v>632</v>
      </c>
      <c r="B719" s="372">
        <f>K719</f>
        <v>53249.5</v>
      </c>
      <c r="C719" s="357">
        <f t="shared" si="621"/>
        <v>6</v>
      </c>
      <c r="D719" s="358" t="str">
        <f t="shared" si="622"/>
        <v>rahu</v>
      </c>
      <c r="E719" s="368">
        <f t="shared" ref="E719:E726" si="672">E718</f>
        <v>4</v>
      </c>
      <c r="F719" s="367" t="str">
        <f t="shared" si="666"/>
        <v>moon</v>
      </c>
      <c r="G719" s="367">
        <f>IF(G718+1&gt;9,G718+1-9,G718+1)</f>
        <v>5</v>
      </c>
      <c r="H719" s="367" t="str">
        <f t="shared" si="669"/>
        <v>mars</v>
      </c>
      <c r="I719" s="369">
        <f t="shared" ref="I719:I726" si="673">K718</f>
        <v>53217.5</v>
      </c>
      <c r="J719" s="377">
        <f t="shared" si="670"/>
        <v>32</v>
      </c>
      <c r="K719" s="369">
        <f>I719+J719</f>
        <v>53249.5</v>
      </c>
      <c r="L719" s="360">
        <f t="shared" ref="L719:L726" si="674">L718+1</f>
        <v>632</v>
      </c>
      <c r="O719" s="381"/>
    </row>
    <row r="720" spans="1:15">
      <c r="A720" s="355">
        <f t="shared" si="671"/>
        <v>633</v>
      </c>
      <c r="B720" s="372">
        <f t="shared" ref="B720:B726" si="675">K720</f>
        <v>53328.5</v>
      </c>
      <c r="C720" s="357">
        <f t="shared" si="621"/>
        <v>6</v>
      </c>
      <c r="D720" s="358" t="str">
        <f t="shared" si="622"/>
        <v>rahu</v>
      </c>
      <c r="E720" s="368">
        <f t="shared" si="672"/>
        <v>4</v>
      </c>
      <c r="F720" s="367" t="str">
        <f t="shared" si="666"/>
        <v>moon</v>
      </c>
      <c r="G720" s="367">
        <f t="shared" ref="G720:G726" si="676">IF(G719+1&gt;9,G719+1-9,G719+1)</f>
        <v>6</v>
      </c>
      <c r="H720" s="367" t="str">
        <f t="shared" si="669"/>
        <v>rahu</v>
      </c>
      <c r="I720" s="369">
        <f t="shared" si="673"/>
        <v>53249.5</v>
      </c>
      <c r="J720" s="377">
        <f t="shared" si="670"/>
        <v>79</v>
      </c>
      <c r="K720" s="369">
        <f t="shared" ref="K720:K726" si="677">I720+J720</f>
        <v>53328.5</v>
      </c>
      <c r="L720" s="360">
        <f t="shared" si="674"/>
        <v>633</v>
      </c>
      <c r="O720" s="381"/>
    </row>
    <row r="721" spans="1:16">
      <c r="A721" s="355">
        <f t="shared" si="671"/>
        <v>634</v>
      </c>
      <c r="B721" s="372">
        <f t="shared" si="675"/>
        <v>53396.5</v>
      </c>
      <c r="C721" s="357">
        <f t="shared" si="621"/>
        <v>6</v>
      </c>
      <c r="D721" s="358" t="str">
        <f t="shared" si="622"/>
        <v>rahu</v>
      </c>
      <c r="E721" s="368">
        <f t="shared" si="672"/>
        <v>4</v>
      </c>
      <c r="F721" s="367" t="str">
        <f t="shared" si="666"/>
        <v>moon</v>
      </c>
      <c r="G721" s="367">
        <f t="shared" si="676"/>
        <v>7</v>
      </c>
      <c r="H721" s="367" t="str">
        <f t="shared" si="669"/>
        <v>jupiter</v>
      </c>
      <c r="I721" s="369">
        <f t="shared" si="673"/>
        <v>53328.5</v>
      </c>
      <c r="J721" s="377">
        <f t="shared" si="670"/>
        <v>68</v>
      </c>
      <c r="K721" s="369">
        <f t="shared" si="677"/>
        <v>53396.5</v>
      </c>
      <c r="L721" s="360">
        <f t="shared" si="674"/>
        <v>634</v>
      </c>
      <c r="O721" s="381"/>
    </row>
    <row r="722" spans="1:16">
      <c r="A722" s="355">
        <f t="shared" si="671"/>
        <v>635</v>
      </c>
      <c r="B722" s="372">
        <f t="shared" si="675"/>
        <v>53480.5</v>
      </c>
      <c r="C722" s="357">
        <f t="shared" si="621"/>
        <v>6</v>
      </c>
      <c r="D722" s="358" t="str">
        <f t="shared" si="622"/>
        <v>rahu</v>
      </c>
      <c r="E722" s="368">
        <f t="shared" si="672"/>
        <v>4</v>
      </c>
      <c r="F722" s="367" t="str">
        <f t="shared" si="666"/>
        <v>moon</v>
      </c>
      <c r="G722" s="367">
        <f t="shared" si="676"/>
        <v>8</v>
      </c>
      <c r="H722" s="367" t="str">
        <f t="shared" si="669"/>
        <v>saturn</v>
      </c>
      <c r="I722" s="369">
        <f t="shared" si="673"/>
        <v>53396.5</v>
      </c>
      <c r="J722" s="377">
        <f t="shared" si="670"/>
        <v>84</v>
      </c>
      <c r="K722" s="369">
        <f t="shared" si="677"/>
        <v>53480.5</v>
      </c>
      <c r="L722" s="360">
        <f t="shared" si="674"/>
        <v>635</v>
      </c>
      <c r="O722" s="381"/>
    </row>
    <row r="723" spans="1:16">
      <c r="A723" s="355">
        <f t="shared" si="671"/>
        <v>636</v>
      </c>
      <c r="B723" s="372">
        <f t="shared" si="675"/>
        <v>53554.5</v>
      </c>
      <c r="C723" s="357">
        <f t="shared" si="621"/>
        <v>6</v>
      </c>
      <c r="D723" s="358" t="str">
        <f t="shared" si="622"/>
        <v>rahu</v>
      </c>
      <c r="E723" s="368">
        <f t="shared" si="672"/>
        <v>4</v>
      </c>
      <c r="F723" s="367" t="str">
        <f t="shared" si="666"/>
        <v>moon</v>
      </c>
      <c r="G723" s="367">
        <f t="shared" si="676"/>
        <v>9</v>
      </c>
      <c r="H723" s="367" t="str">
        <f t="shared" si="669"/>
        <v>mercury</v>
      </c>
      <c r="I723" s="369">
        <f t="shared" si="673"/>
        <v>53480.5</v>
      </c>
      <c r="J723" s="377">
        <f t="shared" si="670"/>
        <v>74</v>
      </c>
      <c r="K723" s="369">
        <f t="shared" si="677"/>
        <v>53554.5</v>
      </c>
      <c r="L723" s="360">
        <f t="shared" si="674"/>
        <v>636</v>
      </c>
      <c r="O723" s="381"/>
    </row>
    <row r="724" spans="1:16">
      <c r="A724" s="355">
        <f t="shared" si="671"/>
        <v>637</v>
      </c>
      <c r="B724" s="372">
        <f t="shared" si="675"/>
        <v>53586.5</v>
      </c>
      <c r="C724" s="357">
        <f t="shared" si="621"/>
        <v>6</v>
      </c>
      <c r="D724" s="358" t="str">
        <f t="shared" si="622"/>
        <v>rahu</v>
      </c>
      <c r="E724" s="368">
        <f t="shared" si="672"/>
        <v>4</v>
      </c>
      <c r="F724" s="367" t="str">
        <f t="shared" si="666"/>
        <v>moon</v>
      </c>
      <c r="G724" s="367">
        <f t="shared" si="676"/>
        <v>1</v>
      </c>
      <c r="H724" s="367" t="str">
        <f t="shared" si="669"/>
        <v>ketu</v>
      </c>
      <c r="I724" s="369">
        <f t="shared" si="673"/>
        <v>53554.5</v>
      </c>
      <c r="J724" s="377">
        <f t="shared" si="670"/>
        <v>32</v>
      </c>
      <c r="K724" s="369">
        <f t="shared" si="677"/>
        <v>53586.5</v>
      </c>
      <c r="L724" s="360">
        <f t="shared" si="674"/>
        <v>637</v>
      </c>
      <c r="O724" s="381"/>
    </row>
    <row r="725" spans="1:16">
      <c r="A725" s="355">
        <f t="shared" si="671"/>
        <v>638</v>
      </c>
      <c r="B725" s="372">
        <f t="shared" si="675"/>
        <v>53675.5</v>
      </c>
      <c r="C725" s="357">
        <f t="shared" si="621"/>
        <v>6</v>
      </c>
      <c r="D725" s="358" t="str">
        <f t="shared" si="622"/>
        <v>rahu</v>
      </c>
      <c r="E725" s="368">
        <f t="shared" si="672"/>
        <v>4</v>
      </c>
      <c r="F725" s="367" t="str">
        <f t="shared" si="666"/>
        <v>moon</v>
      </c>
      <c r="G725" s="367">
        <f t="shared" si="676"/>
        <v>2</v>
      </c>
      <c r="H725" s="367" t="str">
        <f t="shared" si="669"/>
        <v>venus</v>
      </c>
      <c r="I725" s="369">
        <f t="shared" si="673"/>
        <v>53586.5</v>
      </c>
      <c r="J725" s="377">
        <f t="shared" si="670"/>
        <v>89</v>
      </c>
      <c r="K725" s="369">
        <f t="shared" si="677"/>
        <v>53675.5</v>
      </c>
      <c r="L725" s="360">
        <f t="shared" si="674"/>
        <v>638</v>
      </c>
      <c r="O725" s="381"/>
    </row>
    <row r="726" spans="1:16">
      <c r="A726" s="355">
        <f t="shared" si="671"/>
        <v>639</v>
      </c>
      <c r="B726" s="372">
        <f t="shared" si="675"/>
        <v>53701.5</v>
      </c>
      <c r="C726" s="357">
        <f t="shared" si="621"/>
        <v>6</v>
      </c>
      <c r="D726" s="358" t="str">
        <f t="shared" si="622"/>
        <v>rahu</v>
      </c>
      <c r="E726" s="368">
        <f t="shared" si="672"/>
        <v>4</v>
      </c>
      <c r="F726" s="367" t="str">
        <f t="shared" si="666"/>
        <v>moon</v>
      </c>
      <c r="G726" s="367">
        <f t="shared" si="676"/>
        <v>3</v>
      </c>
      <c r="H726" s="367" t="str">
        <f t="shared" si="669"/>
        <v>sun</v>
      </c>
      <c r="I726" s="369">
        <f t="shared" si="673"/>
        <v>53675.5</v>
      </c>
      <c r="J726" s="377">
        <f t="shared" si="670"/>
        <v>26</v>
      </c>
      <c r="K726" s="369">
        <f t="shared" si="677"/>
        <v>53701.5</v>
      </c>
      <c r="L726" s="360">
        <f t="shared" si="674"/>
        <v>639</v>
      </c>
      <c r="N726" s="358">
        <f>SUM(J718:J726)</f>
        <v>526</v>
      </c>
      <c r="O726" s="381"/>
    </row>
    <row r="727" spans="1:16">
      <c r="A727" s="399"/>
      <c r="B727" s="386"/>
      <c r="C727" s="387">
        <f>C717</f>
        <v>6</v>
      </c>
      <c r="D727" s="373" t="str">
        <f>D717</f>
        <v>rahu</v>
      </c>
      <c r="E727" s="393">
        <f>IF(E717+1&gt;9,E717+1-9,E717+1)</f>
        <v>5</v>
      </c>
      <c r="F727" s="389" t="str">
        <f t="shared" si="666"/>
        <v>mars</v>
      </c>
      <c r="G727" s="389"/>
      <c r="H727" s="389"/>
      <c r="I727" s="390">
        <f>K717</f>
        <v>53701.5</v>
      </c>
      <c r="J727" s="373">
        <f>ROUND(J$646*VLOOKUP(E727,$A$848:$E$856,5,FALSE),0)</f>
        <v>394</v>
      </c>
      <c r="K727" s="390">
        <f>I727+J727</f>
        <v>54095.5</v>
      </c>
      <c r="L727" s="400"/>
      <c r="M727" s="373"/>
      <c r="N727" s="373"/>
      <c r="O727" s="381"/>
    </row>
    <row r="728" spans="1:16">
      <c r="A728" s="355">
        <f>A726+1</f>
        <v>640</v>
      </c>
      <c r="B728" s="372">
        <f>K728</f>
        <v>53725.5</v>
      </c>
      <c r="C728" s="357">
        <f t="shared" si="621"/>
        <v>6</v>
      </c>
      <c r="D728" s="358" t="str">
        <f t="shared" si="622"/>
        <v>rahu</v>
      </c>
      <c r="E728" s="368">
        <f t="shared" ref="E728:E736" si="678">E727</f>
        <v>5</v>
      </c>
      <c r="F728" s="367" t="str">
        <f t="shared" si="666"/>
        <v>mars</v>
      </c>
      <c r="G728" s="367">
        <f>E728</f>
        <v>5</v>
      </c>
      <c r="H728" s="367" t="str">
        <f t="shared" ref="H728:H736" si="679">VLOOKUP(G728,$A$848:$B$856,2,FALSE)</f>
        <v>mars</v>
      </c>
      <c r="I728" s="375">
        <f>K726</f>
        <v>53701.5</v>
      </c>
      <c r="J728" s="377">
        <f t="shared" ref="J728:J736" si="680">ROUND(J$727*VLOOKUP(G728,$A$848:$E$856,5,FALSE),0)</f>
        <v>24</v>
      </c>
      <c r="K728" s="375">
        <f>I728+J728</f>
        <v>53725.5</v>
      </c>
      <c r="L728" s="360">
        <f>L726+1</f>
        <v>640</v>
      </c>
      <c r="O728" s="381"/>
    </row>
    <row r="729" spans="1:16">
      <c r="A729" s="355">
        <f t="shared" ref="A729:A736" si="681">A728+1</f>
        <v>641</v>
      </c>
      <c r="B729" s="372">
        <f>K729</f>
        <v>53784.5</v>
      </c>
      <c r="C729" s="357">
        <f t="shared" si="621"/>
        <v>6</v>
      </c>
      <c r="D729" s="358" t="str">
        <f t="shared" si="622"/>
        <v>rahu</v>
      </c>
      <c r="E729" s="368">
        <f t="shared" si="678"/>
        <v>5</v>
      </c>
      <c r="F729" s="367" t="str">
        <f t="shared" si="666"/>
        <v>mars</v>
      </c>
      <c r="G729" s="367">
        <f>IF(G728+1&gt;9,G728+1-9,G728+1)</f>
        <v>6</v>
      </c>
      <c r="H729" s="367" t="str">
        <f t="shared" si="679"/>
        <v>rahu</v>
      </c>
      <c r="I729" s="375">
        <f t="shared" ref="I729:I736" si="682">K728</f>
        <v>53725.5</v>
      </c>
      <c r="J729" s="377">
        <f t="shared" si="680"/>
        <v>59</v>
      </c>
      <c r="K729" s="375">
        <f>I729+J729</f>
        <v>53784.5</v>
      </c>
      <c r="L729" s="360">
        <f t="shared" ref="L729:L736" si="683">L728+1</f>
        <v>641</v>
      </c>
      <c r="O729" s="381"/>
    </row>
    <row r="730" spans="1:16">
      <c r="A730" s="355">
        <f t="shared" si="681"/>
        <v>642</v>
      </c>
      <c r="B730" s="372">
        <f t="shared" ref="B730:B736" si="684">K730</f>
        <v>53835.5</v>
      </c>
      <c r="C730" s="357">
        <f t="shared" si="621"/>
        <v>6</v>
      </c>
      <c r="D730" s="358" t="str">
        <f t="shared" si="622"/>
        <v>rahu</v>
      </c>
      <c r="E730" s="368">
        <f t="shared" si="678"/>
        <v>5</v>
      </c>
      <c r="F730" s="367" t="str">
        <f t="shared" si="666"/>
        <v>mars</v>
      </c>
      <c r="G730" s="367">
        <f t="shared" ref="G730:G736" si="685">IF(G729+1&gt;9,G729+1-9,G729+1)</f>
        <v>7</v>
      </c>
      <c r="H730" s="367" t="str">
        <f t="shared" si="679"/>
        <v>jupiter</v>
      </c>
      <c r="I730" s="375">
        <f t="shared" si="682"/>
        <v>53784.5</v>
      </c>
      <c r="J730" s="377">
        <f t="shared" si="680"/>
        <v>51</v>
      </c>
      <c r="K730" s="375">
        <f t="shared" ref="K730:K736" si="686">I730+J730</f>
        <v>53835.5</v>
      </c>
      <c r="L730" s="360">
        <f t="shared" si="683"/>
        <v>642</v>
      </c>
      <c r="O730" s="381"/>
    </row>
    <row r="731" spans="1:16">
      <c r="A731" s="355">
        <f t="shared" si="681"/>
        <v>643</v>
      </c>
      <c r="B731" s="372">
        <f t="shared" si="684"/>
        <v>53898.5</v>
      </c>
      <c r="C731" s="357">
        <f t="shared" si="621"/>
        <v>6</v>
      </c>
      <c r="D731" s="358" t="str">
        <f t="shared" si="622"/>
        <v>rahu</v>
      </c>
      <c r="E731" s="368">
        <f t="shared" si="678"/>
        <v>5</v>
      </c>
      <c r="F731" s="367" t="str">
        <f t="shared" si="666"/>
        <v>mars</v>
      </c>
      <c r="G731" s="367">
        <f t="shared" si="685"/>
        <v>8</v>
      </c>
      <c r="H731" s="367" t="str">
        <f t="shared" si="679"/>
        <v>saturn</v>
      </c>
      <c r="I731" s="375">
        <f t="shared" si="682"/>
        <v>53835.5</v>
      </c>
      <c r="J731" s="377">
        <f t="shared" si="680"/>
        <v>63</v>
      </c>
      <c r="K731" s="375">
        <f t="shared" si="686"/>
        <v>53898.5</v>
      </c>
      <c r="L731" s="360">
        <f t="shared" si="683"/>
        <v>643</v>
      </c>
      <c r="O731" s="381"/>
    </row>
    <row r="732" spans="1:16">
      <c r="A732" s="355">
        <f t="shared" si="681"/>
        <v>644</v>
      </c>
      <c r="B732" s="372">
        <f t="shared" si="684"/>
        <v>53953.5</v>
      </c>
      <c r="C732" s="357">
        <f t="shared" si="621"/>
        <v>6</v>
      </c>
      <c r="D732" s="358" t="str">
        <f t="shared" si="622"/>
        <v>rahu</v>
      </c>
      <c r="E732" s="368">
        <f t="shared" si="678"/>
        <v>5</v>
      </c>
      <c r="F732" s="367" t="str">
        <f t="shared" si="666"/>
        <v>mars</v>
      </c>
      <c r="G732" s="367">
        <f t="shared" si="685"/>
        <v>9</v>
      </c>
      <c r="H732" s="367" t="str">
        <f t="shared" si="679"/>
        <v>mercury</v>
      </c>
      <c r="I732" s="375">
        <f t="shared" si="682"/>
        <v>53898.5</v>
      </c>
      <c r="J732" s="377">
        <f t="shared" si="680"/>
        <v>55</v>
      </c>
      <c r="K732" s="375">
        <f t="shared" si="686"/>
        <v>53953.5</v>
      </c>
      <c r="L732" s="360">
        <f t="shared" si="683"/>
        <v>644</v>
      </c>
      <c r="O732" s="381"/>
    </row>
    <row r="733" spans="1:16">
      <c r="A733" s="355">
        <f t="shared" si="681"/>
        <v>645</v>
      </c>
      <c r="B733" s="372">
        <f t="shared" si="684"/>
        <v>53977.5</v>
      </c>
      <c r="C733" s="357">
        <f t="shared" si="621"/>
        <v>6</v>
      </c>
      <c r="D733" s="358" t="str">
        <f t="shared" si="622"/>
        <v>rahu</v>
      </c>
      <c r="E733" s="368">
        <f t="shared" si="678"/>
        <v>5</v>
      </c>
      <c r="F733" s="367" t="str">
        <f t="shared" si="666"/>
        <v>mars</v>
      </c>
      <c r="G733" s="367">
        <f t="shared" si="685"/>
        <v>1</v>
      </c>
      <c r="H733" s="367" t="str">
        <f t="shared" si="679"/>
        <v>ketu</v>
      </c>
      <c r="I733" s="375">
        <f t="shared" si="682"/>
        <v>53953.5</v>
      </c>
      <c r="J733" s="377">
        <f t="shared" si="680"/>
        <v>24</v>
      </c>
      <c r="K733" s="375">
        <f t="shared" si="686"/>
        <v>53977.5</v>
      </c>
      <c r="L733" s="360">
        <f t="shared" si="683"/>
        <v>645</v>
      </c>
      <c r="O733" s="381"/>
    </row>
    <row r="734" spans="1:16">
      <c r="A734" s="355">
        <f t="shared" si="681"/>
        <v>646</v>
      </c>
      <c r="B734" s="372">
        <f t="shared" si="684"/>
        <v>54044.5</v>
      </c>
      <c r="C734" s="357">
        <f t="shared" si="621"/>
        <v>6</v>
      </c>
      <c r="D734" s="358" t="str">
        <f t="shared" si="622"/>
        <v>rahu</v>
      </c>
      <c r="E734" s="368">
        <f t="shared" si="678"/>
        <v>5</v>
      </c>
      <c r="F734" s="367" t="str">
        <f t="shared" si="666"/>
        <v>mars</v>
      </c>
      <c r="G734" s="367">
        <f t="shared" si="685"/>
        <v>2</v>
      </c>
      <c r="H734" s="367" t="str">
        <f t="shared" si="679"/>
        <v>venus</v>
      </c>
      <c r="I734" s="375">
        <f t="shared" si="682"/>
        <v>53977.5</v>
      </c>
      <c r="J734" s="377">
        <f t="shared" si="680"/>
        <v>67</v>
      </c>
      <c r="K734" s="375">
        <f t="shared" si="686"/>
        <v>54044.5</v>
      </c>
      <c r="L734" s="360">
        <f t="shared" si="683"/>
        <v>646</v>
      </c>
      <c r="O734" s="381"/>
    </row>
    <row r="735" spans="1:16">
      <c r="A735" s="355">
        <f t="shared" si="681"/>
        <v>647</v>
      </c>
      <c r="B735" s="372">
        <f t="shared" si="684"/>
        <v>54064.5</v>
      </c>
      <c r="C735" s="357">
        <f t="shared" si="621"/>
        <v>6</v>
      </c>
      <c r="D735" s="358" t="str">
        <f t="shared" si="622"/>
        <v>rahu</v>
      </c>
      <c r="E735" s="368">
        <f t="shared" si="678"/>
        <v>5</v>
      </c>
      <c r="F735" s="367" t="str">
        <f t="shared" si="666"/>
        <v>mars</v>
      </c>
      <c r="G735" s="367">
        <f t="shared" si="685"/>
        <v>3</v>
      </c>
      <c r="H735" s="367" t="str">
        <f t="shared" si="679"/>
        <v>sun</v>
      </c>
      <c r="I735" s="375">
        <f t="shared" si="682"/>
        <v>54044.5</v>
      </c>
      <c r="J735" s="377">
        <f t="shared" si="680"/>
        <v>20</v>
      </c>
      <c r="K735" s="375">
        <f t="shared" si="686"/>
        <v>54064.5</v>
      </c>
      <c r="L735" s="360">
        <f t="shared" si="683"/>
        <v>647</v>
      </c>
      <c r="O735" s="381"/>
    </row>
    <row r="736" spans="1:16" ht="13.8" thickBot="1">
      <c r="A736" s="355">
        <f t="shared" si="681"/>
        <v>648</v>
      </c>
      <c r="B736" s="372">
        <f t="shared" si="684"/>
        <v>54096.5</v>
      </c>
      <c r="C736" s="357">
        <f t="shared" si="621"/>
        <v>6</v>
      </c>
      <c r="D736" s="358" t="str">
        <f t="shared" si="622"/>
        <v>rahu</v>
      </c>
      <c r="E736" s="368">
        <f t="shared" si="678"/>
        <v>5</v>
      </c>
      <c r="F736" s="367" t="str">
        <f t="shared" si="666"/>
        <v>mars</v>
      </c>
      <c r="G736" s="367">
        <f t="shared" si="685"/>
        <v>4</v>
      </c>
      <c r="H736" s="367" t="str">
        <f t="shared" si="679"/>
        <v>moon</v>
      </c>
      <c r="I736" s="375">
        <f t="shared" si="682"/>
        <v>54064.5</v>
      </c>
      <c r="J736" s="377">
        <f t="shared" si="680"/>
        <v>32</v>
      </c>
      <c r="K736" s="375">
        <f t="shared" si="686"/>
        <v>54096.5</v>
      </c>
      <c r="L736" s="360">
        <f t="shared" si="683"/>
        <v>648</v>
      </c>
      <c r="N736" s="358">
        <f>SUM(J728:J736)</f>
        <v>395</v>
      </c>
      <c r="O736" s="413" t="s">
        <v>554</v>
      </c>
      <c r="P736" s="413"/>
    </row>
    <row r="737" spans="1:16">
      <c r="A737" s="404"/>
      <c r="B737" s="405"/>
      <c r="C737" s="406">
        <f>IF(C646+1&gt;9,C646+1-9,C646+1)</f>
        <v>7</v>
      </c>
      <c r="D737" s="407" t="str">
        <f>VLOOKUP(C737,$A$848:$B$856,2,FALSE)</f>
        <v>jupiter</v>
      </c>
      <c r="E737" s="408"/>
      <c r="F737" s="383"/>
      <c r="G737" s="383"/>
      <c r="H737" s="383"/>
      <c r="I737" s="410">
        <f>K646</f>
        <v>54096</v>
      </c>
      <c r="J737" s="370">
        <f>VLOOKUP(C737,$A$848:$D$856,4,FALSE)</f>
        <v>5844</v>
      </c>
      <c r="K737" s="376">
        <f t="shared" ref="K737:K760" si="687">I737+J737</f>
        <v>59940</v>
      </c>
      <c r="L737" s="409"/>
      <c r="M737" s="376">
        <f>K646</f>
        <v>54096</v>
      </c>
      <c r="N737" s="370">
        <f>N656+N666+N676+N686+N696+N706+N716+N726+N736</f>
        <v>6575</v>
      </c>
      <c r="O737" s="413">
        <f>J646-N737</f>
        <v>-0.5</v>
      </c>
      <c r="P737" s="413">
        <f>K736-I737</f>
        <v>0.5</v>
      </c>
    </row>
    <row r="738" spans="1:16">
      <c r="A738" s="399"/>
      <c r="B738" s="386"/>
      <c r="C738" s="387">
        <f t="shared" ref="C738:C747" si="688">C737</f>
        <v>7</v>
      </c>
      <c r="D738" s="373" t="str">
        <f t="shared" ref="D738:D747" si="689">D737</f>
        <v>jupiter</v>
      </c>
      <c r="E738" s="388">
        <f t="shared" ref="E738:E747" si="690">C737</f>
        <v>7</v>
      </c>
      <c r="F738" s="389" t="str">
        <f t="shared" ref="F738:F769" si="691">VLOOKUP(E738,$A$848:$B$856,2,FALSE)</f>
        <v>jupiter</v>
      </c>
      <c r="G738" s="389"/>
      <c r="H738" s="389"/>
      <c r="I738" s="402">
        <f>I737</f>
        <v>54096</v>
      </c>
      <c r="J738" s="373">
        <f>ROUND(J$737*VLOOKUP(E738,$A$848:$E$856,5,FALSE),0)</f>
        <v>760</v>
      </c>
      <c r="K738" s="390">
        <f t="shared" si="687"/>
        <v>54856</v>
      </c>
      <c r="L738" s="400"/>
      <c r="M738" s="373"/>
      <c r="N738" s="373"/>
      <c r="O738" s="381"/>
    </row>
    <row r="739" spans="1:16" ht="13.8" thickBot="1">
      <c r="A739" s="355">
        <f>A736+1</f>
        <v>649</v>
      </c>
      <c r="B739" s="372">
        <f t="shared" ref="B739:B747" si="692">K739</f>
        <v>54195</v>
      </c>
      <c r="C739" s="357">
        <f t="shared" si="688"/>
        <v>7</v>
      </c>
      <c r="D739" s="358" t="str">
        <f t="shared" si="689"/>
        <v>jupiter</v>
      </c>
      <c r="E739" s="359">
        <f t="shared" si="690"/>
        <v>7</v>
      </c>
      <c r="F739" s="367" t="str">
        <f t="shared" si="691"/>
        <v>jupiter</v>
      </c>
      <c r="G739" s="367">
        <f>E738</f>
        <v>7</v>
      </c>
      <c r="H739" s="367" t="str">
        <f t="shared" ref="H739:H747" si="693">VLOOKUP(G739,$A$848:$B$856,2,FALSE)</f>
        <v>jupiter</v>
      </c>
      <c r="I739" s="403">
        <f>I737</f>
        <v>54096</v>
      </c>
      <c r="J739" s="377">
        <f t="shared" ref="J739:J747" si="694">ROUND(J$738*VLOOKUP(G739,$A$848:$E$856,5,FALSE),0)</f>
        <v>99</v>
      </c>
      <c r="K739" s="369">
        <f t="shared" si="687"/>
        <v>54195</v>
      </c>
      <c r="L739" s="360">
        <f>L736+1</f>
        <v>649</v>
      </c>
      <c r="O739" s="381"/>
    </row>
    <row r="740" spans="1:16">
      <c r="A740" s="355">
        <f t="shared" ref="A740:A747" si="695">A739+1</f>
        <v>650</v>
      </c>
      <c r="B740" s="372">
        <f t="shared" si="692"/>
        <v>54317</v>
      </c>
      <c r="C740" s="357">
        <f t="shared" si="688"/>
        <v>7</v>
      </c>
      <c r="D740" s="358" t="str">
        <f t="shared" si="689"/>
        <v>jupiter</v>
      </c>
      <c r="E740" s="359">
        <f t="shared" si="690"/>
        <v>7</v>
      </c>
      <c r="F740" s="367" t="str">
        <f t="shared" si="691"/>
        <v>jupiter</v>
      </c>
      <c r="G740" s="367">
        <f t="shared" ref="G740:G747" si="696">IF(G739+1&gt;9,G739+1-9,G739+1)</f>
        <v>8</v>
      </c>
      <c r="H740" s="367" t="str">
        <f t="shared" si="693"/>
        <v>saturn</v>
      </c>
      <c r="I740" s="369">
        <f>K739</f>
        <v>54195</v>
      </c>
      <c r="J740" s="377">
        <f t="shared" si="694"/>
        <v>122</v>
      </c>
      <c r="K740" s="369">
        <f t="shared" si="687"/>
        <v>54317</v>
      </c>
      <c r="L740" s="360">
        <f t="shared" ref="L740:L747" si="697">L739+1</f>
        <v>650</v>
      </c>
      <c r="O740" s="381"/>
    </row>
    <row r="741" spans="1:16">
      <c r="A741" s="355">
        <f t="shared" si="695"/>
        <v>651</v>
      </c>
      <c r="B741" s="372">
        <f t="shared" si="692"/>
        <v>54423</v>
      </c>
      <c r="C741" s="357">
        <f t="shared" si="688"/>
        <v>7</v>
      </c>
      <c r="D741" s="358" t="str">
        <f t="shared" si="689"/>
        <v>jupiter</v>
      </c>
      <c r="E741" s="359">
        <f t="shared" si="690"/>
        <v>7</v>
      </c>
      <c r="F741" s="367" t="str">
        <f t="shared" si="691"/>
        <v>jupiter</v>
      </c>
      <c r="G741" s="367">
        <f t="shared" si="696"/>
        <v>9</v>
      </c>
      <c r="H741" s="367" t="str">
        <f t="shared" si="693"/>
        <v>mercury</v>
      </c>
      <c r="I741" s="369">
        <f>K740</f>
        <v>54317</v>
      </c>
      <c r="J741" s="377">
        <f t="shared" si="694"/>
        <v>106</v>
      </c>
      <c r="K741" s="369">
        <f t="shared" si="687"/>
        <v>54423</v>
      </c>
      <c r="L741" s="360">
        <f t="shared" si="697"/>
        <v>651</v>
      </c>
      <c r="O741" s="381"/>
    </row>
    <row r="742" spans="1:16">
      <c r="A742" s="355">
        <f t="shared" si="695"/>
        <v>652</v>
      </c>
      <c r="B742" s="372">
        <f t="shared" si="692"/>
        <v>54469</v>
      </c>
      <c r="C742" s="357">
        <f t="shared" si="688"/>
        <v>7</v>
      </c>
      <c r="D742" s="358" t="str">
        <f t="shared" si="689"/>
        <v>jupiter</v>
      </c>
      <c r="E742" s="359">
        <f t="shared" si="690"/>
        <v>7</v>
      </c>
      <c r="F742" s="367" t="str">
        <f t="shared" si="691"/>
        <v>jupiter</v>
      </c>
      <c r="G742" s="367">
        <f t="shared" si="696"/>
        <v>1</v>
      </c>
      <c r="H742" s="367" t="str">
        <f t="shared" si="693"/>
        <v>ketu</v>
      </c>
      <c r="I742" s="369">
        <f t="shared" ref="I742:I747" si="698">K741</f>
        <v>54423</v>
      </c>
      <c r="J742" s="377">
        <f t="shared" si="694"/>
        <v>46</v>
      </c>
      <c r="K742" s="369">
        <f t="shared" si="687"/>
        <v>54469</v>
      </c>
      <c r="L742" s="360">
        <f t="shared" si="697"/>
        <v>652</v>
      </c>
      <c r="O742" s="381"/>
    </row>
    <row r="743" spans="1:16">
      <c r="A743" s="355">
        <f t="shared" si="695"/>
        <v>653</v>
      </c>
      <c r="B743" s="372">
        <f t="shared" si="692"/>
        <v>54598</v>
      </c>
      <c r="C743" s="357">
        <f t="shared" si="688"/>
        <v>7</v>
      </c>
      <c r="D743" s="358" t="str">
        <f t="shared" si="689"/>
        <v>jupiter</v>
      </c>
      <c r="E743" s="359">
        <f t="shared" si="690"/>
        <v>7</v>
      </c>
      <c r="F743" s="367" t="str">
        <f t="shared" si="691"/>
        <v>jupiter</v>
      </c>
      <c r="G743" s="367">
        <f t="shared" si="696"/>
        <v>2</v>
      </c>
      <c r="H743" s="367" t="str">
        <f t="shared" si="693"/>
        <v>venus</v>
      </c>
      <c r="I743" s="369">
        <f t="shared" si="698"/>
        <v>54469</v>
      </c>
      <c r="J743" s="377">
        <f t="shared" si="694"/>
        <v>129</v>
      </c>
      <c r="K743" s="369">
        <f t="shared" si="687"/>
        <v>54598</v>
      </c>
      <c r="L743" s="360">
        <f t="shared" si="697"/>
        <v>653</v>
      </c>
      <c r="O743" s="381"/>
    </row>
    <row r="744" spans="1:16">
      <c r="A744" s="355">
        <f t="shared" si="695"/>
        <v>654</v>
      </c>
      <c r="B744" s="372">
        <f t="shared" si="692"/>
        <v>54636</v>
      </c>
      <c r="C744" s="357">
        <f t="shared" si="688"/>
        <v>7</v>
      </c>
      <c r="D744" s="358" t="str">
        <f t="shared" si="689"/>
        <v>jupiter</v>
      </c>
      <c r="E744" s="359">
        <f t="shared" si="690"/>
        <v>7</v>
      </c>
      <c r="F744" s="367" t="str">
        <f t="shared" si="691"/>
        <v>jupiter</v>
      </c>
      <c r="G744" s="367">
        <f t="shared" si="696"/>
        <v>3</v>
      </c>
      <c r="H744" s="367" t="str">
        <f t="shared" si="693"/>
        <v>sun</v>
      </c>
      <c r="I744" s="369">
        <f t="shared" si="698"/>
        <v>54598</v>
      </c>
      <c r="J744" s="377">
        <f t="shared" si="694"/>
        <v>38</v>
      </c>
      <c r="K744" s="369">
        <f t="shared" si="687"/>
        <v>54636</v>
      </c>
      <c r="L744" s="360">
        <f t="shared" si="697"/>
        <v>654</v>
      </c>
      <c r="O744" s="381"/>
    </row>
    <row r="745" spans="1:16">
      <c r="A745" s="355">
        <f t="shared" si="695"/>
        <v>655</v>
      </c>
      <c r="B745" s="372">
        <f t="shared" si="692"/>
        <v>54697</v>
      </c>
      <c r="C745" s="357">
        <f t="shared" si="688"/>
        <v>7</v>
      </c>
      <c r="D745" s="358" t="str">
        <f t="shared" si="689"/>
        <v>jupiter</v>
      </c>
      <c r="E745" s="359">
        <f t="shared" si="690"/>
        <v>7</v>
      </c>
      <c r="F745" s="367" t="str">
        <f t="shared" si="691"/>
        <v>jupiter</v>
      </c>
      <c r="G745" s="367">
        <f t="shared" si="696"/>
        <v>4</v>
      </c>
      <c r="H745" s="367" t="str">
        <f t="shared" si="693"/>
        <v>moon</v>
      </c>
      <c r="I745" s="369">
        <f t="shared" si="698"/>
        <v>54636</v>
      </c>
      <c r="J745" s="377">
        <f t="shared" si="694"/>
        <v>61</v>
      </c>
      <c r="K745" s="369">
        <f t="shared" si="687"/>
        <v>54697</v>
      </c>
      <c r="L745" s="360">
        <f t="shared" si="697"/>
        <v>655</v>
      </c>
      <c r="O745" s="381"/>
    </row>
    <row r="746" spans="1:16">
      <c r="A746" s="355">
        <f t="shared" si="695"/>
        <v>656</v>
      </c>
      <c r="B746" s="372">
        <f t="shared" si="692"/>
        <v>54743</v>
      </c>
      <c r="C746" s="357">
        <f t="shared" si="688"/>
        <v>7</v>
      </c>
      <c r="D746" s="358" t="str">
        <f t="shared" si="689"/>
        <v>jupiter</v>
      </c>
      <c r="E746" s="359">
        <f t="shared" si="690"/>
        <v>7</v>
      </c>
      <c r="F746" s="367" t="str">
        <f t="shared" si="691"/>
        <v>jupiter</v>
      </c>
      <c r="G746" s="367">
        <f t="shared" si="696"/>
        <v>5</v>
      </c>
      <c r="H746" s="367" t="str">
        <f t="shared" si="693"/>
        <v>mars</v>
      </c>
      <c r="I746" s="369">
        <f t="shared" si="698"/>
        <v>54697</v>
      </c>
      <c r="J746" s="377">
        <f t="shared" si="694"/>
        <v>46</v>
      </c>
      <c r="K746" s="369">
        <f t="shared" si="687"/>
        <v>54743</v>
      </c>
      <c r="L746" s="360">
        <f t="shared" si="697"/>
        <v>656</v>
      </c>
      <c r="O746" s="381"/>
    </row>
    <row r="747" spans="1:16">
      <c r="A747" s="355">
        <f t="shared" si="695"/>
        <v>657</v>
      </c>
      <c r="B747" s="372">
        <f t="shared" si="692"/>
        <v>54857</v>
      </c>
      <c r="C747" s="357">
        <f t="shared" si="688"/>
        <v>7</v>
      </c>
      <c r="D747" s="358" t="str">
        <f t="shared" si="689"/>
        <v>jupiter</v>
      </c>
      <c r="E747" s="359">
        <f t="shared" si="690"/>
        <v>7</v>
      </c>
      <c r="F747" s="367" t="str">
        <f t="shared" si="691"/>
        <v>jupiter</v>
      </c>
      <c r="G747" s="367">
        <f t="shared" si="696"/>
        <v>6</v>
      </c>
      <c r="H747" s="367" t="str">
        <f t="shared" si="693"/>
        <v>rahu</v>
      </c>
      <c r="I747" s="369">
        <f t="shared" si="698"/>
        <v>54743</v>
      </c>
      <c r="J747" s="377">
        <f t="shared" si="694"/>
        <v>114</v>
      </c>
      <c r="K747" s="369">
        <f t="shared" si="687"/>
        <v>54857</v>
      </c>
      <c r="L747" s="360">
        <f t="shared" si="697"/>
        <v>657</v>
      </c>
      <c r="N747" s="358">
        <f>SUM(J739:J747)</f>
        <v>761</v>
      </c>
      <c r="O747" s="381"/>
    </row>
    <row r="748" spans="1:16">
      <c r="A748" s="399"/>
      <c r="B748" s="386"/>
      <c r="C748" s="387">
        <f>C747</f>
        <v>7</v>
      </c>
      <c r="D748" s="373" t="str">
        <f t="shared" ref="D748:D779" si="699">D738</f>
        <v>jupiter</v>
      </c>
      <c r="E748" s="393">
        <f>IF(E738+1&gt;9,E738+1-9,E738+1)</f>
        <v>8</v>
      </c>
      <c r="F748" s="389" t="str">
        <f t="shared" si="691"/>
        <v>saturn</v>
      </c>
      <c r="G748" s="389"/>
      <c r="H748" s="389"/>
      <c r="I748" s="390">
        <f>K738</f>
        <v>54856</v>
      </c>
      <c r="J748" s="373">
        <f>ROUND(J$737*VLOOKUP(E748,$A$848:$E$856,5,FALSE),0)</f>
        <v>935</v>
      </c>
      <c r="K748" s="390">
        <f t="shared" si="687"/>
        <v>55791</v>
      </c>
      <c r="L748" s="400"/>
      <c r="M748" s="373"/>
      <c r="N748" s="373"/>
      <c r="O748" s="381"/>
    </row>
    <row r="749" spans="1:16">
      <c r="A749" s="355">
        <f>A747+1</f>
        <v>658</v>
      </c>
      <c r="B749" s="372">
        <f>K749</f>
        <v>55007</v>
      </c>
      <c r="C749" s="357">
        <f>C748</f>
        <v>7</v>
      </c>
      <c r="D749" s="358" t="str">
        <f t="shared" si="699"/>
        <v>jupiter</v>
      </c>
      <c r="E749" s="368">
        <f>E748</f>
        <v>8</v>
      </c>
      <c r="F749" s="367" t="str">
        <f t="shared" si="691"/>
        <v>saturn</v>
      </c>
      <c r="G749" s="367">
        <f>E749</f>
        <v>8</v>
      </c>
      <c r="H749" s="367" t="str">
        <f t="shared" ref="H749:H757" si="700">VLOOKUP(G749,$A$848:$B$856,2,FALSE)</f>
        <v>saturn</v>
      </c>
      <c r="I749" s="369">
        <f>K747</f>
        <v>54857</v>
      </c>
      <c r="J749" s="377">
        <f t="shared" ref="J749:J757" si="701">ROUND(J$748*VLOOKUP(G749,$A$848:$E$856,5,FALSE),0)</f>
        <v>150</v>
      </c>
      <c r="K749" s="369">
        <f t="shared" si="687"/>
        <v>55007</v>
      </c>
      <c r="L749" s="360">
        <f>L747+1</f>
        <v>658</v>
      </c>
      <c r="O749" s="381"/>
    </row>
    <row r="750" spans="1:16">
      <c r="A750" s="355">
        <f t="shared" ref="A750:A757" si="702">A749+1</f>
        <v>659</v>
      </c>
      <c r="B750" s="372">
        <f>K750</f>
        <v>55138</v>
      </c>
      <c r="C750" s="357">
        <f t="shared" ref="C750:C769" si="703">C749</f>
        <v>7</v>
      </c>
      <c r="D750" s="358" t="str">
        <f t="shared" si="699"/>
        <v>jupiter</v>
      </c>
      <c r="E750" s="368">
        <f t="shared" ref="E750:E757" si="704">E749</f>
        <v>8</v>
      </c>
      <c r="F750" s="367" t="str">
        <f t="shared" si="691"/>
        <v>saturn</v>
      </c>
      <c r="G750" s="367">
        <f t="shared" ref="G750:G757" si="705">IF(G749+1&gt;9,G749+1-9,G749+1)</f>
        <v>9</v>
      </c>
      <c r="H750" s="367" t="str">
        <f t="shared" si="700"/>
        <v>mercury</v>
      </c>
      <c r="I750" s="369">
        <f t="shared" ref="I750:I757" si="706">K749</f>
        <v>55007</v>
      </c>
      <c r="J750" s="377">
        <f t="shared" si="701"/>
        <v>131</v>
      </c>
      <c r="K750" s="369">
        <f t="shared" si="687"/>
        <v>55138</v>
      </c>
      <c r="L750" s="360">
        <f t="shared" ref="L750:L757" si="707">L749+1</f>
        <v>659</v>
      </c>
      <c r="O750" s="381"/>
    </row>
    <row r="751" spans="1:16">
      <c r="A751" s="355">
        <f t="shared" si="702"/>
        <v>660</v>
      </c>
      <c r="B751" s="372">
        <f t="shared" ref="B751:B757" si="708">K751</f>
        <v>55194</v>
      </c>
      <c r="C751" s="357">
        <f t="shared" si="703"/>
        <v>7</v>
      </c>
      <c r="D751" s="358" t="str">
        <f t="shared" si="699"/>
        <v>jupiter</v>
      </c>
      <c r="E751" s="368">
        <f t="shared" si="704"/>
        <v>8</v>
      </c>
      <c r="F751" s="367" t="str">
        <f t="shared" si="691"/>
        <v>saturn</v>
      </c>
      <c r="G751" s="367">
        <f t="shared" si="705"/>
        <v>1</v>
      </c>
      <c r="H751" s="367" t="str">
        <f t="shared" si="700"/>
        <v>ketu</v>
      </c>
      <c r="I751" s="369">
        <f t="shared" si="706"/>
        <v>55138</v>
      </c>
      <c r="J751" s="377">
        <f t="shared" si="701"/>
        <v>56</v>
      </c>
      <c r="K751" s="369">
        <f t="shared" si="687"/>
        <v>55194</v>
      </c>
      <c r="L751" s="360">
        <f t="shared" si="707"/>
        <v>660</v>
      </c>
      <c r="O751" s="381"/>
    </row>
    <row r="752" spans="1:16">
      <c r="A752" s="355">
        <f t="shared" si="702"/>
        <v>661</v>
      </c>
      <c r="B752" s="372">
        <f t="shared" si="708"/>
        <v>55353</v>
      </c>
      <c r="C752" s="357">
        <f t="shared" si="703"/>
        <v>7</v>
      </c>
      <c r="D752" s="358" t="str">
        <f t="shared" si="699"/>
        <v>jupiter</v>
      </c>
      <c r="E752" s="368">
        <f t="shared" si="704"/>
        <v>8</v>
      </c>
      <c r="F752" s="367" t="str">
        <f t="shared" si="691"/>
        <v>saturn</v>
      </c>
      <c r="G752" s="367">
        <f t="shared" si="705"/>
        <v>2</v>
      </c>
      <c r="H752" s="367" t="str">
        <f t="shared" si="700"/>
        <v>venus</v>
      </c>
      <c r="I752" s="369">
        <f t="shared" si="706"/>
        <v>55194</v>
      </c>
      <c r="J752" s="377">
        <f t="shared" si="701"/>
        <v>159</v>
      </c>
      <c r="K752" s="369">
        <f t="shared" si="687"/>
        <v>55353</v>
      </c>
      <c r="L752" s="360">
        <f t="shared" si="707"/>
        <v>661</v>
      </c>
      <c r="O752" s="381"/>
    </row>
    <row r="753" spans="1:15">
      <c r="A753" s="355">
        <f t="shared" si="702"/>
        <v>662</v>
      </c>
      <c r="B753" s="372">
        <f t="shared" si="708"/>
        <v>55400</v>
      </c>
      <c r="C753" s="357">
        <f t="shared" si="703"/>
        <v>7</v>
      </c>
      <c r="D753" s="358" t="str">
        <f t="shared" si="699"/>
        <v>jupiter</v>
      </c>
      <c r="E753" s="368">
        <f t="shared" si="704"/>
        <v>8</v>
      </c>
      <c r="F753" s="367" t="str">
        <f t="shared" si="691"/>
        <v>saturn</v>
      </c>
      <c r="G753" s="367">
        <f t="shared" si="705"/>
        <v>3</v>
      </c>
      <c r="H753" s="367" t="str">
        <f t="shared" si="700"/>
        <v>sun</v>
      </c>
      <c r="I753" s="369">
        <f t="shared" si="706"/>
        <v>55353</v>
      </c>
      <c r="J753" s="377">
        <f t="shared" si="701"/>
        <v>47</v>
      </c>
      <c r="K753" s="369">
        <f t="shared" si="687"/>
        <v>55400</v>
      </c>
      <c r="L753" s="360">
        <f t="shared" si="707"/>
        <v>662</v>
      </c>
      <c r="O753" s="381"/>
    </row>
    <row r="754" spans="1:15">
      <c r="A754" s="355">
        <f t="shared" si="702"/>
        <v>663</v>
      </c>
      <c r="B754" s="372">
        <f t="shared" si="708"/>
        <v>55475</v>
      </c>
      <c r="C754" s="357">
        <f t="shared" si="703"/>
        <v>7</v>
      </c>
      <c r="D754" s="358" t="str">
        <f t="shared" si="699"/>
        <v>jupiter</v>
      </c>
      <c r="E754" s="368">
        <f t="shared" si="704"/>
        <v>8</v>
      </c>
      <c r="F754" s="367" t="str">
        <f t="shared" si="691"/>
        <v>saturn</v>
      </c>
      <c r="G754" s="367">
        <f t="shared" si="705"/>
        <v>4</v>
      </c>
      <c r="H754" s="367" t="str">
        <f t="shared" si="700"/>
        <v>moon</v>
      </c>
      <c r="I754" s="369">
        <f t="shared" si="706"/>
        <v>55400</v>
      </c>
      <c r="J754" s="377">
        <f t="shared" si="701"/>
        <v>75</v>
      </c>
      <c r="K754" s="369">
        <f t="shared" si="687"/>
        <v>55475</v>
      </c>
      <c r="L754" s="360">
        <f t="shared" si="707"/>
        <v>663</v>
      </c>
      <c r="O754" s="381"/>
    </row>
    <row r="755" spans="1:15">
      <c r="A755" s="355">
        <f t="shared" si="702"/>
        <v>664</v>
      </c>
      <c r="B755" s="372">
        <f t="shared" si="708"/>
        <v>55531</v>
      </c>
      <c r="C755" s="357">
        <f t="shared" si="703"/>
        <v>7</v>
      </c>
      <c r="D755" s="358" t="str">
        <f t="shared" si="699"/>
        <v>jupiter</v>
      </c>
      <c r="E755" s="368">
        <f t="shared" si="704"/>
        <v>8</v>
      </c>
      <c r="F755" s="367" t="str">
        <f t="shared" si="691"/>
        <v>saturn</v>
      </c>
      <c r="G755" s="367">
        <f t="shared" si="705"/>
        <v>5</v>
      </c>
      <c r="H755" s="367" t="str">
        <f t="shared" si="700"/>
        <v>mars</v>
      </c>
      <c r="I755" s="369">
        <f t="shared" si="706"/>
        <v>55475</v>
      </c>
      <c r="J755" s="377">
        <f t="shared" si="701"/>
        <v>56</v>
      </c>
      <c r="K755" s="369">
        <f t="shared" si="687"/>
        <v>55531</v>
      </c>
      <c r="L755" s="360">
        <f t="shared" si="707"/>
        <v>664</v>
      </c>
      <c r="O755" s="381"/>
    </row>
    <row r="756" spans="1:15">
      <c r="A756" s="355">
        <f t="shared" si="702"/>
        <v>665</v>
      </c>
      <c r="B756" s="372">
        <f t="shared" si="708"/>
        <v>55671</v>
      </c>
      <c r="C756" s="357">
        <f t="shared" si="703"/>
        <v>7</v>
      </c>
      <c r="D756" s="358" t="str">
        <f t="shared" si="699"/>
        <v>jupiter</v>
      </c>
      <c r="E756" s="368">
        <f t="shared" si="704"/>
        <v>8</v>
      </c>
      <c r="F756" s="367" t="str">
        <f t="shared" si="691"/>
        <v>saturn</v>
      </c>
      <c r="G756" s="367">
        <f t="shared" si="705"/>
        <v>6</v>
      </c>
      <c r="H756" s="367" t="str">
        <f t="shared" si="700"/>
        <v>rahu</v>
      </c>
      <c r="I756" s="369">
        <f t="shared" si="706"/>
        <v>55531</v>
      </c>
      <c r="J756" s="377">
        <f t="shared" si="701"/>
        <v>140</v>
      </c>
      <c r="K756" s="369">
        <f t="shared" si="687"/>
        <v>55671</v>
      </c>
      <c r="L756" s="360">
        <f t="shared" si="707"/>
        <v>665</v>
      </c>
      <c r="O756" s="381"/>
    </row>
    <row r="757" spans="1:15">
      <c r="A757" s="355">
        <f t="shared" si="702"/>
        <v>666</v>
      </c>
      <c r="B757" s="372">
        <f t="shared" si="708"/>
        <v>55793</v>
      </c>
      <c r="C757" s="357">
        <f t="shared" si="703"/>
        <v>7</v>
      </c>
      <c r="D757" s="358" t="str">
        <f t="shared" si="699"/>
        <v>jupiter</v>
      </c>
      <c r="E757" s="368">
        <f t="shared" si="704"/>
        <v>8</v>
      </c>
      <c r="F757" s="367" t="str">
        <f t="shared" si="691"/>
        <v>saturn</v>
      </c>
      <c r="G757" s="367">
        <f t="shared" si="705"/>
        <v>7</v>
      </c>
      <c r="H757" s="367" t="str">
        <f t="shared" si="700"/>
        <v>jupiter</v>
      </c>
      <c r="I757" s="369">
        <f t="shared" si="706"/>
        <v>55671</v>
      </c>
      <c r="J757" s="377">
        <f t="shared" si="701"/>
        <v>122</v>
      </c>
      <c r="K757" s="369">
        <f t="shared" si="687"/>
        <v>55793</v>
      </c>
      <c r="L757" s="360">
        <f t="shared" si="707"/>
        <v>666</v>
      </c>
      <c r="N757" s="358">
        <f>SUM(J749:J757)</f>
        <v>936</v>
      </c>
      <c r="O757" s="381"/>
    </row>
    <row r="758" spans="1:15">
      <c r="A758" s="399"/>
      <c r="B758" s="386"/>
      <c r="C758" s="387">
        <f t="shared" si="703"/>
        <v>7</v>
      </c>
      <c r="D758" s="373" t="str">
        <f t="shared" si="699"/>
        <v>jupiter</v>
      </c>
      <c r="E758" s="393">
        <f>IF(E748+1&gt;9,E748+1-9,E748+1)</f>
        <v>9</v>
      </c>
      <c r="F758" s="389" t="str">
        <f t="shared" si="691"/>
        <v>mercury</v>
      </c>
      <c r="G758" s="389"/>
      <c r="H758" s="389"/>
      <c r="I758" s="390">
        <f>K748</f>
        <v>55791</v>
      </c>
      <c r="J758" s="373">
        <f>ROUND(J$737*VLOOKUP(E758,$A$848:$E$856,5,FALSE),0)</f>
        <v>818</v>
      </c>
      <c r="K758" s="390">
        <f t="shared" si="687"/>
        <v>56609</v>
      </c>
      <c r="L758" s="400"/>
      <c r="M758" s="373"/>
      <c r="N758" s="373"/>
      <c r="O758" s="381"/>
    </row>
    <row r="759" spans="1:15">
      <c r="A759" s="355">
        <f>A757+1</f>
        <v>667</v>
      </c>
      <c r="B759" s="372">
        <f>K759</f>
        <v>55908</v>
      </c>
      <c r="C759" s="357">
        <f t="shared" si="703"/>
        <v>7</v>
      </c>
      <c r="D759" s="358" t="str">
        <f t="shared" si="699"/>
        <v>jupiter</v>
      </c>
      <c r="E759" s="368">
        <f t="shared" ref="E759:E767" si="709">E758</f>
        <v>9</v>
      </c>
      <c r="F759" s="367" t="str">
        <f t="shared" si="691"/>
        <v>mercury</v>
      </c>
      <c r="G759" s="367">
        <f>E759</f>
        <v>9</v>
      </c>
      <c r="H759" s="367" t="str">
        <f t="shared" ref="H759:H767" si="710">VLOOKUP(G759,$A$848:$B$856,2,FALSE)</f>
        <v>mercury</v>
      </c>
      <c r="I759" s="369">
        <f>K757</f>
        <v>55793</v>
      </c>
      <c r="J759" s="377">
        <f t="shared" ref="J759:J767" si="711">ROUND(J$758*VLOOKUP(G759,$A$848:$E$856,5,FALSE),0)</f>
        <v>115</v>
      </c>
      <c r="K759" s="369">
        <f t="shared" si="687"/>
        <v>55908</v>
      </c>
      <c r="L759" s="360">
        <f>L757+1</f>
        <v>667</v>
      </c>
      <c r="O759" s="381"/>
    </row>
    <row r="760" spans="1:15">
      <c r="A760" s="355">
        <f t="shared" ref="A760:A767" si="712">A759+1</f>
        <v>668</v>
      </c>
      <c r="B760" s="372">
        <f>K760</f>
        <v>55957</v>
      </c>
      <c r="C760" s="357">
        <f t="shared" si="703"/>
        <v>7</v>
      </c>
      <c r="D760" s="358" t="str">
        <f t="shared" si="699"/>
        <v>jupiter</v>
      </c>
      <c r="E760" s="368">
        <f t="shared" si="709"/>
        <v>9</v>
      </c>
      <c r="F760" s="367" t="str">
        <f t="shared" si="691"/>
        <v>mercury</v>
      </c>
      <c r="G760" s="367">
        <f t="shared" ref="G760:G767" si="713">IF(G759+1&gt;9,G759+1-9,G759+1)</f>
        <v>1</v>
      </c>
      <c r="H760" s="367" t="str">
        <f t="shared" si="710"/>
        <v>ketu</v>
      </c>
      <c r="I760" s="369">
        <f t="shared" ref="I760:I767" si="714">K759</f>
        <v>55908</v>
      </c>
      <c r="J760" s="377">
        <f t="shared" si="711"/>
        <v>49</v>
      </c>
      <c r="K760" s="369">
        <f t="shared" si="687"/>
        <v>55957</v>
      </c>
      <c r="L760" s="360">
        <f t="shared" ref="L760:L767" si="715">L759+1</f>
        <v>668</v>
      </c>
      <c r="O760" s="381"/>
    </row>
    <row r="761" spans="1:15">
      <c r="A761" s="355">
        <f t="shared" si="712"/>
        <v>669</v>
      </c>
      <c r="B761" s="372">
        <f t="shared" ref="B761:B767" si="716">K761</f>
        <v>56096</v>
      </c>
      <c r="C761" s="357">
        <f t="shared" si="703"/>
        <v>7</v>
      </c>
      <c r="D761" s="358" t="str">
        <f t="shared" si="699"/>
        <v>jupiter</v>
      </c>
      <c r="E761" s="368">
        <f t="shared" si="709"/>
        <v>9</v>
      </c>
      <c r="F761" s="367" t="str">
        <f t="shared" si="691"/>
        <v>mercury</v>
      </c>
      <c r="G761" s="367">
        <f t="shared" si="713"/>
        <v>2</v>
      </c>
      <c r="H761" s="367" t="str">
        <f t="shared" si="710"/>
        <v>venus</v>
      </c>
      <c r="I761" s="369">
        <f t="shared" si="714"/>
        <v>55957</v>
      </c>
      <c r="J761" s="377">
        <f t="shared" si="711"/>
        <v>139</v>
      </c>
      <c r="K761" s="369">
        <f t="shared" ref="K761:K767" si="717">I761+J761</f>
        <v>56096</v>
      </c>
      <c r="L761" s="360">
        <f t="shared" si="715"/>
        <v>669</v>
      </c>
      <c r="O761" s="381"/>
    </row>
    <row r="762" spans="1:15">
      <c r="A762" s="355">
        <f t="shared" si="712"/>
        <v>670</v>
      </c>
      <c r="B762" s="372">
        <f t="shared" si="716"/>
        <v>56137</v>
      </c>
      <c r="C762" s="357">
        <f t="shared" si="703"/>
        <v>7</v>
      </c>
      <c r="D762" s="358" t="str">
        <f t="shared" si="699"/>
        <v>jupiter</v>
      </c>
      <c r="E762" s="368">
        <f t="shared" si="709"/>
        <v>9</v>
      </c>
      <c r="F762" s="367" t="str">
        <f t="shared" si="691"/>
        <v>mercury</v>
      </c>
      <c r="G762" s="367">
        <f t="shared" si="713"/>
        <v>3</v>
      </c>
      <c r="H762" s="367" t="str">
        <f t="shared" si="710"/>
        <v>sun</v>
      </c>
      <c r="I762" s="369">
        <f t="shared" si="714"/>
        <v>56096</v>
      </c>
      <c r="J762" s="377">
        <f t="shared" si="711"/>
        <v>41</v>
      </c>
      <c r="K762" s="369">
        <f t="shared" si="717"/>
        <v>56137</v>
      </c>
      <c r="L762" s="360">
        <f t="shared" si="715"/>
        <v>670</v>
      </c>
      <c r="O762" s="381"/>
    </row>
    <row r="763" spans="1:15">
      <c r="A763" s="355">
        <f t="shared" si="712"/>
        <v>671</v>
      </c>
      <c r="B763" s="372">
        <f t="shared" si="716"/>
        <v>56202</v>
      </c>
      <c r="C763" s="357">
        <f t="shared" si="703"/>
        <v>7</v>
      </c>
      <c r="D763" s="358" t="str">
        <f t="shared" si="699"/>
        <v>jupiter</v>
      </c>
      <c r="E763" s="368">
        <f t="shared" si="709"/>
        <v>9</v>
      </c>
      <c r="F763" s="367" t="str">
        <f t="shared" si="691"/>
        <v>mercury</v>
      </c>
      <c r="G763" s="367">
        <f t="shared" si="713"/>
        <v>4</v>
      </c>
      <c r="H763" s="367" t="str">
        <f t="shared" si="710"/>
        <v>moon</v>
      </c>
      <c r="I763" s="369">
        <f t="shared" si="714"/>
        <v>56137</v>
      </c>
      <c r="J763" s="377">
        <f t="shared" si="711"/>
        <v>65</v>
      </c>
      <c r="K763" s="369">
        <f t="shared" si="717"/>
        <v>56202</v>
      </c>
      <c r="L763" s="360">
        <f t="shared" si="715"/>
        <v>671</v>
      </c>
      <c r="O763" s="381"/>
    </row>
    <row r="764" spans="1:15">
      <c r="A764" s="355">
        <f t="shared" si="712"/>
        <v>672</v>
      </c>
      <c r="B764" s="372">
        <f t="shared" si="716"/>
        <v>56251</v>
      </c>
      <c r="C764" s="357">
        <f t="shared" si="703"/>
        <v>7</v>
      </c>
      <c r="D764" s="358" t="str">
        <f t="shared" si="699"/>
        <v>jupiter</v>
      </c>
      <c r="E764" s="368">
        <f t="shared" si="709"/>
        <v>9</v>
      </c>
      <c r="F764" s="367" t="str">
        <f t="shared" si="691"/>
        <v>mercury</v>
      </c>
      <c r="G764" s="367">
        <f t="shared" si="713"/>
        <v>5</v>
      </c>
      <c r="H764" s="367" t="str">
        <f t="shared" si="710"/>
        <v>mars</v>
      </c>
      <c r="I764" s="369">
        <f t="shared" si="714"/>
        <v>56202</v>
      </c>
      <c r="J764" s="377">
        <f t="shared" si="711"/>
        <v>49</v>
      </c>
      <c r="K764" s="369">
        <f t="shared" si="717"/>
        <v>56251</v>
      </c>
      <c r="L764" s="360">
        <f t="shared" si="715"/>
        <v>672</v>
      </c>
      <c r="O764" s="381"/>
    </row>
    <row r="765" spans="1:15">
      <c r="A765" s="355">
        <f t="shared" si="712"/>
        <v>673</v>
      </c>
      <c r="B765" s="372">
        <f t="shared" si="716"/>
        <v>56374</v>
      </c>
      <c r="C765" s="357">
        <f t="shared" si="703"/>
        <v>7</v>
      </c>
      <c r="D765" s="358" t="str">
        <f t="shared" si="699"/>
        <v>jupiter</v>
      </c>
      <c r="E765" s="368">
        <f t="shared" si="709"/>
        <v>9</v>
      </c>
      <c r="F765" s="367" t="str">
        <f t="shared" si="691"/>
        <v>mercury</v>
      </c>
      <c r="G765" s="367">
        <f t="shared" si="713"/>
        <v>6</v>
      </c>
      <c r="H765" s="367" t="str">
        <f t="shared" si="710"/>
        <v>rahu</v>
      </c>
      <c r="I765" s="369">
        <f t="shared" si="714"/>
        <v>56251</v>
      </c>
      <c r="J765" s="377">
        <f t="shared" si="711"/>
        <v>123</v>
      </c>
      <c r="K765" s="369">
        <f t="shared" si="717"/>
        <v>56374</v>
      </c>
      <c r="L765" s="360">
        <f t="shared" si="715"/>
        <v>673</v>
      </c>
      <c r="O765" s="381"/>
    </row>
    <row r="766" spans="1:15">
      <c r="A766" s="355">
        <f t="shared" si="712"/>
        <v>674</v>
      </c>
      <c r="B766" s="372">
        <f t="shared" si="716"/>
        <v>56480</v>
      </c>
      <c r="C766" s="357">
        <f t="shared" si="703"/>
        <v>7</v>
      </c>
      <c r="D766" s="358" t="str">
        <f t="shared" si="699"/>
        <v>jupiter</v>
      </c>
      <c r="E766" s="368">
        <f t="shared" si="709"/>
        <v>9</v>
      </c>
      <c r="F766" s="367" t="str">
        <f t="shared" si="691"/>
        <v>mercury</v>
      </c>
      <c r="G766" s="367">
        <f t="shared" si="713"/>
        <v>7</v>
      </c>
      <c r="H766" s="367" t="str">
        <f t="shared" si="710"/>
        <v>jupiter</v>
      </c>
      <c r="I766" s="369">
        <f t="shared" si="714"/>
        <v>56374</v>
      </c>
      <c r="J766" s="377">
        <f t="shared" si="711"/>
        <v>106</v>
      </c>
      <c r="K766" s="369">
        <f t="shared" si="717"/>
        <v>56480</v>
      </c>
      <c r="L766" s="360">
        <f t="shared" si="715"/>
        <v>674</v>
      </c>
      <c r="O766" s="381"/>
    </row>
    <row r="767" spans="1:15">
      <c r="A767" s="355">
        <f t="shared" si="712"/>
        <v>675</v>
      </c>
      <c r="B767" s="372">
        <f t="shared" si="716"/>
        <v>56611</v>
      </c>
      <c r="C767" s="357">
        <f t="shared" si="703"/>
        <v>7</v>
      </c>
      <c r="D767" s="358" t="str">
        <f t="shared" si="699"/>
        <v>jupiter</v>
      </c>
      <c r="E767" s="368">
        <f t="shared" si="709"/>
        <v>9</v>
      </c>
      <c r="F767" s="367" t="str">
        <f t="shared" si="691"/>
        <v>mercury</v>
      </c>
      <c r="G767" s="367">
        <f t="shared" si="713"/>
        <v>8</v>
      </c>
      <c r="H767" s="367" t="str">
        <f t="shared" si="710"/>
        <v>saturn</v>
      </c>
      <c r="I767" s="369">
        <f t="shared" si="714"/>
        <v>56480</v>
      </c>
      <c r="J767" s="377">
        <f t="shared" si="711"/>
        <v>131</v>
      </c>
      <c r="K767" s="369">
        <f t="shared" si="717"/>
        <v>56611</v>
      </c>
      <c r="L767" s="360">
        <f t="shared" si="715"/>
        <v>675</v>
      </c>
      <c r="N767" s="358">
        <f>SUM(J759:J767)</f>
        <v>818</v>
      </c>
      <c r="O767" s="381"/>
    </row>
    <row r="768" spans="1:15">
      <c r="A768" s="399"/>
      <c r="B768" s="386"/>
      <c r="C768" s="387">
        <f t="shared" si="703"/>
        <v>7</v>
      </c>
      <c r="D768" s="373" t="str">
        <f t="shared" si="699"/>
        <v>jupiter</v>
      </c>
      <c r="E768" s="393">
        <f>IF(E758+1&gt;9,E758+1-9,E758+1)</f>
        <v>1</v>
      </c>
      <c r="F768" s="389" t="str">
        <f t="shared" si="691"/>
        <v>ketu</v>
      </c>
      <c r="G768" s="389"/>
      <c r="H768" s="389"/>
      <c r="I768" s="390">
        <f>K758</f>
        <v>56609</v>
      </c>
      <c r="J768" s="373">
        <f>ROUND(J$737*VLOOKUP(E768,$A$848:$E$856,5,FALSE),0)</f>
        <v>351</v>
      </c>
      <c r="K768" s="390">
        <f>I768+J768</f>
        <v>56960</v>
      </c>
      <c r="L768" s="400"/>
      <c r="M768" s="373"/>
      <c r="N768" s="373"/>
      <c r="O768" s="381"/>
    </row>
    <row r="769" spans="1:15">
      <c r="A769" s="355">
        <f>A767+1</f>
        <v>676</v>
      </c>
      <c r="B769" s="372">
        <f>K769</f>
        <v>56632</v>
      </c>
      <c r="C769" s="357">
        <f t="shared" si="703"/>
        <v>7</v>
      </c>
      <c r="D769" s="358" t="str">
        <f t="shared" si="699"/>
        <v>jupiter</v>
      </c>
      <c r="E769" s="368">
        <f t="shared" ref="E769:E777" si="718">E768</f>
        <v>1</v>
      </c>
      <c r="F769" s="367" t="str">
        <f t="shared" si="691"/>
        <v>ketu</v>
      </c>
      <c r="G769" s="367">
        <f>E769</f>
        <v>1</v>
      </c>
      <c r="H769" s="367" t="str">
        <f t="shared" ref="H769:H777" si="719">VLOOKUP(G769,$A$848:$B$856,2,FALSE)</f>
        <v>ketu</v>
      </c>
      <c r="I769" s="369">
        <f>K767</f>
        <v>56611</v>
      </c>
      <c r="J769" s="377">
        <f t="shared" ref="J769:J777" si="720">ROUND(J$768*VLOOKUP(G769,$A$848:$E$856,5,FALSE),0)</f>
        <v>21</v>
      </c>
      <c r="K769" s="369">
        <f>I769+J769</f>
        <v>56632</v>
      </c>
      <c r="L769" s="360">
        <f>L767+1</f>
        <v>676</v>
      </c>
      <c r="O769" s="381"/>
    </row>
    <row r="770" spans="1:15">
      <c r="A770" s="355">
        <f t="shared" ref="A770:A777" si="721">A769+1</f>
        <v>677</v>
      </c>
      <c r="B770" s="372">
        <f>K770</f>
        <v>56692</v>
      </c>
      <c r="C770" s="357">
        <f>C769</f>
        <v>7</v>
      </c>
      <c r="D770" s="358" t="str">
        <f t="shared" si="699"/>
        <v>jupiter</v>
      </c>
      <c r="E770" s="368">
        <f t="shared" si="718"/>
        <v>1</v>
      </c>
      <c r="F770" s="367" t="str">
        <f t="shared" ref="F770:F801" si="722">VLOOKUP(E770,$A$848:$B$856,2,FALSE)</f>
        <v>ketu</v>
      </c>
      <c r="G770" s="367">
        <f t="shared" ref="G770:G777" si="723">IF(G769+1&gt;9,G769+1-9,G769+1)</f>
        <v>2</v>
      </c>
      <c r="H770" s="367" t="str">
        <f t="shared" si="719"/>
        <v>venus</v>
      </c>
      <c r="I770" s="369">
        <f t="shared" ref="I770:I777" si="724">K769</f>
        <v>56632</v>
      </c>
      <c r="J770" s="377">
        <f t="shared" si="720"/>
        <v>60</v>
      </c>
      <c r="K770" s="369">
        <f>I770+J770</f>
        <v>56692</v>
      </c>
      <c r="L770" s="360">
        <f t="shared" ref="L770:L777" si="725">L769+1</f>
        <v>677</v>
      </c>
      <c r="O770" s="381"/>
    </row>
    <row r="771" spans="1:15">
      <c r="A771" s="355">
        <f t="shared" si="721"/>
        <v>678</v>
      </c>
      <c r="B771" s="372">
        <f t="shared" ref="B771:B777" si="726">K771</f>
        <v>56710</v>
      </c>
      <c r="C771" s="357">
        <f t="shared" ref="C771:C777" si="727">C770</f>
        <v>7</v>
      </c>
      <c r="D771" s="358" t="str">
        <f t="shared" si="699"/>
        <v>jupiter</v>
      </c>
      <c r="E771" s="368">
        <f t="shared" si="718"/>
        <v>1</v>
      </c>
      <c r="F771" s="367" t="str">
        <f t="shared" si="722"/>
        <v>ketu</v>
      </c>
      <c r="G771" s="367">
        <f t="shared" si="723"/>
        <v>3</v>
      </c>
      <c r="H771" s="367" t="str">
        <f t="shared" si="719"/>
        <v>sun</v>
      </c>
      <c r="I771" s="369">
        <f t="shared" si="724"/>
        <v>56692</v>
      </c>
      <c r="J771" s="377">
        <f t="shared" si="720"/>
        <v>18</v>
      </c>
      <c r="K771" s="369">
        <f t="shared" ref="K771:K777" si="728">I771+J771</f>
        <v>56710</v>
      </c>
      <c r="L771" s="360">
        <f t="shared" si="725"/>
        <v>678</v>
      </c>
      <c r="O771" s="381"/>
    </row>
    <row r="772" spans="1:15">
      <c r="A772" s="355">
        <f t="shared" si="721"/>
        <v>679</v>
      </c>
      <c r="B772" s="372">
        <f t="shared" si="726"/>
        <v>56738</v>
      </c>
      <c r="C772" s="357">
        <f t="shared" si="727"/>
        <v>7</v>
      </c>
      <c r="D772" s="358" t="str">
        <f t="shared" si="699"/>
        <v>jupiter</v>
      </c>
      <c r="E772" s="368">
        <f t="shared" si="718"/>
        <v>1</v>
      </c>
      <c r="F772" s="367" t="str">
        <f t="shared" si="722"/>
        <v>ketu</v>
      </c>
      <c r="G772" s="367">
        <f t="shared" si="723"/>
        <v>4</v>
      </c>
      <c r="H772" s="367" t="str">
        <f t="shared" si="719"/>
        <v>moon</v>
      </c>
      <c r="I772" s="369">
        <f t="shared" si="724"/>
        <v>56710</v>
      </c>
      <c r="J772" s="377">
        <f t="shared" si="720"/>
        <v>28</v>
      </c>
      <c r="K772" s="369">
        <f t="shared" si="728"/>
        <v>56738</v>
      </c>
      <c r="L772" s="360">
        <f t="shared" si="725"/>
        <v>679</v>
      </c>
      <c r="O772" s="381"/>
    </row>
    <row r="773" spans="1:15">
      <c r="A773" s="355">
        <f t="shared" si="721"/>
        <v>680</v>
      </c>
      <c r="B773" s="372">
        <f t="shared" si="726"/>
        <v>56759</v>
      </c>
      <c r="C773" s="357">
        <f t="shared" si="727"/>
        <v>7</v>
      </c>
      <c r="D773" s="358" t="str">
        <f t="shared" si="699"/>
        <v>jupiter</v>
      </c>
      <c r="E773" s="368">
        <f t="shared" si="718"/>
        <v>1</v>
      </c>
      <c r="F773" s="367" t="str">
        <f t="shared" si="722"/>
        <v>ketu</v>
      </c>
      <c r="G773" s="367">
        <f t="shared" si="723"/>
        <v>5</v>
      </c>
      <c r="H773" s="367" t="str">
        <f t="shared" si="719"/>
        <v>mars</v>
      </c>
      <c r="I773" s="369">
        <f t="shared" si="724"/>
        <v>56738</v>
      </c>
      <c r="J773" s="377">
        <f t="shared" si="720"/>
        <v>21</v>
      </c>
      <c r="K773" s="369">
        <f t="shared" si="728"/>
        <v>56759</v>
      </c>
      <c r="L773" s="360">
        <f t="shared" si="725"/>
        <v>680</v>
      </c>
      <c r="O773" s="381"/>
    </row>
    <row r="774" spans="1:15">
      <c r="A774" s="355">
        <f t="shared" si="721"/>
        <v>681</v>
      </c>
      <c r="B774" s="372">
        <f t="shared" si="726"/>
        <v>56812</v>
      </c>
      <c r="C774" s="357">
        <f t="shared" si="727"/>
        <v>7</v>
      </c>
      <c r="D774" s="358" t="str">
        <f t="shared" si="699"/>
        <v>jupiter</v>
      </c>
      <c r="E774" s="368">
        <f t="shared" si="718"/>
        <v>1</v>
      </c>
      <c r="F774" s="367" t="str">
        <f t="shared" si="722"/>
        <v>ketu</v>
      </c>
      <c r="G774" s="367">
        <f t="shared" si="723"/>
        <v>6</v>
      </c>
      <c r="H774" s="367" t="str">
        <f t="shared" si="719"/>
        <v>rahu</v>
      </c>
      <c r="I774" s="369">
        <f t="shared" si="724"/>
        <v>56759</v>
      </c>
      <c r="J774" s="377">
        <f t="shared" si="720"/>
        <v>53</v>
      </c>
      <c r="K774" s="369">
        <f t="shared" si="728"/>
        <v>56812</v>
      </c>
      <c r="L774" s="360">
        <f t="shared" si="725"/>
        <v>681</v>
      </c>
      <c r="O774" s="381"/>
    </row>
    <row r="775" spans="1:15">
      <c r="A775" s="355">
        <f t="shared" si="721"/>
        <v>682</v>
      </c>
      <c r="B775" s="372">
        <f t="shared" si="726"/>
        <v>56858</v>
      </c>
      <c r="C775" s="357">
        <f t="shared" si="727"/>
        <v>7</v>
      </c>
      <c r="D775" s="358" t="str">
        <f t="shared" si="699"/>
        <v>jupiter</v>
      </c>
      <c r="E775" s="368">
        <f t="shared" si="718"/>
        <v>1</v>
      </c>
      <c r="F775" s="367" t="str">
        <f t="shared" si="722"/>
        <v>ketu</v>
      </c>
      <c r="G775" s="367">
        <f t="shared" si="723"/>
        <v>7</v>
      </c>
      <c r="H775" s="367" t="str">
        <f t="shared" si="719"/>
        <v>jupiter</v>
      </c>
      <c r="I775" s="369">
        <f t="shared" si="724"/>
        <v>56812</v>
      </c>
      <c r="J775" s="377">
        <f t="shared" si="720"/>
        <v>46</v>
      </c>
      <c r="K775" s="369">
        <f t="shared" si="728"/>
        <v>56858</v>
      </c>
      <c r="L775" s="360">
        <f t="shared" si="725"/>
        <v>682</v>
      </c>
      <c r="O775" s="381"/>
    </row>
    <row r="776" spans="1:15">
      <c r="A776" s="355">
        <f t="shared" si="721"/>
        <v>683</v>
      </c>
      <c r="B776" s="372">
        <f t="shared" si="726"/>
        <v>56914</v>
      </c>
      <c r="C776" s="357">
        <f t="shared" si="727"/>
        <v>7</v>
      </c>
      <c r="D776" s="358" t="str">
        <f t="shared" si="699"/>
        <v>jupiter</v>
      </c>
      <c r="E776" s="368">
        <f t="shared" si="718"/>
        <v>1</v>
      </c>
      <c r="F776" s="367" t="str">
        <f t="shared" si="722"/>
        <v>ketu</v>
      </c>
      <c r="G776" s="367">
        <f t="shared" si="723"/>
        <v>8</v>
      </c>
      <c r="H776" s="367" t="str">
        <f t="shared" si="719"/>
        <v>saturn</v>
      </c>
      <c r="I776" s="369">
        <f t="shared" si="724"/>
        <v>56858</v>
      </c>
      <c r="J776" s="377">
        <f t="shared" si="720"/>
        <v>56</v>
      </c>
      <c r="K776" s="369">
        <f t="shared" si="728"/>
        <v>56914</v>
      </c>
      <c r="L776" s="360">
        <f t="shared" si="725"/>
        <v>683</v>
      </c>
      <c r="O776" s="381"/>
    </row>
    <row r="777" spans="1:15">
      <c r="A777" s="355">
        <f t="shared" si="721"/>
        <v>684</v>
      </c>
      <c r="B777" s="372">
        <f t="shared" si="726"/>
        <v>56963</v>
      </c>
      <c r="C777" s="357">
        <f t="shared" si="727"/>
        <v>7</v>
      </c>
      <c r="D777" s="358" t="str">
        <f t="shared" si="699"/>
        <v>jupiter</v>
      </c>
      <c r="E777" s="368">
        <f t="shared" si="718"/>
        <v>1</v>
      </c>
      <c r="F777" s="367" t="str">
        <f t="shared" si="722"/>
        <v>ketu</v>
      </c>
      <c r="G777" s="367">
        <f t="shared" si="723"/>
        <v>9</v>
      </c>
      <c r="H777" s="367" t="str">
        <f t="shared" si="719"/>
        <v>mercury</v>
      </c>
      <c r="I777" s="369">
        <f t="shared" si="724"/>
        <v>56914</v>
      </c>
      <c r="J777" s="377">
        <f t="shared" si="720"/>
        <v>49</v>
      </c>
      <c r="K777" s="369">
        <f t="shared" si="728"/>
        <v>56963</v>
      </c>
      <c r="L777" s="360">
        <f t="shared" si="725"/>
        <v>684</v>
      </c>
      <c r="N777" s="358">
        <f>SUM(J769:J777)</f>
        <v>352</v>
      </c>
      <c r="O777" s="381"/>
    </row>
    <row r="778" spans="1:15">
      <c r="A778" s="399"/>
      <c r="B778" s="386"/>
      <c r="C778" s="387">
        <f>C768</f>
        <v>7</v>
      </c>
      <c r="D778" s="373" t="str">
        <f t="shared" si="699"/>
        <v>jupiter</v>
      </c>
      <c r="E778" s="393">
        <f>IF(E768+1&gt;9,E768+1-9,E768+1)</f>
        <v>2</v>
      </c>
      <c r="F778" s="389" t="str">
        <f t="shared" si="722"/>
        <v>venus</v>
      </c>
      <c r="G778" s="389"/>
      <c r="H778" s="389"/>
      <c r="I778" s="390">
        <f>K768</f>
        <v>56960</v>
      </c>
      <c r="J778" s="373">
        <f>ROUND(J$737*VLOOKUP(E778,$A$848:$E$856,5,FALSE),0)</f>
        <v>993</v>
      </c>
      <c r="K778" s="390">
        <f>I778+J778</f>
        <v>57953</v>
      </c>
      <c r="L778" s="400"/>
      <c r="M778" s="373"/>
      <c r="N778" s="373"/>
      <c r="O778" s="381"/>
    </row>
    <row r="779" spans="1:15">
      <c r="A779" s="355">
        <f>A777+1</f>
        <v>685</v>
      </c>
      <c r="B779" s="372">
        <f>K779</f>
        <v>57132</v>
      </c>
      <c r="C779" s="357">
        <f t="shared" ref="C779:C787" si="729">C778</f>
        <v>7</v>
      </c>
      <c r="D779" s="358" t="str">
        <f t="shared" si="699"/>
        <v>jupiter</v>
      </c>
      <c r="E779" s="368">
        <f t="shared" ref="E779:E787" si="730">E778</f>
        <v>2</v>
      </c>
      <c r="F779" s="367" t="str">
        <f t="shared" si="722"/>
        <v>venus</v>
      </c>
      <c r="G779" s="367">
        <f>E779</f>
        <v>2</v>
      </c>
      <c r="H779" s="367" t="str">
        <f t="shared" ref="H779:H787" si="731">VLOOKUP(G779,$A$848:$B$856,2,FALSE)</f>
        <v>venus</v>
      </c>
      <c r="I779" s="369">
        <f>K777</f>
        <v>56963</v>
      </c>
      <c r="J779" s="377">
        <f>ROUND(J$778*VLOOKUP(E779,$A$848:$E$856,5,FALSE),0)</f>
        <v>169</v>
      </c>
      <c r="K779" s="369">
        <f>I779+J779</f>
        <v>57132</v>
      </c>
      <c r="L779" s="360">
        <f>L777+1</f>
        <v>685</v>
      </c>
      <c r="O779" s="381"/>
    </row>
    <row r="780" spans="1:15">
      <c r="A780" s="355">
        <f t="shared" ref="A780:A787" si="732">A779+1</f>
        <v>686</v>
      </c>
      <c r="B780" s="372">
        <f>K780</f>
        <v>57182</v>
      </c>
      <c r="C780" s="357">
        <f t="shared" si="729"/>
        <v>7</v>
      </c>
      <c r="D780" s="358" t="str">
        <f t="shared" ref="D780:D817" si="733">D770</f>
        <v>jupiter</v>
      </c>
      <c r="E780" s="368">
        <f t="shared" si="730"/>
        <v>2</v>
      </c>
      <c r="F780" s="367" t="str">
        <f t="shared" si="722"/>
        <v>venus</v>
      </c>
      <c r="G780" s="367">
        <f t="shared" ref="G780:G787" si="734">IF(G779+1&gt;9,G779+1-9,G779+1)</f>
        <v>3</v>
      </c>
      <c r="H780" s="367" t="str">
        <f t="shared" si="731"/>
        <v>sun</v>
      </c>
      <c r="I780" s="369">
        <f t="shared" ref="I780:I787" si="735">K779</f>
        <v>57132</v>
      </c>
      <c r="J780" s="377">
        <f t="shared" ref="J780:J787" si="736">ROUND(J$778*VLOOKUP(G780,$A$848:$E$856,5,FALSE),0)</f>
        <v>50</v>
      </c>
      <c r="K780" s="369">
        <f>I780+J780</f>
        <v>57182</v>
      </c>
      <c r="L780" s="360">
        <f t="shared" ref="L780:L787" si="737">L779+1</f>
        <v>686</v>
      </c>
      <c r="O780" s="381"/>
    </row>
    <row r="781" spans="1:15">
      <c r="A781" s="355">
        <f t="shared" si="732"/>
        <v>687</v>
      </c>
      <c r="B781" s="372">
        <f t="shared" ref="B781:B787" si="738">K781</f>
        <v>57261</v>
      </c>
      <c r="C781" s="357">
        <f t="shared" si="729"/>
        <v>7</v>
      </c>
      <c r="D781" s="358" t="str">
        <f t="shared" si="733"/>
        <v>jupiter</v>
      </c>
      <c r="E781" s="368">
        <f t="shared" si="730"/>
        <v>2</v>
      </c>
      <c r="F781" s="367" t="str">
        <f t="shared" si="722"/>
        <v>venus</v>
      </c>
      <c r="G781" s="367">
        <f t="shared" si="734"/>
        <v>4</v>
      </c>
      <c r="H781" s="367" t="str">
        <f t="shared" si="731"/>
        <v>moon</v>
      </c>
      <c r="I781" s="369">
        <f t="shared" si="735"/>
        <v>57182</v>
      </c>
      <c r="J781" s="377">
        <f t="shared" si="736"/>
        <v>79</v>
      </c>
      <c r="K781" s="369">
        <f t="shared" ref="K781:K787" si="739">I781+J781</f>
        <v>57261</v>
      </c>
      <c r="L781" s="360">
        <f t="shared" si="737"/>
        <v>687</v>
      </c>
      <c r="O781" s="381"/>
    </row>
    <row r="782" spans="1:15">
      <c r="A782" s="355">
        <f t="shared" si="732"/>
        <v>688</v>
      </c>
      <c r="B782" s="372">
        <f t="shared" si="738"/>
        <v>57321</v>
      </c>
      <c r="C782" s="357">
        <f t="shared" si="729"/>
        <v>7</v>
      </c>
      <c r="D782" s="358" t="str">
        <f t="shared" si="733"/>
        <v>jupiter</v>
      </c>
      <c r="E782" s="368">
        <f t="shared" si="730"/>
        <v>2</v>
      </c>
      <c r="F782" s="367" t="str">
        <f t="shared" si="722"/>
        <v>venus</v>
      </c>
      <c r="G782" s="367">
        <f t="shared" si="734"/>
        <v>5</v>
      </c>
      <c r="H782" s="367" t="str">
        <f t="shared" si="731"/>
        <v>mars</v>
      </c>
      <c r="I782" s="369">
        <f t="shared" si="735"/>
        <v>57261</v>
      </c>
      <c r="J782" s="377">
        <f t="shared" si="736"/>
        <v>60</v>
      </c>
      <c r="K782" s="369">
        <f t="shared" si="739"/>
        <v>57321</v>
      </c>
      <c r="L782" s="360">
        <f t="shared" si="737"/>
        <v>688</v>
      </c>
      <c r="O782" s="381"/>
    </row>
    <row r="783" spans="1:15">
      <c r="A783" s="355">
        <f t="shared" si="732"/>
        <v>689</v>
      </c>
      <c r="B783" s="372">
        <f t="shared" si="738"/>
        <v>57470</v>
      </c>
      <c r="C783" s="357">
        <f t="shared" si="729"/>
        <v>7</v>
      </c>
      <c r="D783" s="358" t="str">
        <f t="shared" si="733"/>
        <v>jupiter</v>
      </c>
      <c r="E783" s="368">
        <f t="shared" si="730"/>
        <v>2</v>
      </c>
      <c r="F783" s="367" t="str">
        <f t="shared" si="722"/>
        <v>venus</v>
      </c>
      <c r="G783" s="367">
        <f t="shared" si="734"/>
        <v>6</v>
      </c>
      <c r="H783" s="367" t="str">
        <f t="shared" si="731"/>
        <v>rahu</v>
      </c>
      <c r="I783" s="369">
        <f t="shared" si="735"/>
        <v>57321</v>
      </c>
      <c r="J783" s="377">
        <f t="shared" si="736"/>
        <v>149</v>
      </c>
      <c r="K783" s="369">
        <f t="shared" si="739"/>
        <v>57470</v>
      </c>
      <c r="L783" s="360">
        <f t="shared" si="737"/>
        <v>689</v>
      </c>
      <c r="O783" s="381"/>
    </row>
    <row r="784" spans="1:15">
      <c r="A784" s="355">
        <f t="shared" si="732"/>
        <v>690</v>
      </c>
      <c r="B784" s="372">
        <f t="shared" si="738"/>
        <v>57599</v>
      </c>
      <c r="C784" s="357">
        <f t="shared" si="729"/>
        <v>7</v>
      </c>
      <c r="D784" s="358" t="str">
        <f t="shared" si="733"/>
        <v>jupiter</v>
      </c>
      <c r="E784" s="368">
        <f t="shared" si="730"/>
        <v>2</v>
      </c>
      <c r="F784" s="367" t="str">
        <f t="shared" si="722"/>
        <v>venus</v>
      </c>
      <c r="G784" s="367">
        <f t="shared" si="734"/>
        <v>7</v>
      </c>
      <c r="H784" s="367" t="str">
        <f t="shared" si="731"/>
        <v>jupiter</v>
      </c>
      <c r="I784" s="369">
        <f t="shared" si="735"/>
        <v>57470</v>
      </c>
      <c r="J784" s="377">
        <f t="shared" si="736"/>
        <v>129</v>
      </c>
      <c r="K784" s="369">
        <f t="shared" si="739"/>
        <v>57599</v>
      </c>
      <c r="L784" s="360">
        <f t="shared" si="737"/>
        <v>690</v>
      </c>
      <c r="O784" s="381"/>
    </row>
    <row r="785" spans="1:15">
      <c r="A785" s="355">
        <f t="shared" si="732"/>
        <v>691</v>
      </c>
      <c r="B785" s="372">
        <f t="shared" si="738"/>
        <v>57758</v>
      </c>
      <c r="C785" s="357">
        <f t="shared" si="729"/>
        <v>7</v>
      </c>
      <c r="D785" s="358" t="str">
        <f t="shared" si="733"/>
        <v>jupiter</v>
      </c>
      <c r="E785" s="368">
        <f t="shared" si="730"/>
        <v>2</v>
      </c>
      <c r="F785" s="367" t="str">
        <f t="shared" si="722"/>
        <v>venus</v>
      </c>
      <c r="G785" s="367">
        <f t="shared" si="734"/>
        <v>8</v>
      </c>
      <c r="H785" s="367" t="str">
        <f t="shared" si="731"/>
        <v>saturn</v>
      </c>
      <c r="I785" s="369">
        <f t="shared" si="735"/>
        <v>57599</v>
      </c>
      <c r="J785" s="377">
        <f t="shared" si="736"/>
        <v>159</v>
      </c>
      <c r="K785" s="369">
        <f t="shared" si="739"/>
        <v>57758</v>
      </c>
      <c r="L785" s="360">
        <f t="shared" si="737"/>
        <v>691</v>
      </c>
      <c r="O785" s="381"/>
    </row>
    <row r="786" spans="1:15">
      <c r="A786" s="355">
        <f t="shared" si="732"/>
        <v>692</v>
      </c>
      <c r="B786" s="372">
        <f t="shared" si="738"/>
        <v>57897</v>
      </c>
      <c r="C786" s="357">
        <f t="shared" si="729"/>
        <v>7</v>
      </c>
      <c r="D786" s="358" t="str">
        <f t="shared" si="733"/>
        <v>jupiter</v>
      </c>
      <c r="E786" s="368">
        <f t="shared" si="730"/>
        <v>2</v>
      </c>
      <c r="F786" s="367" t="str">
        <f t="shared" si="722"/>
        <v>venus</v>
      </c>
      <c r="G786" s="367">
        <f t="shared" si="734"/>
        <v>9</v>
      </c>
      <c r="H786" s="367" t="str">
        <f t="shared" si="731"/>
        <v>mercury</v>
      </c>
      <c r="I786" s="369">
        <f t="shared" si="735"/>
        <v>57758</v>
      </c>
      <c r="J786" s="377">
        <f t="shared" si="736"/>
        <v>139</v>
      </c>
      <c r="K786" s="369">
        <f t="shared" si="739"/>
        <v>57897</v>
      </c>
      <c r="L786" s="360">
        <f t="shared" si="737"/>
        <v>692</v>
      </c>
      <c r="O786" s="381"/>
    </row>
    <row r="787" spans="1:15">
      <c r="A787" s="355">
        <f t="shared" si="732"/>
        <v>693</v>
      </c>
      <c r="B787" s="372">
        <f t="shared" si="738"/>
        <v>57957</v>
      </c>
      <c r="C787" s="357">
        <f t="shared" si="729"/>
        <v>7</v>
      </c>
      <c r="D787" s="358" t="str">
        <f t="shared" si="733"/>
        <v>jupiter</v>
      </c>
      <c r="E787" s="368">
        <f t="shared" si="730"/>
        <v>2</v>
      </c>
      <c r="F787" s="367" t="str">
        <f t="shared" si="722"/>
        <v>venus</v>
      </c>
      <c r="G787" s="367">
        <f t="shared" si="734"/>
        <v>1</v>
      </c>
      <c r="H787" s="367" t="str">
        <f t="shared" si="731"/>
        <v>ketu</v>
      </c>
      <c r="I787" s="369">
        <f t="shared" si="735"/>
        <v>57897</v>
      </c>
      <c r="J787" s="377">
        <f t="shared" si="736"/>
        <v>60</v>
      </c>
      <c r="K787" s="369">
        <f t="shared" si="739"/>
        <v>57957</v>
      </c>
      <c r="L787" s="360">
        <f t="shared" si="737"/>
        <v>693</v>
      </c>
      <c r="N787" s="358">
        <f>SUM(J779:J787)</f>
        <v>994</v>
      </c>
      <c r="O787" s="381"/>
    </row>
    <row r="788" spans="1:15">
      <c r="A788" s="399"/>
      <c r="B788" s="386"/>
      <c r="C788" s="387">
        <f>C778</f>
        <v>7</v>
      </c>
      <c r="D788" s="373" t="str">
        <f t="shared" si="733"/>
        <v>jupiter</v>
      </c>
      <c r="E788" s="393">
        <f>IF(E778+1&gt;9,E778+1-9,E778+1)</f>
        <v>3</v>
      </c>
      <c r="F788" s="389" t="str">
        <f t="shared" si="722"/>
        <v>sun</v>
      </c>
      <c r="G788" s="389"/>
      <c r="H788" s="389"/>
      <c r="I788" s="390">
        <f>K778</f>
        <v>57953</v>
      </c>
      <c r="J788" s="373">
        <f>ROUND(J$737*VLOOKUP(E788,$A$848:$E$856,5,FALSE),0)</f>
        <v>292</v>
      </c>
      <c r="K788" s="390">
        <f>I788+J788</f>
        <v>58245</v>
      </c>
      <c r="L788" s="400"/>
      <c r="M788" s="373"/>
      <c r="N788" s="373"/>
      <c r="O788" s="381"/>
    </row>
    <row r="789" spans="1:15">
      <c r="A789" s="355">
        <f>A787+1</f>
        <v>694</v>
      </c>
      <c r="B789" s="372">
        <f t="shared" ref="B789:B797" si="740">K789</f>
        <v>57972</v>
      </c>
      <c r="C789" s="357">
        <f t="shared" ref="C789:C797" si="741">C788</f>
        <v>7</v>
      </c>
      <c r="D789" s="358" t="str">
        <f t="shared" si="733"/>
        <v>jupiter</v>
      </c>
      <c r="E789" s="368">
        <f t="shared" ref="E789:E797" si="742">E788</f>
        <v>3</v>
      </c>
      <c r="F789" s="367" t="str">
        <f t="shared" si="722"/>
        <v>sun</v>
      </c>
      <c r="G789" s="367">
        <f>E789</f>
        <v>3</v>
      </c>
      <c r="H789" s="367" t="str">
        <f t="shared" ref="H789:H797" si="743">VLOOKUP(G789,$A$848:$B$856,2,FALSE)</f>
        <v>sun</v>
      </c>
      <c r="I789" s="369">
        <f>K787</f>
        <v>57957</v>
      </c>
      <c r="J789" s="377">
        <f t="shared" ref="J789:J797" si="744">ROUND(J$788*VLOOKUP(G789,$A$848:$E$856,5,FALSE),0)</f>
        <v>15</v>
      </c>
      <c r="K789" s="369">
        <f>I789+J789</f>
        <v>57972</v>
      </c>
      <c r="L789" s="360">
        <f>L787+1</f>
        <v>694</v>
      </c>
      <c r="O789" s="381"/>
    </row>
    <row r="790" spans="1:15">
      <c r="A790" s="355">
        <f t="shared" ref="A790:A797" si="745">A789+1</f>
        <v>695</v>
      </c>
      <c r="B790" s="372">
        <f t="shared" si="740"/>
        <v>57995</v>
      </c>
      <c r="C790" s="357">
        <f t="shared" si="741"/>
        <v>7</v>
      </c>
      <c r="D790" s="358" t="str">
        <f t="shared" si="733"/>
        <v>jupiter</v>
      </c>
      <c r="E790" s="368">
        <f t="shared" si="742"/>
        <v>3</v>
      </c>
      <c r="F790" s="367" t="str">
        <f t="shared" si="722"/>
        <v>sun</v>
      </c>
      <c r="G790" s="367">
        <f t="shared" ref="G790:G797" si="746">IF(G789+1&gt;9,G789+1-9,G789+1)</f>
        <v>4</v>
      </c>
      <c r="H790" s="367" t="str">
        <f t="shared" si="743"/>
        <v>moon</v>
      </c>
      <c r="I790" s="369">
        <f t="shared" ref="I790:I797" si="747">K789</f>
        <v>57972</v>
      </c>
      <c r="J790" s="377">
        <f t="shared" si="744"/>
        <v>23</v>
      </c>
      <c r="K790" s="369">
        <f>I790+J790</f>
        <v>57995</v>
      </c>
      <c r="L790" s="360">
        <f t="shared" ref="L790:L797" si="748">L789+1</f>
        <v>695</v>
      </c>
      <c r="O790" s="381"/>
    </row>
    <row r="791" spans="1:15">
      <c r="A791" s="355">
        <f t="shared" si="745"/>
        <v>696</v>
      </c>
      <c r="B791" s="372">
        <f t="shared" si="740"/>
        <v>58013</v>
      </c>
      <c r="C791" s="357">
        <f t="shared" si="741"/>
        <v>7</v>
      </c>
      <c r="D791" s="358" t="str">
        <f t="shared" si="733"/>
        <v>jupiter</v>
      </c>
      <c r="E791" s="368">
        <f t="shared" si="742"/>
        <v>3</v>
      </c>
      <c r="F791" s="367" t="str">
        <f t="shared" si="722"/>
        <v>sun</v>
      </c>
      <c r="G791" s="367">
        <f t="shared" si="746"/>
        <v>5</v>
      </c>
      <c r="H791" s="367" t="str">
        <f t="shared" si="743"/>
        <v>mars</v>
      </c>
      <c r="I791" s="369">
        <f t="shared" si="747"/>
        <v>57995</v>
      </c>
      <c r="J791" s="377">
        <f t="shared" si="744"/>
        <v>18</v>
      </c>
      <c r="K791" s="369">
        <f t="shared" ref="K791:K797" si="749">I791+J791</f>
        <v>58013</v>
      </c>
      <c r="L791" s="360">
        <f t="shared" si="748"/>
        <v>696</v>
      </c>
      <c r="O791" s="381"/>
    </row>
    <row r="792" spans="1:15">
      <c r="A792" s="355">
        <f t="shared" si="745"/>
        <v>697</v>
      </c>
      <c r="B792" s="372">
        <f t="shared" si="740"/>
        <v>58057</v>
      </c>
      <c r="C792" s="357">
        <f t="shared" si="741"/>
        <v>7</v>
      </c>
      <c r="D792" s="358" t="str">
        <f t="shared" si="733"/>
        <v>jupiter</v>
      </c>
      <c r="E792" s="368">
        <f t="shared" si="742"/>
        <v>3</v>
      </c>
      <c r="F792" s="367" t="str">
        <f t="shared" si="722"/>
        <v>sun</v>
      </c>
      <c r="G792" s="367">
        <f t="shared" si="746"/>
        <v>6</v>
      </c>
      <c r="H792" s="367" t="str">
        <f t="shared" si="743"/>
        <v>rahu</v>
      </c>
      <c r="I792" s="369">
        <f t="shared" si="747"/>
        <v>58013</v>
      </c>
      <c r="J792" s="377">
        <f t="shared" si="744"/>
        <v>44</v>
      </c>
      <c r="K792" s="369">
        <f t="shared" si="749"/>
        <v>58057</v>
      </c>
      <c r="L792" s="360">
        <f t="shared" si="748"/>
        <v>697</v>
      </c>
      <c r="O792" s="381"/>
    </row>
    <row r="793" spans="1:15">
      <c r="A793" s="355">
        <f t="shared" si="745"/>
        <v>698</v>
      </c>
      <c r="B793" s="372">
        <f t="shared" si="740"/>
        <v>58095</v>
      </c>
      <c r="C793" s="357">
        <f t="shared" si="741"/>
        <v>7</v>
      </c>
      <c r="D793" s="358" t="str">
        <f t="shared" si="733"/>
        <v>jupiter</v>
      </c>
      <c r="E793" s="368">
        <f t="shared" si="742"/>
        <v>3</v>
      </c>
      <c r="F793" s="367" t="str">
        <f t="shared" si="722"/>
        <v>sun</v>
      </c>
      <c r="G793" s="367">
        <f t="shared" si="746"/>
        <v>7</v>
      </c>
      <c r="H793" s="367" t="str">
        <f t="shared" si="743"/>
        <v>jupiter</v>
      </c>
      <c r="I793" s="369">
        <f t="shared" si="747"/>
        <v>58057</v>
      </c>
      <c r="J793" s="377">
        <f t="shared" si="744"/>
        <v>38</v>
      </c>
      <c r="K793" s="369">
        <f t="shared" si="749"/>
        <v>58095</v>
      </c>
      <c r="L793" s="360">
        <f t="shared" si="748"/>
        <v>698</v>
      </c>
      <c r="O793" s="381"/>
    </row>
    <row r="794" spans="1:15">
      <c r="A794" s="355">
        <f t="shared" si="745"/>
        <v>699</v>
      </c>
      <c r="B794" s="372">
        <f t="shared" si="740"/>
        <v>58142</v>
      </c>
      <c r="C794" s="357">
        <f t="shared" si="741"/>
        <v>7</v>
      </c>
      <c r="D794" s="358" t="str">
        <f t="shared" si="733"/>
        <v>jupiter</v>
      </c>
      <c r="E794" s="368">
        <f t="shared" si="742"/>
        <v>3</v>
      </c>
      <c r="F794" s="367" t="str">
        <f t="shared" si="722"/>
        <v>sun</v>
      </c>
      <c r="G794" s="367">
        <f t="shared" si="746"/>
        <v>8</v>
      </c>
      <c r="H794" s="367" t="str">
        <f t="shared" si="743"/>
        <v>saturn</v>
      </c>
      <c r="I794" s="369">
        <f t="shared" si="747"/>
        <v>58095</v>
      </c>
      <c r="J794" s="377">
        <f t="shared" si="744"/>
        <v>47</v>
      </c>
      <c r="K794" s="369">
        <f t="shared" si="749"/>
        <v>58142</v>
      </c>
      <c r="L794" s="360">
        <f t="shared" si="748"/>
        <v>699</v>
      </c>
      <c r="O794" s="381"/>
    </row>
    <row r="795" spans="1:15">
      <c r="A795" s="355">
        <f t="shared" si="745"/>
        <v>700</v>
      </c>
      <c r="B795" s="372">
        <f t="shared" si="740"/>
        <v>58183</v>
      </c>
      <c r="C795" s="357">
        <f t="shared" si="741"/>
        <v>7</v>
      </c>
      <c r="D795" s="358" t="str">
        <f t="shared" si="733"/>
        <v>jupiter</v>
      </c>
      <c r="E795" s="368">
        <f t="shared" si="742"/>
        <v>3</v>
      </c>
      <c r="F795" s="367" t="str">
        <f t="shared" si="722"/>
        <v>sun</v>
      </c>
      <c r="G795" s="367">
        <f t="shared" si="746"/>
        <v>9</v>
      </c>
      <c r="H795" s="367" t="str">
        <f t="shared" si="743"/>
        <v>mercury</v>
      </c>
      <c r="I795" s="369">
        <f t="shared" si="747"/>
        <v>58142</v>
      </c>
      <c r="J795" s="377">
        <f t="shared" si="744"/>
        <v>41</v>
      </c>
      <c r="K795" s="369">
        <f t="shared" si="749"/>
        <v>58183</v>
      </c>
      <c r="L795" s="360">
        <f t="shared" si="748"/>
        <v>700</v>
      </c>
      <c r="O795" s="381"/>
    </row>
    <row r="796" spans="1:15">
      <c r="A796" s="355">
        <f t="shared" si="745"/>
        <v>701</v>
      </c>
      <c r="B796" s="372">
        <f t="shared" si="740"/>
        <v>58201</v>
      </c>
      <c r="C796" s="357">
        <f t="shared" si="741"/>
        <v>7</v>
      </c>
      <c r="D796" s="358" t="str">
        <f t="shared" si="733"/>
        <v>jupiter</v>
      </c>
      <c r="E796" s="368">
        <f t="shared" si="742"/>
        <v>3</v>
      </c>
      <c r="F796" s="367" t="str">
        <f t="shared" si="722"/>
        <v>sun</v>
      </c>
      <c r="G796" s="367">
        <f t="shared" si="746"/>
        <v>1</v>
      </c>
      <c r="H796" s="367" t="str">
        <f t="shared" si="743"/>
        <v>ketu</v>
      </c>
      <c r="I796" s="369">
        <f t="shared" si="747"/>
        <v>58183</v>
      </c>
      <c r="J796" s="377">
        <f t="shared" si="744"/>
        <v>18</v>
      </c>
      <c r="K796" s="369">
        <f t="shared" si="749"/>
        <v>58201</v>
      </c>
      <c r="L796" s="360">
        <f t="shared" si="748"/>
        <v>701</v>
      </c>
      <c r="O796" s="381"/>
    </row>
    <row r="797" spans="1:15">
      <c r="A797" s="355">
        <f t="shared" si="745"/>
        <v>702</v>
      </c>
      <c r="B797" s="372">
        <f t="shared" si="740"/>
        <v>58251</v>
      </c>
      <c r="C797" s="357">
        <f t="shared" si="741"/>
        <v>7</v>
      </c>
      <c r="D797" s="358" t="str">
        <f t="shared" si="733"/>
        <v>jupiter</v>
      </c>
      <c r="E797" s="368">
        <f t="shared" si="742"/>
        <v>3</v>
      </c>
      <c r="F797" s="367" t="str">
        <f t="shared" si="722"/>
        <v>sun</v>
      </c>
      <c r="G797" s="367">
        <f t="shared" si="746"/>
        <v>2</v>
      </c>
      <c r="H797" s="367" t="str">
        <f t="shared" si="743"/>
        <v>venus</v>
      </c>
      <c r="I797" s="369">
        <f t="shared" si="747"/>
        <v>58201</v>
      </c>
      <c r="J797" s="377">
        <f t="shared" si="744"/>
        <v>50</v>
      </c>
      <c r="K797" s="369">
        <f t="shared" si="749"/>
        <v>58251</v>
      </c>
      <c r="L797" s="360">
        <f t="shared" si="748"/>
        <v>702</v>
      </c>
      <c r="N797" s="358">
        <f>SUM(J789:J797)</f>
        <v>294</v>
      </c>
      <c r="O797" s="381"/>
    </row>
    <row r="798" spans="1:15">
      <c r="A798" s="399"/>
      <c r="B798" s="386"/>
      <c r="C798" s="387">
        <f>C788</f>
        <v>7</v>
      </c>
      <c r="D798" s="373" t="str">
        <f t="shared" si="733"/>
        <v>jupiter</v>
      </c>
      <c r="E798" s="393">
        <f>IF(E788+1&gt;9,E788+1-9,E788+1)</f>
        <v>4</v>
      </c>
      <c r="F798" s="389" t="str">
        <f t="shared" si="722"/>
        <v>moon</v>
      </c>
      <c r="G798" s="389"/>
      <c r="H798" s="389"/>
      <c r="I798" s="390">
        <f>K788</f>
        <v>58245</v>
      </c>
      <c r="J798" s="373">
        <f>ROUND(J$737*VLOOKUP(E798,$A$848:$E$856,5,FALSE),0)</f>
        <v>468</v>
      </c>
      <c r="K798" s="390">
        <f t="shared" ref="K798:K818" si="750">I798+J798</f>
        <v>58713</v>
      </c>
      <c r="L798" s="400"/>
      <c r="M798" s="373"/>
      <c r="N798" s="373"/>
      <c r="O798" s="381"/>
    </row>
    <row r="799" spans="1:15">
      <c r="A799" s="355">
        <f>A797+1</f>
        <v>703</v>
      </c>
      <c r="B799" s="372">
        <f t="shared" ref="B799:B807" si="751">K799</f>
        <v>58288</v>
      </c>
      <c r="C799" s="357">
        <f t="shared" ref="C799:C807" si="752">C798</f>
        <v>7</v>
      </c>
      <c r="D799" s="358" t="str">
        <f t="shared" si="733"/>
        <v>jupiter</v>
      </c>
      <c r="E799" s="368">
        <f t="shared" ref="E799:E807" si="753">E798</f>
        <v>4</v>
      </c>
      <c r="F799" s="367" t="str">
        <f t="shared" si="722"/>
        <v>moon</v>
      </c>
      <c r="G799" s="367">
        <f>E799</f>
        <v>4</v>
      </c>
      <c r="H799" s="367" t="str">
        <f t="shared" ref="H799:H807" si="754">VLOOKUP(G799,$A$848:$B$856,2,FALSE)</f>
        <v>moon</v>
      </c>
      <c r="I799" s="369">
        <f>K797</f>
        <v>58251</v>
      </c>
      <c r="J799" s="377">
        <f t="shared" ref="J799:J807" si="755">ROUND(J$798*VLOOKUP(G799,$A$848:$E$856,5,FALSE),0)</f>
        <v>37</v>
      </c>
      <c r="K799" s="369">
        <f t="shared" si="750"/>
        <v>58288</v>
      </c>
      <c r="L799" s="360">
        <f>L797+1</f>
        <v>703</v>
      </c>
      <c r="O799" s="381"/>
    </row>
    <row r="800" spans="1:15">
      <c r="A800" s="355">
        <f t="shared" ref="A800:A807" si="756">A799+1</f>
        <v>704</v>
      </c>
      <c r="B800" s="372">
        <f t="shared" si="751"/>
        <v>58316</v>
      </c>
      <c r="C800" s="357">
        <f t="shared" si="752"/>
        <v>7</v>
      </c>
      <c r="D800" s="358" t="str">
        <f t="shared" si="733"/>
        <v>jupiter</v>
      </c>
      <c r="E800" s="368">
        <f t="shared" si="753"/>
        <v>4</v>
      </c>
      <c r="F800" s="367" t="str">
        <f t="shared" si="722"/>
        <v>moon</v>
      </c>
      <c r="G800" s="367">
        <f t="shared" ref="G800:G807" si="757">IF(G799+1&gt;9,G799+1-9,G799+1)</f>
        <v>5</v>
      </c>
      <c r="H800" s="367" t="str">
        <f t="shared" si="754"/>
        <v>mars</v>
      </c>
      <c r="I800" s="369">
        <f t="shared" ref="I800:I807" si="758">K799</f>
        <v>58288</v>
      </c>
      <c r="J800" s="377">
        <f t="shared" si="755"/>
        <v>28</v>
      </c>
      <c r="K800" s="369">
        <f t="shared" si="750"/>
        <v>58316</v>
      </c>
      <c r="L800" s="360">
        <f t="shared" ref="L800:L807" si="759">L799+1</f>
        <v>704</v>
      </c>
      <c r="O800" s="381"/>
    </row>
    <row r="801" spans="1:15">
      <c r="A801" s="355">
        <f t="shared" si="756"/>
        <v>705</v>
      </c>
      <c r="B801" s="372">
        <f t="shared" si="751"/>
        <v>58386</v>
      </c>
      <c r="C801" s="357">
        <f t="shared" si="752"/>
        <v>7</v>
      </c>
      <c r="D801" s="358" t="str">
        <f t="shared" si="733"/>
        <v>jupiter</v>
      </c>
      <c r="E801" s="368">
        <f t="shared" si="753"/>
        <v>4</v>
      </c>
      <c r="F801" s="367" t="str">
        <f t="shared" si="722"/>
        <v>moon</v>
      </c>
      <c r="G801" s="367">
        <f t="shared" si="757"/>
        <v>6</v>
      </c>
      <c r="H801" s="367" t="str">
        <f t="shared" si="754"/>
        <v>rahu</v>
      </c>
      <c r="I801" s="369">
        <f t="shared" si="758"/>
        <v>58316</v>
      </c>
      <c r="J801" s="377">
        <f t="shared" si="755"/>
        <v>70</v>
      </c>
      <c r="K801" s="369">
        <f t="shared" si="750"/>
        <v>58386</v>
      </c>
      <c r="L801" s="360">
        <f t="shared" si="759"/>
        <v>705</v>
      </c>
      <c r="O801" s="381"/>
    </row>
    <row r="802" spans="1:15">
      <c r="A802" s="355">
        <f t="shared" si="756"/>
        <v>706</v>
      </c>
      <c r="B802" s="372">
        <f t="shared" si="751"/>
        <v>58447</v>
      </c>
      <c r="C802" s="357">
        <f t="shared" si="752"/>
        <v>7</v>
      </c>
      <c r="D802" s="358" t="str">
        <f t="shared" si="733"/>
        <v>jupiter</v>
      </c>
      <c r="E802" s="368">
        <f t="shared" si="753"/>
        <v>4</v>
      </c>
      <c r="F802" s="367" t="str">
        <f t="shared" ref="F802:F827" si="760">VLOOKUP(E802,$A$848:$B$856,2,FALSE)</f>
        <v>moon</v>
      </c>
      <c r="G802" s="367">
        <f t="shared" si="757"/>
        <v>7</v>
      </c>
      <c r="H802" s="367" t="str">
        <f t="shared" si="754"/>
        <v>jupiter</v>
      </c>
      <c r="I802" s="369">
        <f t="shared" si="758"/>
        <v>58386</v>
      </c>
      <c r="J802" s="377">
        <f t="shared" si="755"/>
        <v>61</v>
      </c>
      <c r="K802" s="369">
        <f t="shared" si="750"/>
        <v>58447</v>
      </c>
      <c r="L802" s="360">
        <f t="shared" si="759"/>
        <v>706</v>
      </c>
      <c r="O802" s="381"/>
    </row>
    <row r="803" spans="1:15">
      <c r="A803" s="355">
        <f t="shared" si="756"/>
        <v>707</v>
      </c>
      <c r="B803" s="372">
        <f t="shared" si="751"/>
        <v>58522</v>
      </c>
      <c r="C803" s="357">
        <f t="shared" si="752"/>
        <v>7</v>
      </c>
      <c r="D803" s="358" t="str">
        <f t="shared" si="733"/>
        <v>jupiter</v>
      </c>
      <c r="E803" s="368">
        <f t="shared" si="753"/>
        <v>4</v>
      </c>
      <c r="F803" s="367" t="str">
        <f t="shared" si="760"/>
        <v>moon</v>
      </c>
      <c r="G803" s="367">
        <f t="shared" si="757"/>
        <v>8</v>
      </c>
      <c r="H803" s="367" t="str">
        <f t="shared" si="754"/>
        <v>saturn</v>
      </c>
      <c r="I803" s="369">
        <f t="shared" si="758"/>
        <v>58447</v>
      </c>
      <c r="J803" s="377">
        <f t="shared" si="755"/>
        <v>75</v>
      </c>
      <c r="K803" s="369">
        <f t="shared" si="750"/>
        <v>58522</v>
      </c>
      <c r="L803" s="360">
        <f t="shared" si="759"/>
        <v>707</v>
      </c>
      <c r="O803" s="381"/>
    </row>
    <row r="804" spans="1:15">
      <c r="A804" s="355">
        <f t="shared" si="756"/>
        <v>708</v>
      </c>
      <c r="B804" s="372">
        <f t="shared" si="751"/>
        <v>58588</v>
      </c>
      <c r="C804" s="357">
        <f t="shared" si="752"/>
        <v>7</v>
      </c>
      <c r="D804" s="358" t="str">
        <f t="shared" si="733"/>
        <v>jupiter</v>
      </c>
      <c r="E804" s="368">
        <f t="shared" si="753"/>
        <v>4</v>
      </c>
      <c r="F804" s="367" t="str">
        <f t="shared" si="760"/>
        <v>moon</v>
      </c>
      <c r="G804" s="367">
        <f t="shared" si="757"/>
        <v>9</v>
      </c>
      <c r="H804" s="367" t="str">
        <f t="shared" si="754"/>
        <v>mercury</v>
      </c>
      <c r="I804" s="369">
        <f t="shared" si="758"/>
        <v>58522</v>
      </c>
      <c r="J804" s="377">
        <f t="shared" si="755"/>
        <v>66</v>
      </c>
      <c r="K804" s="369">
        <f t="shared" si="750"/>
        <v>58588</v>
      </c>
      <c r="L804" s="360">
        <f t="shared" si="759"/>
        <v>708</v>
      </c>
      <c r="O804" s="381"/>
    </row>
    <row r="805" spans="1:15">
      <c r="A805" s="355">
        <f t="shared" si="756"/>
        <v>709</v>
      </c>
      <c r="B805" s="372">
        <f t="shared" si="751"/>
        <v>58616</v>
      </c>
      <c r="C805" s="357">
        <f t="shared" si="752"/>
        <v>7</v>
      </c>
      <c r="D805" s="358" t="str">
        <f t="shared" si="733"/>
        <v>jupiter</v>
      </c>
      <c r="E805" s="368">
        <f t="shared" si="753"/>
        <v>4</v>
      </c>
      <c r="F805" s="367" t="str">
        <f t="shared" si="760"/>
        <v>moon</v>
      </c>
      <c r="G805" s="367">
        <f t="shared" si="757"/>
        <v>1</v>
      </c>
      <c r="H805" s="367" t="str">
        <f t="shared" si="754"/>
        <v>ketu</v>
      </c>
      <c r="I805" s="369">
        <f t="shared" si="758"/>
        <v>58588</v>
      </c>
      <c r="J805" s="377">
        <f t="shared" si="755"/>
        <v>28</v>
      </c>
      <c r="K805" s="369">
        <f t="shared" si="750"/>
        <v>58616</v>
      </c>
      <c r="L805" s="360">
        <f t="shared" si="759"/>
        <v>709</v>
      </c>
      <c r="O805" s="381"/>
    </row>
    <row r="806" spans="1:15">
      <c r="A806" s="355">
        <f t="shared" si="756"/>
        <v>710</v>
      </c>
      <c r="B806" s="372">
        <f t="shared" si="751"/>
        <v>58696</v>
      </c>
      <c r="C806" s="357">
        <f t="shared" si="752"/>
        <v>7</v>
      </c>
      <c r="D806" s="358" t="str">
        <f t="shared" si="733"/>
        <v>jupiter</v>
      </c>
      <c r="E806" s="368">
        <f t="shared" si="753"/>
        <v>4</v>
      </c>
      <c r="F806" s="367" t="str">
        <f t="shared" si="760"/>
        <v>moon</v>
      </c>
      <c r="G806" s="367">
        <f t="shared" si="757"/>
        <v>2</v>
      </c>
      <c r="H806" s="367" t="str">
        <f t="shared" si="754"/>
        <v>venus</v>
      </c>
      <c r="I806" s="369">
        <f t="shared" si="758"/>
        <v>58616</v>
      </c>
      <c r="J806" s="377">
        <f t="shared" si="755"/>
        <v>80</v>
      </c>
      <c r="K806" s="369">
        <f t="shared" si="750"/>
        <v>58696</v>
      </c>
      <c r="L806" s="360">
        <f t="shared" si="759"/>
        <v>710</v>
      </c>
      <c r="O806" s="381"/>
    </row>
    <row r="807" spans="1:15">
      <c r="A807" s="355">
        <f t="shared" si="756"/>
        <v>711</v>
      </c>
      <c r="B807" s="372">
        <f t="shared" si="751"/>
        <v>58719</v>
      </c>
      <c r="C807" s="357">
        <f t="shared" si="752"/>
        <v>7</v>
      </c>
      <c r="D807" s="358" t="str">
        <f t="shared" si="733"/>
        <v>jupiter</v>
      </c>
      <c r="E807" s="368">
        <f t="shared" si="753"/>
        <v>4</v>
      </c>
      <c r="F807" s="367" t="str">
        <f t="shared" si="760"/>
        <v>moon</v>
      </c>
      <c r="G807" s="367">
        <f t="shared" si="757"/>
        <v>3</v>
      </c>
      <c r="H807" s="367" t="str">
        <f t="shared" si="754"/>
        <v>sun</v>
      </c>
      <c r="I807" s="369">
        <f t="shared" si="758"/>
        <v>58696</v>
      </c>
      <c r="J807" s="377">
        <f t="shared" si="755"/>
        <v>23</v>
      </c>
      <c r="K807" s="369">
        <f t="shared" si="750"/>
        <v>58719</v>
      </c>
      <c r="L807" s="360">
        <f t="shared" si="759"/>
        <v>711</v>
      </c>
      <c r="N807" s="358">
        <f>SUM(J799:J807)</f>
        <v>468</v>
      </c>
      <c r="O807" s="381"/>
    </row>
    <row r="808" spans="1:15">
      <c r="A808" s="399"/>
      <c r="B808" s="386"/>
      <c r="C808" s="387">
        <f>C807</f>
        <v>7</v>
      </c>
      <c r="D808" s="373" t="str">
        <f t="shared" si="733"/>
        <v>jupiter</v>
      </c>
      <c r="E808" s="393">
        <f>IF(E798+1&gt;9,E798+1-9,E798+1)</f>
        <v>5</v>
      </c>
      <c r="F808" s="389" t="str">
        <f t="shared" si="760"/>
        <v>mars</v>
      </c>
      <c r="G808" s="389"/>
      <c r="H808" s="389"/>
      <c r="I808" s="390">
        <f>K798</f>
        <v>58713</v>
      </c>
      <c r="J808" s="373">
        <f>ROUND(J$737*VLOOKUP(E808,$A$848:$E$856,5,FALSE),0)</f>
        <v>351</v>
      </c>
      <c r="K808" s="390">
        <f t="shared" si="750"/>
        <v>59064</v>
      </c>
      <c r="L808" s="400"/>
      <c r="M808" s="373"/>
      <c r="N808" s="373"/>
      <c r="O808" s="381"/>
    </row>
    <row r="809" spans="1:15">
      <c r="A809" s="355">
        <f>A807+1</f>
        <v>712</v>
      </c>
      <c r="B809" s="372">
        <f>K809</f>
        <v>58740</v>
      </c>
      <c r="C809" s="357">
        <f t="shared" ref="C809:C817" si="761">C799</f>
        <v>7</v>
      </c>
      <c r="D809" s="358" t="str">
        <f t="shared" si="733"/>
        <v>jupiter</v>
      </c>
      <c r="E809" s="368">
        <f t="shared" ref="E809:E817" si="762">E808</f>
        <v>5</v>
      </c>
      <c r="F809" s="367" t="str">
        <f t="shared" si="760"/>
        <v>mars</v>
      </c>
      <c r="G809" s="367">
        <f>E809</f>
        <v>5</v>
      </c>
      <c r="H809" s="367" t="str">
        <f t="shared" ref="H809:H817" si="763">VLOOKUP(G809,$A$848:$B$856,2,FALSE)</f>
        <v>mars</v>
      </c>
      <c r="I809" s="369">
        <f>K807</f>
        <v>58719</v>
      </c>
      <c r="J809" s="377">
        <f t="shared" ref="J809:J817" si="764">ROUND(J$808*VLOOKUP(G809,$A$848:$E$856,5,FALSE),0)</f>
        <v>21</v>
      </c>
      <c r="K809" s="369">
        <f>I809+J809</f>
        <v>58740</v>
      </c>
      <c r="L809" s="360">
        <f>L807+1</f>
        <v>712</v>
      </c>
      <c r="O809" s="381"/>
    </row>
    <row r="810" spans="1:15">
      <c r="A810" s="355">
        <f t="shared" ref="A810:A817" si="765">A809+1</f>
        <v>713</v>
      </c>
      <c r="B810" s="372">
        <f>K810</f>
        <v>58793</v>
      </c>
      <c r="C810" s="357">
        <f t="shared" si="761"/>
        <v>7</v>
      </c>
      <c r="D810" s="358" t="str">
        <f t="shared" si="733"/>
        <v>jupiter</v>
      </c>
      <c r="E810" s="368">
        <f t="shared" si="762"/>
        <v>5</v>
      </c>
      <c r="F810" s="367" t="str">
        <f t="shared" si="760"/>
        <v>mars</v>
      </c>
      <c r="G810" s="367">
        <f>IF(G809+1&gt;9,G809+1-9,G809+1)</f>
        <v>6</v>
      </c>
      <c r="H810" s="367" t="str">
        <f t="shared" si="763"/>
        <v>rahu</v>
      </c>
      <c r="I810" s="369">
        <f t="shared" ref="I810:I817" si="766">K809</f>
        <v>58740</v>
      </c>
      <c r="J810" s="377">
        <f t="shared" si="764"/>
        <v>53</v>
      </c>
      <c r="K810" s="369">
        <f>I810+J810</f>
        <v>58793</v>
      </c>
      <c r="L810" s="360">
        <f t="shared" ref="L810:L817" si="767">L809+1</f>
        <v>713</v>
      </c>
      <c r="O810" s="381"/>
    </row>
    <row r="811" spans="1:15">
      <c r="A811" s="355">
        <f t="shared" si="765"/>
        <v>714</v>
      </c>
      <c r="B811" s="372">
        <f t="shared" ref="B811:B817" si="768">K811</f>
        <v>58839</v>
      </c>
      <c r="C811" s="357">
        <f t="shared" si="761"/>
        <v>7</v>
      </c>
      <c r="D811" s="358" t="str">
        <f t="shared" si="733"/>
        <v>jupiter</v>
      </c>
      <c r="E811" s="368">
        <f t="shared" si="762"/>
        <v>5</v>
      </c>
      <c r="F811" s="367" t="str">
        <f t="shared" si="760"/>
        <v>mars</v>
      </c>
      <c r="G811" s="367">
        <f t="shared" ref="G811:G817" si="769">IF(G810+1&gt;9,G810+1-9,G810+1)</f>
        <v>7</v>
      </c>
      <c r="H811" s="367" t="str">
        <f t="shared" si="763"/>
        <v>jupiter</v>
      </c>
      <c r="I811" s="369">
        <f t="shared" si="766"/>
        <v>58793</v>
      </c>
      <c r="J811" s="377">
        <f t="shared" si="764"/>
        <v>46</v>
      </c>
      <c r="K811" s="369">
        <f t="shared" ref="K811:K817" si="770">I811+J811</f>
        <v>58839</v>
      </c>
      <c r="L811" s="360">
        <f t="shared" si="767"/>
        <v>714</v>
      </c>
      <c r="O811" s="381"/>
    </row>
    <row r="812" spans="1:15">
      <c r="A812" s="355">
        <f t="shared" si="765"/>
        <v>715</v>
      </c>
      <c r="B812" s="372">
        <f t="shared" si="768"/>
        <v>58895</v>
      </c>
      <c r="C812" s="357">
        <f t="shared" si="761"/>
        <v>7</v>
      </c>
      <c r="D812" s="358" t="str">
        <f t="shared" si="733"/>
        <v>jupiter</v>
      </c>
      <c r="E812" s="368">
        <f t="shared" si="762"/>
        <v>5</v>
      </c>
      <c r="F812" s="367" t="str">
        <f t="shared" si="760"/>
        <v>mars</v>
      </c>
      <c r="G812" s="367">
        <f t="shared" si="769"/>
        <v>8</v>
      </c>
      <c r="H812" s="367" t="str">
        <f t="shared" si="763"/>
        <v>saturn</v>
      </c>
      <c r="I812" s="369">
        <f t="shared" si="766"/>
        <v>58839</v>
      </c>
      <c r="J812" s="377">
        <f t="shared" si="764"/>
        <v>56</v>
      </c>
      <c r="K812" s="369">
        <f t="shared" si="770"/>
        <v>58895</v>
      </c>
      <c r="L812" s="360">
        <f t="shared" si="767"/>
        <v>715</v>
      </c>
      <c r="O812" s="381"/>
    </row>
    <row r="813" spans="1:15">
      <c r="A813" s="355">
        <f t="shared" si="765"/>
        <v>716</v>
      </c>
      <c r="B813" s="372">
        <f t="shared" si="768"/>
        <v>58944</v>
      </c>
      <c r="C813" s="357">
        <f t="shared" si="761"/>
        <v>7</v>
      </c>
      <c r="D813" s="358" t="str">
        <f t="shared" si="733"/>
        <v>jupiter</v>
      </c>
      <c r="E813" s="368">
        <f t="shared" si="762"/>
        <v>5</v>
      </c>
      <c r="F813" s="367" t="str">
        <f t="shared" si="760"/>
        <v>mars</v>
      </c>
      <c r="G813" s="367">
        <f t="shared" si="769"/>
        <v>9</v>
      </c>
      <c r="H813" s="367" t="str">
        <f t="shared" si="763"/>
        <v>mercury</v>
      </c>
      <c r="I813" s="369">
        <f t="shared" si="766"/>
        <v>58895</v>
      </c>
      <c r="J813" s="377">
        <f t="shared" si="764"/>
        <v>49</v>
      </c>
      <c r="K813" s="369">
        <f t="shared" si="770"/>
        <v>58944</v>
      </c>
      <c r="L813" s="360">
        <f t="shared" si="767"/>
        <v>716</v>
      </c>
      <c r="O813" s="381"/>
    </row>
    <row r="814" spans="1:15">
      <c r="A814" s="355">
        <f t="shared" si="765"/>
        <v>717</v>
      </c>
      <c r="B814" s="372">
        <f t="shared" si="768"/>
        <v>58965</v>
      </c>
      <c r="C814" s="357">
        <f t="shared" si="761"/>
        <v>7</v>
      </c>
      <c r="D814" s="358" t="str">
        <f t="shared" si="733"/>
        <v>jupiter</v>
      </c>
      <c r="E814" s="368">
        <f t="shared" si="762"/>
        <v>5</v>
      </c>
      <c r="F814" s="367" t="str">
        <f t="shared" si="760"/>
        <v>mars</v>
      </c>
      <c r="G814" s="367">
        <f t="shared" si="769"/>
        <v>1</v>
      </c>
      <c r="H814" s="367" t="str">
        <f t="shared" si="763"/>
        <v>ketu</v>
      </c>
      <c r="I814" s="369">
        <f t="shared" si="766"/>
        <v>58944</v>
      </c>
      <c r="J814" s="377">
        <f t="shared" si="764"/>
        <v>21</v>
      </c>
      <c r="K814" s="369">
        <f t="shared" si="770"/>
        <v>58965</v>
      </c>
      <c r="L814" s="360">
        <f t="shared" si="767"/>
        <v>717</v>
      </c>
      <c r="O814" s="381"/>
    </row>
    <row r="815" spans="1:15">
      <c r="A815" s="355">
        <f t="shared" si="765"/>
        <v>718</v>
      </c>
      <c r="B815" s="372">
        <f t="shared" si="768"/>
        <v>59025</v>
      </c>
      <c r="C815" s="357">
        <f t="shared" si="761"/>
        <v>7</v>
      </c>
      <c r="D815" s="358" t="str">
        <f t="shared" si="733"/>
        <v>jupiter</v>
      </c>
      <c r="E815" s="368">
        <f t="shared" si="762"/>
        <v>5</v>
      </c>
      <c r="F815" s="367" t="str">
        <f t="shared" si="760"/>
        <v>mars</v>
      </c>
      <c r="G815" s="367">
        <f t="shared" si="769"/>
        <v>2</v>
      </c>
      <c r="H815" s="367" t="str">
        <f t="shared" si="763"/>
        <v>venus</v>
      </c>
      <c r="I815" s="369">
        <f t="shared" si="766"/>
        <v>58965</v>
      </c>
      <c r="J815" s="377">
        <f t="shared" si="764"/>
        <v>60</v>
      </c>
      <c r="K815" s="369">
        <f t="shared" si="770"/>
        <v>59025</v>
      </c>
      <c r="L815" s="360">
        <f t="shared" si="767"/>
        <v>718</v>
      </c>
      <c r="O815" s="381"/>
    </row>
    <row r="816" spans="1:15">
      <c r="A816" s="355">
        <f t="shared" si="765"/>
        <v>719</v>
      </c>
      <c r="B816" s="372">
        <f t="shared" si="768"/>
        <v>59043</v>
      </c>
      <c r="C816" s="357">
        <f t="shared" si="761"/>
        <v>7</v>
      </c>
      <c r="D816" s="358" t="str">
        <f t="shared" si="733"/>
        <v>jupiter</v>
      </c>
      <c r="E816" s="368">
        <f t="shared" si="762"/>
        <v>5</v>
      </c>
      <c r="F816" s="367" t="str">
        <f t="shared" si="760"/>
        <v>mars</v>
      </c>
      <c r="G816" s="367">
        <f t="shared" si="769"/>
        <v>3</v>
      </c>
      <c r="H816" s="367" t="str">
        <f t="shared" si="763"/>
        <v>sun</v>
      </c>
      <c r="I816" s="369">
        <f t="shared" si="766"/>
        <v>59025</v>
      </c>
      <c r="J816" s="377">
        <f t="shared" si="764"/>
        <v>18</v>
      </c>
      <c r="K816" s="369">
        <f t="shared" si="770"/>
        <v>59043</v>
      </c>
      <c r="L816" s="360">
        <f t="shared" si="767"/>
        <v>719</v>
      </c>
      <c r="O816" s="381"/>
    </row>
    <row r="817" spans="1:19">
      <c r="A817" s="355">
        <f t="shared" si="765"/>
        <v>720</v>
      </c>
      <c r="B817" s="372">
        <f t="shared" si="768"/>
        <v>59071</v>
      </c>
      <c r="C817" s="357">
        <f t="shared" si="761"/>
        <v>7</v>
      </c>
      <c r="D817" s="358" t="str">
        <f t="shared" si="733"/>
        <v>jupiter</v>
      </c>
      <c r="E817" s="368">
        <f t="shared" si="762"/>
        <v>5</v>
      </c>
      <c r="F817" s="367" t="str">
        <f t="shared" si="760"/>
        <v>mars</v>
      </c>
      <c r="G817" s="367">
        <f t="shared" si="769"/>
        <v>4</v>
      </c>
      <c r="H817" s="367" t="str">
        <f t="shared" si="763"/>
        <v>moon</v>
      </c>
      <c r="I817" s="369">
        <f t="shared" si="766"/>
        <v>59043</v>
      </c>
      <c r="J817" s="377">
        <f t="shared" si="764"/>
        <v>28</v>
      </c>
      <c r="K817" s="369">
        <f t="shared" si="770"/>
        <v>59071</v>
      </c>
      <c r="L817" s="360">
        <f t="shared" si="767"/>
        <v>720</v>
      </c>
      <c r="N817" s="358">
        <f>SUM(J809:J817)</f>
        <v>352</v>
      </c>
      <c r="O817" s="381"/>
    </row>
    <row r="818" spans="1:19">
      <c r="A818" s="399"/>
      <c r="B818" s="386"/>
      <c r="C818" s="387">
        <f>C817</f>
        <v>7</v>
      </c>
      <c r="D818" s="373" t="str">
        <f t="shared" ref="D818:D827" si="771">D808</f>
        <v>jupiter</v>
      </c>
      <c r="E818" s="393">
        <f>IF(E808+1&gt;9,E808+1-9,E808+1)</f>
        <v>6</v>
      </c>
      <c r="F818" s="389" t="str">
        <f t="shared" si="760"/>
        <v>rahu</v>
      </c>
      <c r="G818" s="389"/>
      <c r="H818" s="389"/>
      <c r="I818" s="390">
        <f>K808</f>
        <v>59064</v>
      </c>
      <c r="J818" s="373">
        <f>ROUND(J$737*VLOOKUP(E818,$A$848:$E$856,5,FALSE),0)</f>
        <v>877</v>
      </c>
      <c r="K818" s="390">
        <f t="shared" si="750"/>
        <v>59941</v>
      </c>
      <c r="L818" s="400"/>
      <c r="M818" s="373"/>
      <c r="N818" s="373"/>
      <c r="O818" s="381"/>
    </row>
    <row r="819" spans="1:19">
      <c r="A819" s="355">
        <f>A817+1</f>
        <v>721</v>
      </c>
      <c r="B819" s="372">
        <f>K819</f>
        <v>59203</v>
      </c>
      <c r="C819" s="357">
        <f t="shared" ref="C819:C827" si="772">C809</f>
        <v>7</v>
      </c>
      <c r="D819" s="358" t="str">
        <f t="shared" si="771"/>
        <v>jupiter</v>
      </c>
      <c r="E819" s="368">
        <f t="shared" ref="E819:E827" si="773">E818</f>
        <v>6</v>
      </c>
      <c r="F819" s="367" t="str">
        <f t="shared" si="760"/>
        <v>rahu</v>
      </c>
      <c r="G819" s="367">
        <f>E819</f>
        <v>6</v>
      </c>
      <c r="H819" s="367" t="str">
        <f t="shared" ref="H819:H827" si="774">VLOOKUP(G819,$A$848:$B$856,2,FALSE)</f>
        <v>rahu</v>
      </c>
      <c r="I819" s="369">
        <f>K817</f>
        <v>59071</v>
      </c>
      <c r="J819" s="377">
        <f t="shared" ref="J819:J827" si="775">ROUND(J$818*VLOOKUP(G819,$A$848:$E$856,5,FALSE),0)</f>
        <v>132</v>
      </c>
      <c r="K819" s="378">
        <f>I819+J819</f>
        <v>59203</v>
      </c>
      <c r="L819" s="360">
        <f>L817+1</f>
        <v>721</v>
      </c>
      <c r="O819" s="381"/>
    </row>
    <row r="820" spans="1:19">
      <c r="A820" s="355">
        <f t="shared" ref="A820:A827" si="776">A819+1</f>
        <v>722</v>
      </c>
      <c r="B820" s="372">
        <f>K820</f>
        <v>59317</v>
      </c>
      <c r="C820" s="357">
        <f t="shared" si="772"/>
        <v>7</v>
      </c>
      <c r="D820" s="358" t="str">
        <f t="shared" si="771"/>
        <v>jupiter</v>
      </c>
      <c r="E820" s="368">
        <f t="shared" si="773"/>
        <v>6</v>
      </c>
      <c r="F820" s="367" t="str">
        <f t="shared" si="760"/>
        <v>rahu</v>
      </c>
      <c r="G820" s="367">
        <f>IF(G819+1&gt;9,G819+1-9,G819+1)</f>
        <v>7</v>
      </c>
      <c r="H820" s="367" t="str">
        <f t="shared" si="774"/>
        <v>jupiter</v>
      </c>
      <c r="I820" s="369">
        <f t="shared" ref="I820:I827" si="777">K819</f>
        <v>59203</v>
      </c>
      <c r="J820" s="377">
        <f t="shared" si="775"/>
        <v>114</v>
      </c>
      <c r="K820" s="378">
        <f>I820+J820</f>
        <v>59317</v>
      </c>
      <c r="L820" s="360">
        <f t="shared" ref="L820:L827" si="778">L819+1</f>
        <v>722</v>
      </c>
      <c r="O820" s="381"/>
    </row>
    <row r="821" spans="1:19">
      <c r="A821" s="355">
        <f t="shared" si="776"/>
        <v>723</v>
      </c>
      <c r="B821" s="372">
        <f t="shared" ref="B821:B827" si="779">K821</f>
        <v>59457</v>
      </c>
      <c r="C821" s="357">
        <f t="shared" si="772"/>
        <v>7</v>
      </c>
      <c r="D821" s="358" t="str">
        <f t="shared" si="771"/>
        <v>jupiter</v>
      </c>
      <c r="E821" s="368">
        <f t="shared" si="773"/>
        <v>6</v>
      </c>
      <c r="F821" s="367" t="str">
        <f t="shared" si="760"/>
        <v>rahu</v>
      </c>
      <c r="G821" s="367">
        <f t="shared" ref="G821:G827" si="780">IF(G820+1&gt;9,G820+1-9,G820+1)</f>
        <v>8</v>
      </c>
      <c r="H821" s="367" t="str">
        <f t="shared" si="774"/>
        <v>saturn</v>
      </c>
      <c r="I821" s="369">
        <f t="shared" si="777"/>
        <v>59317</v>
      </c>
      <c r="J821" s="377">
        <f t="shared" si="775"/>
        <v>140</v>
      </c>
      <c r="K821" s="378">
        <f t="shared" ref="K821:K827" si="781">I821+J821</f>
        <v>59457</v>
      </c>
      <c r="L821" s="360">
        <f t="shared" si="778"/>
        <v>723</v>
      </c>
      <c r="O821" s="381"/>
    </row>
    <row r="822" spans="1:19">
      <c r="A822" s="355">
        <f t="shared" si="776"/>
        <v>724</v>
      </c>
      <c r="B822" s="372">
        <f t="shared" si="779"/>
        <v>59580</v>
      </c>
      <c r="C822" s="357">
        <f t="shared" si="772"/>
        <v>7</v>
      </c>
      <c r="D822" s="358" t="str">
        <f t="shared" si="771"/>
        <v>jupiter</v>
      </c>
      <c r="E822" s="368">
        <f t="shared" si="773"/>
        <v>6</v>
      </c>
      <c r="F822" s="367" t="str">
        <f t="shared" si="760"/>
        <v>rahu</v>
      </c>
      <c r="G822" s="367">
        <f t="shared" si="780"/>
        <v>9</v>
      </c>
      <c r="H822" s="367" t="str">
        <f t="shared" si="774"/>
        <v>mercury</v>
      </c>
      <c r="I822" s="369">
        <f t="shared" si="777"/>
        <v>59457</v>
      </c>
      <c r="J822" s="377">
        <f t="shared" si="775"/>
        <v>123</v>
      </c>
      <c r="K822" s="378">
        <f t="shared" si="781"/>
        <v>59580</v>
      </c>
      <c r="L822" s="360">
        <f t="shared" si="778"/>
        <v>724</v>
      </c>
      <c r="O822" s="381"/>
    </row>
    <row r="823" spans="1:19">
      <c r="A823" s="355">
        <f t="shared" si="776"/>
        <v>725</v>
      </c>
      <c r="B823" s="372">
        <f t="shared" si="779"/>
        <v>59633</v>
      </c>
      <c r="C823" s="357">
        <f t="shared" si="772"/>
        <v>7</v>
      </c>
      <c r="D823" s="358" t="str">
        <f t="shared" si="771"/>
        <v>jupiter</v>
      </c>
      <c r="E823" s="368">
        <f t="shared" si="773"/>
        <v>6</v>
      </c>
      <c r="F823" s="367" t="str">
        <f t="shared" si="760"/>
        <v>rahu</v>
      </c>
      <c r="G823" s="367">
        <f t="shared" si="780"/>
        <v>1</v>
      </c>
      <c r="H823" s="367" t="str">
        <f t="shared" si="774"/>
        <v>ketu</v>
      </c>
      <c r="I823" s="369">
        <f t="shared" si="777"/>
        <v>59580</v>
      </c>
      <c r="J823" s="377">
        <f t="shared" si="775"/>
        <v>53</v>
      </c>
      <c r="K823" s="378">
        <f t="shared" si="781"/>
        <v>59633</v>
      </c>
      <c r="L823" s="360">
        <f t="shared" si="778"/>
        <v>725</v>
      </c>
      <c r="O823" s="381"/>
    </row>
    <row r="824" spans="1:19">
      <c r="A824" s="355">
        <f t="shared" si="776"/>
        <v>726</v>
      </c>
      <c r="B824" s="372">
        <f t="shared" si="779"/>
        <v>59782</v>
      </c>
      <c r="C824" s="357">
        <f t="shared" si="772"/>
        <v>7</v>
      </c>
      <c r="D824" s="358" t="str">
        <f t="shared" si="771"/>
        <v>jupiter</v>
      </c>
      <c r="E824" s="368">
        <f t="shared" si="773"/>
        <v>6</v>
      </c>
      <c r="F824" s="367" t="str">
        <f t="shared" si="760"/>
        <v>rahu</v>
      </c>
      <c r="G824" s="367">
        <f t="shared" si="780"/>
        <v>2</v>
      </c>
      <c r="H824" s="367" t="str">
        <f t="shared" si="774"/>
        <v>venus</v>
      </c>
      <c r="I824" s="369">
        <f t="shared" si="777"/>
        <v>59633</v>
      </c>
      <c r="J824" s="377">
        <f t="shared" si="775"/>
        <v>149</v>
      </c>
      <c r="K824" s="378">
        <f t="shared" si="781"/>
        <v>59782</v>
      </c>
      <c r="L824" s="360">
        <f t="shared" si="778"/>
        <v>726</v>
      </c>
      <c r="O824" s="381"/>
    </row>
    <row r="825" spans="1:19">
      <c r="A825" s="355">
        <f t="shared" si="776"/>
        <v>727</v>
      </c>
      <c r="B825" s="372">
        <f t="shared" si="779"/>
        <v>59826</v>
      </c>
      <c r="C825" s="357">
        <f t="shared" si="772"/>
        <v>7</v>
      </c>
      <c r="D825" s="358" t="str">
        <f t="shared" si="771"/>
        <v>jupiter</v>
      </c>
      <c r="E825" s="368">
        <f t="shared" si="773"/>
        <v>6</v>
      </c>
      <c r="F825" s="367" t="str">
        <f t="shared" si="760"/>
        <v>rahu</v>
      </c>
      <c r="G825" s="367">
        <f t="shared" si="780"/>
        <v>3</v>
      </c>
      <c r="H825" s="367" t="str">
        <f t="shared" si="774"/>
        <v>sun</v>
      </c>
      <c r="I825" s="369">
        <f t="shared" si="777"/>
        <v>59782</v>
      </c>
      <c r="J825" s="377">
        <f t="shared" si="775"/>
        <v>44</v>
      </c>
      <c r="K825" s="378">
        <f t="shared" si="781"/>
        <v>59826</v>
      </c>
      <c r="L825" s="360">
        <f t="shared" si="778"/>
        <v>727</v>
      </c>
      <c r="O825" s="381"/>
    </row>
    <row r="826" spans="1:19">
      <c r="A826" s="355">
        <f t="shared" si="776"/>
        <v>728</v>
      </c>
      <c r="B826" s="372">
        <f t="shared" si="779"/>
        <v>59896</v>
      </c>
      <c r="C826" s="357">
        <f t="shared" si="772"/>
        <v>7</v>
      </c>
      <c r="D826" s="358" t="str">
        <f t="shared" si="771"/>
        <v>jupiter</v>
      </c>
      <c r="E826" s="368">
        <f t="shared" si="773"/>
        <v>6</v>
      </c>
      <c r="F826" s="367" t="str">
        <f t="shared" si="760"/>
        <v>rahu</v>
      </c>
      <c r="G826" s="367">
        <f t="shared" si="780"/>
        <v>4</v>
      </c>
      <c r="H826" s="367" t="str">
        <f t="shared" si="774"/>
        <v>moon</v>
      </c>
      <c r="I826" s="369">
        <f t="shared" si="777"/>
        <v>59826</v>
      </c>
      <c r="J826" s="377">
        <f t="shared" si="775"/>
        <v>70</v>
      </c>
      <c r="K826" s="378">
        <f t="shared" si="781"/>
        <v>59896</v>
      </c>
      <c r="L826" s="360">
        <f t="shared" si="778"/>
        <v>728</v>
      </c>
      <c r="O826" s="381"/>
    </row>
    <row r="827" spans="1:19">
      <c r="A827" s="355">
        <f t="shared" si="776"/>
        <v>729</v>
      </c>
      <c r="B827" s="372">
        <f t="shared" si="779"/>
        <v>59949</v>
      </c>
      <c r="C827" s="357">
        <f t="shared" si="772"/>
        <v>7</v>
      </c>
      <c r="D827" s="358" t="str">
        <f t="shared" si="771"/>
        <v>jupiter</v>
      </c>
      <c r="E827" s="368">
        <f t="shared" si="773"/>
        <v>6</v>
      </c>
      <c r="F827" s="367" t="str">
        <f t="shared" si="760"/>
        <v>rahu</v>
      </c>
      <c r="G827" s="367">
        <f t="shared" si="780"/>
        <v>5</v>
      </c>
      <c r="H827" s="367" t="str">
        <f t="shared" si="774"/>
        <v>mars</v>
      </c>
      <c r="I827" s="369">
        <f t="shared" si="777"/>
        <v>59896</v>
      </c>
      <c r="J827" s="377">
        <f t="shared" si="775"/>
        <v>53</v>
      </c>
      <c r="K827" s="378">
        <f t="shared" si="781"/>
        <v>59949</v>
      </c>
      <c r="L827" s="360">
        <f t="shared" si="778"/>
        <v>729</v>
      </c>
      <c r="N827" s="358">
        <f>SUM(J819:J827)</f>
        <v>878</v>
      </c>
      <c r="O827" s="413" t="s">
        <v>554</v>
      </c>
      <c r="P827" s="413"/>
    </row>
    <row r="828" spans="1:19">
      <c r="A828" s="404"/>
      <c r="B828" s="405"/>
      <c r="C828" s="411"/>
      <c r="D828" s="383"/>
      <c r="E828" s="412"/>
      <c r="F828" s="383"/>
      <c r="G828" s="383"/>
      <c r="H828" s="383"/>
      <c r="I828" s="376">
        <f>K737</f>
        <v>59940</v>
      </c>
      <c r="J828" s="383"/>
      <c r="K828" s="383"/>
      <c r="L828" s="409"/>
      <c r="M828" s="383"/>
      <c r="N828" s="370">
        <f>N747+N757+N767+N777+N787+N797+N807+N817+N827</f>
        <v>5853</v>
      </c>
      <c r="O828" s="413">
        <f>J737-N828</f>
        <v>-9</v>
      </c>
      <c r="P828" s="413">
        <f>K827-I828</f>
        <v>9</v>
      </c>
    </row>
    <row r="829" spans="1:19">
      <c r="A829" s="355"/>
      <c r="B829" s="356"/>
      <c r="C829" s="357"/>
      <c r="D829" s="358"/>
      <c r="E829" s="359"/>
      <c r="F829" s="358"/>
      <c r="G829" s="358"/>
      <c r="H829" s="358"/>
      <c r="I829" s="358"/>
      <c r="K829" s="358"/>
      <c r="L829" s="360"/>
      <c r="O829" s="381"/>
    </row>
    <row r="831" spans="1:19">
      <c r="A831" s="216" t="s">
        <v>324</v>
      </c>
      <c r="B831" s="216">
        <f>PAC!F27</f>
        <v>217.97</v>
      </c>
      <c r="F831" s="193"/>
      <c r="G831" s="364"/>
      <c r="H831" s="364"/>
      <c r="I831" s="364"/>
      <c r="J831" s="364"/>
      <c r="K831" s="441"/>
      <c r="L831" s="442"/>
      <c r="M831" s="441"/>
      <c r="N831" s="442"/>
      <c r="O831" s="367"/>
      <c r="P831" s="367"/>
      <c r="Q831" s="364"/>
      <c r="R831" s="367"/>
      <c r="S831" s="443"/>
    </row>
    <row r="832" spans="1:19">
      <c r="A832" s="216" t="s">
        <v>325</v>
      </c>
      <c r="B832" s="216">
        <f>FLOOR(B831/B846,1)+1</f>
        <v>17</v>
      </c>
      <c r="F832" s="193"/>
      <c r="G832" s="364"/>
      <c r="H832" s="364"/>
      <c r="I832" s="364"/>
      <c r="J832" s="364"/>
      <c r="K832" s="367"/>
      <c r="L832" s="364"/>
      <c r="M832" s="367"/>
      <c r="N832" s="364"/>
      <c r="O832" s="367"/>
      <c r="P832" s="367"/>
      <c r="Q832" s="364"/>
      <c r="R832" s="367"/>
      <c r="S832" s="443"/>
    </row>
    <row r="833" spans="1:19">
      <c r="A833" s="216" t="s">
        <v>326</v>
      </c>
      <c r="B833" s="216">
        <f>MOD(B831,B846)</f>
        <v>4.6366666666666561</v>
      </c>
      <c r="F833" s="193"/>
      <c r="G833" s="364"/>
      <c r="H833" s="364"/>
      <c r="I833" s="364"/>
      <c r="J833" s="364"/>
      <c r="K833" s="367"/>
      <c r="L833" s="364"/>
      <c r="M833" s="367"/>
      <c r="N833" s="364"/>
      <c r="O833" s="367"/>
      <c r="P833" s="367"/>
      <c r="Q833" s="364"/>
      <c r="R833" s="367"/>
      <c r="S833" s="443"/>
    </row>
    <row r="834" spans="1:19">
      <c r="A834" s="216" t="s">
        <v>327</v>
      </c>
      <c r="B834" s="216" t="str">
        <f>VLOOKUP(MOD(B832,9),A848:B856,2,FALSE)</f>
        <v>saturn</v>
      </c>
      <c r="F834" s="193"/>
      <c r="G834" s="364"/>
      <c r="H834" s="364"/>
      <c r="I834" s="364"/>
      <c r="J834" s="364"/>
      <c r="K834" s="367"/>
      <c r="L834" s="364"/>
      <c r="M834" s="367"/>
      <c r="N834" s="364"/>
      <c r="O834" s="367"/>
      <c r="P834" s="367"/>
      <c r="Q834" s="364"/>
      <c r="R834" s="367"/>
      <c r="S834" s="443"/>
    </row>
    <row r="835" spans="1:19">
      <c r="A835" s="216" t="s">
        <v>328</v>
      </c>
      <c r="B835" s="216">
        <f>VLOOKUP(MOD(B832,9),A848:D856,4,FALSE)</f>
        <v>6939.75</v>
      </c>
      <c r="F835" s="193"/>
      <c r="G835" s="364"/>
      <c r="H835" s="364"/>
      <c r="I835" s="364"/>
      <c r="J835" s="364"/>
      <c r="K835" s="367"/>
      <c r="L835" s="364"/>
      <c r="M835" s="367"/>
      <c r="N835" s="364"/>
      <c r="O835" s="367"/>
      <c r="P835" s="444"/>
      <c r="Q835" s="445"/>
      <c r="R835" s="444"/>
      <c r="S835" s="443"/>
    </row>
    <row r="836" spans="1:19">
      <c r="A836" s="216" t="s">
        <v>329</v>
      </c>
      <c r="B836" s="216">
        <f>ROUND(B835*B833/B846,0)</f>
        <v>2413</v>
      </c>
      <c r="F836" s="193"/>
      <c r="G836" s="364"/>
      <c r="H836" s="364"/>
      <c r="I836" s="446"/>
      <c r="J836" s="364"/>
      <c r="K836" s="367"/>
      <c r="L836" s="364"/>
      <c r="M836" s="367"/>
      <c r="N836" s="364"/>
      <c r="O836" s="367"/>
      <c r="P836" s="444"/>
      <c r="Q836" s="445"/>
      <c r="R836" s="444"/>
      <c r="S836" s="443"/>
    </row>
    <row r="837" spans="1:19">
      <c r="A837" s="216" t="s">
        <v>249</v>
      </c>
      <c r="B837" s="217">
        <f>DATE(D842,C842,B842)</f>
        <v>18523</v>
      </c>
      <c r="F837" s="193"/>
      <c r="G837" s="364"/>
      <c r="H837" s="364"/>
      <c r="I837" s="446"/>
      <c r="J837" s="364"/>
      <c r="K837" s="367"/>
      <c r="L837" s="364"/>
      <c r="M837" s="367"/>
      <c r="N837" s="364"/>
      <c r="O837" s="367"/>
      <c r="P837" s="444"/>
      <c r="Q837" s="445"/>
      <c r="R837" s="444"/>
      <c r="S837" s="443"/>
    </row>
    <row r="838" spans="1:19">
      <c r="F838" s="193"/>
      <c r="G838" s="364"/>
      <c r="H838" s="364"/>
      <c r="I838" s="446"/>
      <c r="J838" s="364"/>
      <c r="K838" s="367"/>
      <c r="L838" s="364"/>
      <c r="M838" s="367"/>
      <c r="N838" s="364"/>
      <c r="O838" s="367"/>
      <c r="P838" s="444"/>
      <c r="Q838" s="445"/>
      <c r="R838" s="444"/>
      <c r="S838" s="443"/>
    </row>
    <row r="839" spans="1:19">
      <c r="A839" s="220" t="s">
        <v>330</v>
      </c>
      <c r="B839" s="220">
        <f>DataEntry!G19</f>
        <v>20</v>
      </c>
      <c r="C839" s="220">
        <f>DataEntry!G20</f>
        <v>5</v>
      </c>
      <c r="D839" s="220">
        <f>DataEntry!G21</f>
        <v>2018</v>
      </c>
      <c r="E839" s="439">
        <f>DATE(D839,C839,B839)</f>
        <v>43240</v>
      </c>
      <c r="F839" s="193"/>
      <c r="G839" s="364"/>
      <c r="H839" s="364"/>
      <c r="I839" s="446"/>
      <c r="J839" s="364"/>
      <c r="K839" s="367"/>
      <c r="L839" s="364"/>
      <c r="M839" s="367"/>
      <c r="N839" s="364"/>
      <c r="O839" s="367"/>
      <c r="P839" s="444"/>
      <c r="Q839" s="445"/>
      <c r="R839" s="444"/>
      <c r="S839" s="443"/>
    </row>
    <row r="840" spans="1:19">
      <c r="A840" s="220"/>
      <c r="B840" s="379">
        <f>IF((E839&lt;=B11),0,VLOOKUP(E839,$B$10:$L$827,11))</f>
        <v>447</v>
      </c>
      <c r="C840" s="220">
        <f>B840+1</f>
        <v>448</v>
      </c>
      <c r="F840" s="447"/>
      <c r="G840" s="447"/>
      <c r="H840" s="364"/>
      <c r="I840" s="446"/>
      <c r="J840" s="364"/>
      <c r="K840" s="367"/>
      <c r="L840" s="364"/>
      <c r="M840" s="367"/>
      <c r="N840" s="364"/>
      <c r="O840" s="367"/>
      <c r="P840" s="444"/>
      <c r="Q840" s="445"/>
      <c r="R840" s="444"/>
      <c r="S840" s="443"/>
    </row>
    <row r="841" spans="1:19">
      <c r="A841" s="220"/>
      <c r="B841" s="220" t="str">
        <f>VLOOKUP($C$840,$A$10:$H$827,4)</f>
        <v>moon</v>
      </c>
      <c r="C841" s="220" t="str">
        <f>VLOOKUP($C$840,$A$10:$H$827,6)</f>
        <v>saturn</v>
      </c>
      <c r="D841" s="220" t="str">
        <f>VLOOKUP($C$840,$A$10:$H$827,8)</f>
        <v>mars</v>
      </c>
      <c r="F841" s="447"/>
      <c r="G841" s="447"/>
      <c r="H841" s="364"/>
      <c r="I841" s="446"/>
      <c r="J841" s="364"/>
      <c r="K841" s="367"/>
      <c r="L841" s="364"/>
      <c r="M841" s="367"/>
      <c r="N841" s="364"/>
      <c r="O841" s="367"/>
      <c r="P841" s="444"/>
      <c r="Q841" s="445"/>
      <c r="R841" s="444"/>
      <c r="S841" s="443"/>
    </row>
    <row r="842" spans="1:19">
      <c r="A842" s="220" t="s">
        <v>249</v>
      </c>
      <c r="B842" s="221">
        <f>DataEntry!G3</f>
        <v>17</v>
      </c>
      <c r="C842" s="221">
        <f>DataEntry!G4</f>
        <v>9</v>
      </c>
      <c r="D842" s="221">
        <f>DataEntry!G5</f>
        <v>1950</v>
      </c>
      <c r="E842" s="439">
        <f>DATE(D842,C842,B842)</f>
        <v>18523</v>
      </c>
      <c r="F842" s="193"/>
      <c r="G842" s="364"/>
      <c r="H842" s="364"/>
      <c r="I842" s="446"/>
      <c r="J842" s="364"/>
      <c r="K842" s="367"/>
      <c r="L842" s="364"/>
      <c r="M842" s="367"/>
      <c r="N842" s="364"/>
      <c r="O842" s="367"/>
      <c r="P842" s="444"/>
      <c r="Q842" s="445"/>
      <c r="R842" s="444"/>
      <c r="S842" s="443"/>
    </row>
    <row r="843" spans="1:19">
      <c r="A843" s="220"/>
      <c r="B843" s="220">
        <f>IF((E842&lt;=B11),0,VLOOKUP(E842,$B$10:$L$827,11))</f>
        <v>25</v>
      </c>
      <c r="C843" s="220">
        <f>B843+1</f>
        <v>26</v>
      </c>
      <c r="F843" s="447"/>
      <c r="G843" s="447"/>
      <c r="H843" s="364"/>
      <c r="I843" s="446"/>
      <c r="J843" s="364"/>
      <c r="K843" s="367"/>
      <c r="L843" s="364"/>
      <c r="M843" s="367"/>
      <c r="N843" s="364"/>
      <c r="O843" s="367"/>
      <c r="P843" s="444"/>
      <c r="Q843" s="445"/>
      <c r="R843" s="444"/>
      <c r="S843" s="443"/>
    </row>
    <row r="844" spans="1:19">
      <c r="A844" s="220"/>
      <c r="B844" s="220" t="str">
        <f>VLOOKUP($C$843,$A$10:$H$827,4)</f>
        <v>saturn</v>
      </c>
      <c r="C844" s="220" t="str">
        <f>VLOOKUP($C$843,$A$10:$H$827,6)</f>
        <v>ketu</v>
      </c>
      <c r="D844" s="220" t="str">
        <f>VLOOKUP($C$843,$A$10:$H$827,8)</f>
        <v>saturn</v>
      </c>
      <c r="F844" s="447"/>
      <c r="G844" s="447"/>
      <c r="H844" s="364"/>
      <c r="I844" s="446"/>
      <c r="J844" s="364"/>
      <c r="K844" s="367"/>
      <c r="L844" s="364"/>
      <c r="M844" s="367"/>
      <c r="N844" s="364"/>
      <c r="O844" s="367"/>
      <c r="P844" s="444"/>
      <c r="Q844" s="445"/>
      <c r="R844" s="444"/>
      <c r="S844" s="443"/>
    </row>
    <row r="845" spans="1:19">
      <c r="F845" s="193"/>
      <c r="G845" s="364"/>
      <c r="H845" s="364"/>
      <c r="I845" s="364"/>
      <c r="J845" s="364"/>
      <c r="K845" s="367"/>
      <c r="L845" s="364"/>
      <c r="M845" s="367"/>
      <c r="N845" s="364"/>
      <c r="O845" s="367"/>
      <c r="P845" s="367"/>
      <c r="Q845" s="364"/>
      <c r="R845" s="367"/>
      <c r="S845" s="443"/>
    </row>
    <row r="846" spans="1:19">
      <c r="A846" s="218"/>
      <c r="B846" s="219">
        <f>360/27</f>
        <v>13.333333333333334</v>
      </c>
      <c r="C846" s="218"/>
      <c r="D846" s="218"/>
      <c r="E846" s="440"/>
      <c r="F846" s="193"/>
      <c r="G846" s="364"/>
      <c r="H846" s="364"/>
      <c r="I846" s="364"/>
      <c r="J846" s="364"/>
      <c r="K846" s="367"/>
      <c r="L846" s="364"/>
      <c r="M846" s="367"/>
      <c r="N846" s="364"/>
      <c r="O846" s="367"/>
      <c r="P846" s="367"/>
      <c r="Q846" s="364"/>
      <c r="R846" s="367"/>
      <c r="S846" s="443"/>
    </row>
    <row r="847" spans="1:19">
      <c r="A847" s="218"/>
      <c r="B847" s="218"/>
      <c r="C847" s="218"/>
      <c r="D847" s="218"/>
      <c r="E847" s="440"/>
      <c r="F847" s="193"/>
      <c r="G847" s="364"/>
      <c r="H847" s="364"/>
      <c r="I847" s="364"/>
      <c r="J847" s="364"/>
      <c r="K847" s="367"/>
      <c r="L847" s="364"/>
      <c r="M847" s="367"/>
      <c r="N847" s="364"/>
      <c r="O847" s="367"/>
      <c r="P847" s="367"/>
      <c r="Q847" s="364"/>
      <c r="R847" s="367"/>
      <c r="S847" s="443"/>
    </row>
    <row r="848" spans="1:19">
      <c r="A848" s="218">
        <v>1</v>
      </c>
      <c r="B848" s="219" t="str">
        <f>PAC!M23</f>
        <v>ketu</v>
      </c>
      <c r="C848" s="218">
        <v>7</v>
      </c>
      <c r="D848" s="218">
        <f>C848*365.25</f>
        <v>2556.75</v>
      </c>
      <c r="E848" s="440">
        <f t="shared" ref="E848:E856" si="782">ROUND(C848/C$857,2)</f>
        <v>0.06</v>
      </c>
      <c r="F848" s="193"/>
      <c r="G848" s="364"/>
      <c r="H848" s="364"/>
      <c r="I848" s="364"/>
      <c r="J848" s="364"/>
      <c r="K848" s="367"/>
      <c r="L848" s="364"/>
      <c r="M848" s="367"/>
      <c r="N848" s="364"/>
      <c r="O848" s="367"/>
      <c r="P848" s="367"/>
      <c r="Q848" s="364"/>
      <c r="R848" s="367"/>
      <c r="S848" s="443"/>
    </row>
    <row r="849" spans="1:19">
      <c r="A849" s="218">
        <v>2</v>
      </c>
      <c r="B849" s="219" t="str">
        <f>PAC!H23</f>
        <v>venus</v>
      </c>
      <c r="C849" s="218">
        <v>20</v>
      </c>
      <c r="D849" s="218">
        <f t="shared" ref="D849:D856" si="783">C849*365.25</f>
        <v>7305</v>
      </c>
      <c r="E849" s="440">
        <f t="shared" si="782"/>
        <v>0.17</v>
      </c>
      <c r="F849" s="193"/>
      <c r="G849" s="364"/>
      <c r="H849" s="364"/>
      <c r="I849" s="364"/>
      <c r="J849" s="364"/>
      <c r="K849" s="367"/>
      <c r="L849" s="364"/>
      <c r="M849" s="367"/>
      <c r="N849" s="364"/>
      <c r="O849" s="367"/>
      <c r="P849" s="367"/>
      <c r="Q849" s="364"/>
      <c r="R849" s="367"/>
      <c r="S849" s="443"/>
    </row>
    <row r="850" spans="1:19">
      <c r="A850" s="218">
        <v>3</v>
      </c>
      <c r="B850" s="219" t="str">
        <f>PAC!E23</f>
        <v>sun</v>
      </c>
      <c r="C850" s="218">
        <v>6</v>
      </c>
      <c r="D850" s="218">
        <f t="shared" si="783"/>
        <v>2191.5</v>
      </c>
      <c r="E850" s="440">
        <f t="shared" si="782"/>
        <v>0.05</v>
      </c>
      <c r="F850" s="193"/>
      <c r="G850" s="364"/>
      <c r="H850" s="364"/>
      <c r="I850" s="364"/>
      <c r="J850" s="364"/>
      <c r="K850" s="367"/>
      <c r="L850" s="364"/>
      <c r="M850" s="367"/>
      <c r="N850" s="364"/>
      <c r="O850" s="367"/>
      <c r="P850" s="367"/>
      <c r="Q850" s="364"/>
      <c r="R850" s="367"/>
      <c r="S850" s="443"/>
    </row>
    <row r="851" spans="1:19">
      <c r="A851" s="218">
        <v>4</v>
      </c>
      <c r="B851" s="219" t="str">
        <f>PAC!F23</f>
        <v>moon</v>
      </c>
      <c r="C851" s="218">
        <v>10</v>
      </c>
      <c r="D851" s="218">
        <f t="shared" si="783"/>
        <v>3652.5</v>
      </c>
      <c r="E851" s="440">
        <f t="shared" si="782"/>
        <v>0.08</v>
      </c>
      <c r="F851" s="193"/>
      <c r="G851" s="364"/>
      <c r="H851" s="364"/>
      <c r="I851" s="364"/>
      <c r="J851" s="364"/>
      <c r="K851" s="367"/>
      <c r="L851" s="364"/>
      <c r="M851" s="367"/>
      <c r="N851" s="364"/>
      <c r="O851" s="367"/>
      <c r="P851" s="367"/>
      <c r="Q851" s="364"/>
      <c r="R851" s="367"/>
      <c r="S851" s="443"/>
    </row>
    <row r="852" spans="1:19">
      <c r="A852" s="218">
        <v>5</v>
      </c>
      <c r="B852" s="219" t="str">
        <f>PAC!I23</f>
        <v>mars</v>
      </c>
      <c r="C852" s="218">
        <v>7</v>
      </c>
      <c r="D852" s="218">
        <f t="shared" si="783"/>
        <v>2556.75</v>
      </c>
      <c r="E852" s="440">
        <f t="shared" si="782"/>
        <v>0.06</v>
      </c>
      <c r="F852" s="193"/>
      <c r="G852" s="364"/>
      <c r="H852" s="364"/>
      <c r="I852" s="364"/>
      <c r="J852" s="364"/>
      <c r="K852" s="367"/>
      <c r="L852" s="364"/>
      <c r="M852" s="367"/>
      <c r="N852" s="364"/>
      <c r="O852" s="367"/>
      <c r="P852" s="367"/>
      <c r="Q852" s="364"/>
      <c r="R852" s="367"/>
      <c r="S852" s="443"/>
    </row>
    <row r="853" spans="1:19">
      <c r="A853" s="218">
        <v>6</v>
      </c>
      <c r="B853" s="219" t="str">
        <f>PAC!L23</f>
        <v>rahu</v>
      </c>
      <c r="C853" s="218">
        <v>18</v>
      </c>
      <c r="D853" s="218">
        <f t="shared" si="783"/>
        <v>6574.5</v>
      </c>
      <c r="E853" s="440">
        <f t="shared" si="782"/>
        <v>0.15</v>
      </c>
      <c r="F853" s="193"/>
      <c r="G853" s="364"/>
      <c r="H853" s="364"/>
      <c r="I853" s="364"/>
      <c r="J853" s="364"/>
      <c r="K853" s="441"/>
      <c r="L853" s="442"/>
      <c r="M853" s="441"/>
      <c r="N853" s="364"/>
      <c r="O853" s="367"/>
      <c r="P853" s="367"/>
      <c r="Q853" s="364"/>
      <c r="R853" s="367"/>
      <c r="S853" s="443"/>
    </row>
    <row r="854" spans="1:19">
      <c r="A854" s="218">
        <v>7</v>
      </c>
      <c r="B854" s="219" t="str">
        <f>PAC!J23</f>
        <v>jupiter</v>
      </c>
      <c r="C854" s="218">
        <v>16</v>
      </c>
      <c r="D854" s="218">
        <f t="shared" si="783"/>
        <v>5844</v>
      </c>
      <c r="E854" s="440">
        <f t="shared" si="782"/>
        <v>0.13</v>
      </c>
      <c r="F854" s="193"/>
      <c r="G854" s="364"/>
      <c r="H854" s="364"/>
      <c r="I854" s="364"/>
      <c r="J854" s="364"/>
      <c r="K854" s="367"/>
      <c r="L854" s="364"/>
      <c r="M854" s="367"/>
      <c r="N854" s="364"/>
      <c r="O854" s="367"/>
      <c r="P854" s="367"/>
      <c r="Q854" s="364"/>
      <c r="R854" s="367"/>
      <c r="S854" s="443"/>
    </row>
    <row r="855" spans="1:19">
      <c r="A855" s="218">
        <v>8</v>
      </c>
      <c r="B855" s="219" t="str">
        <f>PAC!K23</f>
        <v>saturn</v>
      </c>
      <c r="C855" s="218">
        <v>19</v>
      </c>
      <c r="D855" s="218">
        <f t="shared" si="783"/>
        <v>6939.75</v>
      </c>
      <c r="E855" s="440">
        <f t="shared" si="782"/>
        <v>0.16</v>
      </c>
      <c r="F855" s="193"/>
      <c r="G855" s="364"/>
      <c r="H855" s="364"/>
      <c r="I855" s="364"/>
      <c r="J855" s="364"/>
      <c r="K855" s="367"/>
      <c r="L855" s="364"/>
      <c r="M855" s="367"/>
      <c r="N855" s="364"/>
      <c r="O855" s="367"/>
      <c r="P855" s="444"/>
      <c r="Q855" s="445"/>
      <c r="R855" s="444"/>
      <c r="S855" s="443"/>
    </row>
    <row r="856" spans="1:19">
      <c r="A856" s="218">
        <v>9</v>
      </c>
      <c r="B856" s="219" t="str">
        <f>PAC!G23</f>
        <v>mercury</v>
      </c>
      <c r="C856" s="218">
        <v>17</v>
      </c>
      <c r="D856" s="218">
        <f t="shared" si="783"/>
        <v>6209.25</v>
      </c>
      <c r="E856" s="440">
        <f t="shared" si="782"/>
        <v>0.14000000000000001</v>
      </c>
      <c r="F856" s="193"/>
      <c r="G856" s="364"/>
      <c r="H856" s="364"/>
      <c r="I856" s="446"/>
      <c r="J856" s="364"/>
      <c r="K856" s="367"/>
      <c r="L856" s="364"/>
      <c r="M856" s="367"/>
      <c r="N856" s="364"/>
      <c r="O856" s="367"/>
      <c r="P856" s="444"/>
      <c r="Q856" s="445"/>
      <c r="R856" s="444"/>
      <c r="S856" s="443"/>
    </row>
    <row r="857" spans="1:19">
      <c r="A857" s="218"/>
      <c r="B857" s="218"/>
      <c r="C857" s="218">
        <f>SUM(C848:C856)</f>
        <v>120</v>
      </c>
      <c r="D857" s="218"/>
      <c r="E857" s="440"/>
      <c r="F857" s="193"/>
      <c r="G857" s="364"/>
      <c r="H857" s="364"/>
      <c r="I857" s="446"/>
      <c r="J857" s="364"/>
      <c r="K857" s="367"/>
      <c r="L857" s="364"/>
      <c r="M857" s="367"/>
      <c r="N857" s="364"/>
      <c r="O857" s="367"/>
      <c r="P857" s="444"/>
      <c r="Q857" s="445"/>
      <c r="R857" s="444"/>
      <c r="S857" s="443"/>
    </row>
    <row r="858" spans="1:19">
      <c r="F858" s="193"/>
      <c r="G858" s="364"/>
      <c r="H858" s="364"/>
      <c r="I858" s="446"/>
      <c r="J858" s="364"/>
      <c r="K858" s="367"/>
      <c r="L858" s="364"/>
      <c r="M858" s="367"/>
      <c r="N858" s="364"/>
      <c r="O858" s="367"/>
      <c r="P858" s="444"/>
      <c r="Q858" s="445"/>
      <c r="R858" s="444"/>
      <c r="S858" s="443"/>
    </row>
    <row r="859" spans="1:19">
      <c r="F859" s="193"/>
      <c r="G859" s="364"/>
      <c r="H859" s="364"/>
      <c r="I859" s="446"/>
      <c r="J859" s="364"/>
      <c r="K859" s="367"/>
      <c r="L859" s="364"/>
      <c r="M859" s="367"/>
      <c r="N859" s="364"/>
      <c r="O859" s="367"/>
      <c r="P859" s="444"/>
      <c r="Q859" s="445"/>
      <c r="R859" s="444"/>
      <c r="S859" s="443"/>
    </row>
    <row r="860" spans="1:19">
      <c r="F860" s="193"/>
      <c r="G860" s="364"/>
      <c r="H860" s="364"/>
      <c r="I860" s="446"/>
      <c r="J860" s="364"/>
      <c r="K860" s="367"/>
      <c r="L860" s="364"/>
      <c r="M860" s="367"/>
      <c r="N860" s="364"/>
      <c r="O860" s="367"/>
      <c r="P860" s="444"/>
      <c r="Q860" s="445"/>
      <c r="R860" s="444"/>
      <c r="S860" s="443"/>
    </row>
    <row r="861" spans="1:19">
      <c r="F861" s="193"/>
      <c r="G861" s="364"/>
      <c r="H861" s="364"/>
      <c r="I861" s="446"/>
      <c r="J861" s="364"/>
      <c r="K861" s="367"/>
      <c r="L861" s="364"/>
      <c r="M861" s="367"/>
      <c r="N861" s="364"/>
      <c r="O861" s="367"/>
      <c r="P861" s="444"/>
      <c r="Q861" s="445"/>
      <c r="R861" s="444"/>
      <c r="S861" s="443"/>
    </row>
    <row r="862" spans="1:19">
      <c r="F862" s="193"/>
      <c r="G862" s="364"/>
      <c r="H862" s="364"/>
      <c r="I862" s="446"/>
      <c r="J862" s="364"/>
      <c r="K862" s="367"/>
      <c r="L862" s="364"/>
      <c r="M862" s="367"/>
      <c r="N862" s="364"/>
      <c r="O862" s="367"/>
      <c r="P862" s="444"/>
      <c r="Q862" s="445"/>
      <c r="R862" s="444"/>
      <c r="S862" s="443"/>
    </row>
    <row r="863" spans="1:19">
      <c r="F863" s="193"/>
      <c r="G863" s="364"/>
      <c r="H863" s="364"/>
      <c r="I863" s="446"/>
      <c r="J863" s="364"/>
      <c r="K863" s="367"/>
      <c r="L863" s="364"/>
      <c r="M863" s="367"/>
      <c r="N863" s="364"/>
      <c r="O863" s="367"/>
      <c r="P863" s="444"/>
      <c r="Q863" s="445"/>
      <c r="R863" s="444"/>
      <c r="S863" s="443"/>
    </row>
    <row r="864" spans="1:19">
      <c r="F864" s="193"/>
      <c r="G864" s="364"/>
      <c r="H864" s="364"/>
      <c r="I864" s="446"/>
      <c r="J864" s="364"/>
      <c r="K864" s="367"/>
      <c r="L864" s="364"/>
      <c r="M864" s="367"/>
      <c r="N864" s="364"/>
      <c r="O864" s="367"/>
      <c r="P864" s="444"/>
      <c r="Q864" s="445"/>
      <c r="R864" s="444"/>
      <c r="S864" s="443"/>
    </row>
    <row r="865" spans="6:19">
      <c r="F865" s="193"/>
      <c r="G865" s="364"/>
      <c r="H865" s="364"/>
      <c r="I865" s="364"/>
      <c r="J865" s="364"/>
      <c r="K865" s="367"/>
      <c r="L865" s="364"/>
      <c r="M865" s="367"/>
      <c r="N865" s="364"/>
      <c r="O865" s="367"/>
      <c r="P865" s="367"/>
      <c r="Q865" s="364"/>
      <c r="R865" s="367"/>
      <c r="S865" s="443"/>
    </row>
    <row r="866" spans="6:19">
      <c r="F866" s="193"/>
      <c r="G866" s="364"/>
      <c r="H866" s="364"/>
      <c r="I866" s="364"/>
      <c r="J866" s="364"/>
      <c r="K866" s="367"/>
      <c r="L866" s="364"/>
      <c r="M866" s="367"/>
      <c r="N866" s="364"/>
      <c r="O866" s="367"/>
      <c r="P866" s="367"/>
      <c r="Q866" s="445"/>
      <c r="R866" s="367"/>
      <c r="S866" s="443"/>
    </row>
    <row r="867" spans="6:19">
      <c r="F867" s="193"/>
      <c r="G867" s="364"/>
      <c r="H867" s="365"/>
      <c r="I867" s="366"/>
      <c r="J867" s="367"/>
      <c r="K867" s="368"/>
      <c r="L867" s="367"/>
      <c r="M867" s="367"/>
      <c r="N867" s="367"/>
      <c r="O867" s="367"/>
      <c r="P867" s="367"/>
      <c r="Q867" s="367"/>
      <c r="R867" s="374"/>
      <c r="S867" s="193"/>
    </row>
  </sheetData>
  <sheetProtection password="9C47" sheet="1"/>
  <mergeCells count="1">
    <mergeCell ref="Z2:AA2"/>
  </mergeCells>
  <phoneticPr fontId="5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AE127"/>
  <sheetViews>
    <sheetView workbookViewId="0">
      <selection activeCell="N13" sqref="N13"/>
    </sheetView>
  </sheetViews>
  <sheetFormatPr defaultColWidth="9.109375" defaultRowHeight="13.2"/>
  <cols>
    <col min="1" max="1" width="3.88671875" style="1" customWidth="1"/>
    <col min="2" max="2" width="5.88671875" style="4" customWidth="1"/>
    <col min="3" max="3" width="16.109375" style="1" customWidth="1"/>
    <col min="4" max="4" width="1.109375" style="1" customWidth="1"/>
    <col min="5" max="5" width="15.88671875" style="309" customWidth="1"/>
    <col min="6" max="6" width="1.5546875" style="309" customWidth="1"/>
    <col min="7" max="7" width="11" style="309" customWidth="1"/>
    <col min="8" max="8" width="5.109375" style="309" customWidth="1"/>
    <col min="9" max="11" width="5.5546875" style="1" customWidth="1"/>
    <col min="12" max="12" width="5" style="1" customWidth="1"/>
    <col min="13" max="13" width="5.88671875" style="1" customWidth="1"/>
    <col min="14" max="14" width="9.44140625" style="1" customWidth="1"/>
    <col min="15" max="15" width="5.88671875" style="1" customWidth="1"/>
    <col min="16" max="16" width="9.109375" style="339"/>
    <col min="17" max="17" width="7.5546875" style="339" customWidth="1"/>
    <col min="18" max="18" width="10" style="339" customWidth="1"/>
    <col min="19" max="19" width="3.6640625" style="1" customWidth="1"/>
    <col min="20" max="20" width="56.5546875" style="309" customWidth="1"/>
    <col min="21" max="21" width="5.6640625" style="4" customWidth="1"/>
    <col min="22" max="22" width="4.6640625" style="4" customWidth="1"/>
    <col min="23" max="23" width="4.109375" style="4" customWidth="1"/>
    <col min="24" max="24" width="5.6640625" style="4" customWidth="1"/>
    <col min="25" max="25" width="4.88671875" style="4" customWidth="1"/>
    <col min="26" max="26" width="5" style="4" customWidth="1"/>
    <col min="27" max="27" width="1.44140625" style="4" customWidth="1"/>
    <col min="28" max="28" width="4.6640625" style="4" customWidth="1"/>
    <col min="29" max="29" width="3.33203125" style="4" customWidth="1"/>
    <col min="30" max="16384" width="9.109375" style="1"/>
  </cols>
  <sheetData>
    <row r="2" spans="1:29" ht="22.8">
      <c r="C2" s="429">
        <f>A112</f>
        <v>106</v>
      </c>
      <c r="D2" s="430"/>
      <c r="E2" s="547" t="s">
        <v>345</v>
      </c>
      <c r="F2" s="548"/>
      <c r="G2" s="548"/>
    </row>
    <row r="4" spans="1:29" ht="13.8" thickBot="1">
      <c r="C4" s="310" t="str">
        <f>PAC!AN2</f>
        <v>NDM179934000</v>
      </c>
      <c r="D4" s="310"/>
      <c r="E4" s="312" t="str">
        <f>PAC!C2</f>
        <v>Male</v>
      </c>
      <c r="F4" s="312"/>
      <c r="G4" s="311"/>
      <c r="H4" s="545">
        <f>PAC!AA2</f>
        <v>18523</v>
      </c>
      <c r="I4" s="546"/>
      <c r="J4" s="314"/>
      <c r="K4" s="315"/>
      <c r="L4" s="315"/>
      <c r="M4" s="310"/>
      <c r="N4" s="316"/>
      <c r="O4" s="316"/>
      <c r="P4" s="431"/>
      <c r="Q4" s="431"/>
      <c r="R4" s="431"/>
      <c r="S4" s="310"/>
      <c r="T4" s="313"/>
      <c r="U4" s="311"/>
      <c r="V4" s="311"/>
    </row>
    <row r="5" spans="1:29">
      <c r="B5" s="416" t="s">
        <v>573</v>
      </c>
      <c r="C5" s="416" t="s">
        <v>567</v>
      </c>
      <c r="D5" s="416"/>
      <c r="E5" s="416" t="s">
        <v>568</v>
      </c>
      <c r="F5" s="416"/>
      <c r="G5" s="416" t="s">
        <v>569</v>
      </c>
      <c r="H5" s="416"/>
      <c r="I5" s="417"/>
      <c r="J5" s="416"/>
      <c r="K5" s="416"/>
      <c r="L5" s="416"/>
      <c r="M5" s="416"/>
      <c r="N5" s="416"/>
      <c r="O5" s="416"/>
      <c r="P5" s="432" t="s">
        <v>331</v>
      </c>
      <c r="Q5" s="432" t="s">
        <v>570</v>
      </c>
      <c r="R5" s="432" t="s">
        <v>571</v>
      </c>
      <c r="S5" s="416" t="s">
        <v>572</v>
      </c>
    </row>
    <row r="6" spans="1:29">
      <c r="B6" s="416"/>
      <c r="C6" s="416"/>
      <c r="D6" s="416"/>
      <c r="E6" s="416"/>
      <c r="F6" s="416"/>
      <c r="G6" s="416"/>
      <c r="H6" s="416"/>
      <c r="I6" s="418"/>
      <c r="J6" s="416"/>
      <c r="K6" s="416"/>
      <c r="L6" s="416"/>
      <c r="M6" s="416"/>
      <c r="N6" s="416"/>
      <c r="O6" s="416"/>
      <c r="P6" s="432"/>
      <c r="Q6" s="432"/>
      <c r="R6" s="432"/>
      <c r="S6" s="416"/>
    </row>
    <row r="7" spans="1:29" s="13" customFormat="1">
      <c r="A7" s="340">
        <f>ROW()-ROW($A$7)+1</f>
        <v>1</v>
      </c>
      <c r="B7" s="143" t="s">
        <v>454</v>
      </c>
      <c r="C7" s="111" t="s">
        <v>395</v>
      </c>
      <c r="D7" s="169"/>
      <c r="E7" s="126" t="s">
        <v>395</v>
      </c>
      <c r="F7" s="126"/>
      <c r="G7" s="126"/>
      <c r="H7" s="348" t="s">
        <v>303</v>
      </c>
      <c r="I7" s="419" t="str">
        <f t="shared" ref="I7:I38" si="0">IF(OR(MID(B7,4,1)="B",MID(B7,4,1)="C"),"X = ","")</f>
        <v/>
      </c>
      <c r="J7" s="349"/>
      <c r="K7" s="111" t="str">
        <f t="shared" ref="K7:K38" si="1">IF(MID(B7,4,1)="C","Y = ","")</f>
        <v/>
      </c>
      <c r="L7" s="349"/>
      <c r="M7" s="111" t="str">
        <f t="shared" ref="M7:M38" si="2">IF(MID(B7,4,1)="D","date?","")</f>
        <v>date?</v>
      </c>
      <c r="N7" s="350">
        <v>24095</v>
      </c>
      <c r="O7" s="341" t="str">
        <f>CONCATENATE((IF(AND((MID(B7,4,1)="B"),(V7="0")),"no data","")),(IF(AND((MID(B7,4,1)="C"),OR((V7="0"),W7="0")),"no data","")),(IF(AND((MID(B7,4,1)="D"),(X7="0")),"no data","")))</f>
        <v/>
      </c>
      <c r="P7" s="337" t="str">
        <f>IF(ISBLANK(N7),"",VLOOKUP(AC7,Dasha!$A$10:$L$827,4))</f>
        <v>mercury</v>
      </c>
      <c r="Q7" s="337" t="str">
        <f>IF(ISBLANK(N7),"",VLOOKUP(AC7,Dasha!$A$10:$L$827,6))</f>
        <v>ketu</v>
      </c>
      <c r="R7" s="337" t="str">
        <f>IF(ISBLANK(N7),"",VLOOKUP(AC7,Dasha!$A$10:$L$827,8))</f>
        <v>rahu</v>
      </c>
      <c r="S7" s="337">
        <f t="shared" ref="S7:S43" si="3">IF(ISBLANK(N7),"",FLOOR(YEARFRAC(N7,$H$4,1),1))</f>
        <v>15</v>
      </c>
      <c r="T7" s="450" t="str">
        <f t="shared" ref="T7:T38" si="4">IF(H7="Y",CONCATENATE($T$119,$C$4,$T$120,U7,$T$121,V7,$T$122,W7,$T$124,X7,$T$120,Y7,$T$120,Z7,$T$123),"")</f>
        <v>insert into events values ("NDM179934000","000D",0,15,"mer","ket","rah");</v>
      </c>
      <c r="U7" s="448" t="str">
        <f>B7</f>
        <v>000D</v>
      </c>
      <c r="V7" s="448" t="str">
        <f>IF(MID(B7,4,1)="A","0",(IF(OR(MID(B7,4,1)="B",MID(B7,4,1)="C"),(IF(ISBLANK(J7),"0",J7)),"0")))</f>
        <v>0</v>
      </c>
      <c r="W7" s="448">
        <f t="shared" ref="W7:W38" si="5">IF(MID(B7,4,1)="A","0",(IF(MID(B7,4,1)="B","0",(IF(MID(B7,4,1)="C",(IF(ISBLANK(L7),"0",L7)),(IF(MID(B7,4,1)="D",(IF(ISBLANK(N7),"0",S7)),"0")))))))</f>
        <v>15</v>
      </c>
      <c r="X7" s="448" t="str">
        <f>IF(MID(B7,4,1)="D",(IF(ISBLANK(N7),"-",MID(P7,1,3))),"-")</f>
        <v>mer</v>
      </c>
      <c r="Y7" s="448" t="str">
        <f>IF(MID(B7,4,1)="D",(IF(ISBLANK(N7),"-",MID(Q7,1,3))),"-")</f>
        <v>ket</v>
      </c>
      <c r="Z7" s="448" t="str">
        <f>IF(MID(B7,4,1)="D",(IF(ISBLANK(N7),"-",MID(R7,1,3))),"-")</f>
        <v>rah</v>
      </c>
      <c r="AA7" s="448"/>
      <c r="AB7" s="449">
        <f>IF(ISBLANK(N7),"",IF((N7&lt;=Dasha!$B$10),0,VLOOKUP(N7,Dasha!$B$10:$L$827,11)))</f>
        <v>95</v>
      </c>
      <c r="AC7" s="449">
        <f t="shared" ref="AC7:AC38" si="6">IF(ISBLANK(N7),"",AB7+1)</f>
        <v>96</v>
      </c>
    </row>
    <row r="8" spans="1:29" s="13" customFormat="1" ht="12.75" customHeight="1">
      <c r="A8" s="340">
        <f t="shared" ref="A8:A76" si="7">ROW()-ROW($A$7)+1</f>
        <v>2</v>
      </c>
      <c r="B8" s="143" t="s">
        <v>455</v>
      </c>
      <c r="C8" s="111" t="s">
        <v>375</v>
      </c>
      <c r="D8" s="169"/>
      <c r="E8" s="126" t="s">
        <v>396</v>
      </c>
      <c r="F8" s="126"/>
      <c r="G8" s="126"/>
      <c r="H8" s="348" t="s">
        <v>392</v>
      </c>
      <c r="I8" s="419" t="str">
        <f t="shared" si="0"/>
        <v/>
      </c>
      <c r="J8" s="349"/>
      <c r="K8" s="111" t="str">
        <f t="shared" si="1"/>
        <v/>
      </c>
      <c r="L8" s="349"/>
      <c r="M8" s="111" t="str">
        <f t="shared" si="2"/>
        <v/>
      </c>
      <c r="N8" s="350"/>
      <c r="O8" s="341" t="str">
        <f t="shared" ref="O8:O71" si="8">CONCATENATE((IF(AND((MID(B8,4,1)="B"),(V8="0")),"no data","")),(IF(AND((MID(B8,4,1)="C"),OR((V8="0"),W8="0")),"no data","")),(IF(AND((MID(B8,4,1)="D"),(X8="0")),"no data","")))</f>
        <v/>
      </c>
      <c r="P8" s="337" t="str">
        <f>IF(ISBLANK(N8),"",VLOOKUP(AC8,Dasha!$A$10:$L$827,4))</f>
        <v/>
      </c>
      <c r="Q8" s="337" t="str">
        <f>IF(ISBLANK(N8),"",VLOOKUP(AC8,Dasha!$A$10:$L$827,6))</f>
        <v/>
      </c>
      <c r="R8" s="337" t="str">
        <f>IF(ISBLANK(N8),"",VLOOKUP(AC8,Dasha!$A$10:$L$827,8))</f>
        <v/>
      </c>
      <c r="S8" s="337" t="str">
        <f t="shared" si="3"/>
        <v/>
      </c>
      <c r="T8" s="450" t="str">
        <f t="shared" si="4"/>
        <v/>
      </c>
      <c r="U8" s="448" t="str">
        <f t="shared" ref="U8:U71" si="9">B8</f>
        <v>110A</v>
      </c>
      <c r="V8" s="448" t="str">
        <f t="shared" ref="V8:V71" si="10">IF(MID(B8,4,1)="A","0",(IF(OR(MID(B8,4,1)="B",MID(B8,4,1)="C"),(IF(ISBLANK(J8),"0",J8)),"0")))</f>
        <v>0</v>
      </c>
      <c r="W8" s="448" t="str">
        <f t="shared" si="5"/>
        <v>0</v>
      </c>
      <c r="X8" s="448" t="str">
        <f t="shared" ref="X8:X71" si="11">IF(MID(B8,4,1)="D",(IF(ISBLANK(N8),"-",MID(P8,1,3))),"-")</f>
        <v>-</v>
      </c>
      <c r="Y8" s="448" t="str">
        <f t="shared" ref="Y8:Y71" si="12">IF(MID(B8,4,1)="D",(IF(ISBLANK(N8),"-",MID(Q8,1,3))),"-")</f>
        <v>-</v>
      </c>
      <c r="Z8" s="448" t="str">
        <f t="shared" ref="Z8:Z71" si="13">IF(MID(B8,4,1)="D",(IF(ISBLANK(N8),"-",MID(R8,1,3))),"-")</f>
        <v>-</v>
      </c>
      <c r="AA8" s="448"/>
      <c r="AB8" s="449" t="str">
        <f>IF(ISBLANK(N8),"",IF((N8&lt;=Dasha!$B$10),0,VLOOKUP(N8,Dasha!$B$10:$L$827,11)))</f>
        <v/>
      </c>
      <c r="AC8" s="449" t="str">
        <f t="shared" si="6"/>
        <v/>
      </c>
    </row>
    <row r="9" spans="1:29" s="13" customFormat="1" ht="12.75" customHeight="1">
      <c r="A9" s="340">
        <f t="shared" si="7"/>
        <v>3</v>
      </c>
      <c r="B9" s="143" t="s">
        <v>456</v>
      </c>
      <c r="C9" s="111" t="s">
        <v>375</v>
      </c>
      <c r="D9" s="169"/>
      <c r="E9" s="126" t="s">
        <v>397</v>
      </c>
      <c r="F9" s="126"/>
      <c r="G9" s="126"/>
      <c r="H9" s="348" t="s">
        <v>392</v>
      </c>
      <c r="I9" s="419" t="str">
        <f t="shared" si="0"/>
        <v/>
      </c>
      <c r="J9" s="349"/>
      <c r="K9" s="111" t="str">
        <f t="shared" si="1"/>
        <v/>
      </c>
      <c r="L9" s="349"/>
      <c r="M9" s="111" t="str">
        <f t="shared" si="2"/>
        <v/>
      </c>
      <c r="N9" s="350"/>
      <c r="O9" s="341" t="str">
        <f t="shared" si="8"/>
        <v/>
      </c>
      <c r="P9" s="337" t="str">
        <f>IF(ISBLANK(N9),"",VLOOKUP(AC9,Dasha!$A$10:$L$827,4))</f>
        <v/>
      </c>
      <c r="Q9" s="337" t="str">
        <f>IF(ISBLANK(N9),"",VLOOKUP(AC9,Dasha!$A$10:$L$827,6))</f>
        <v/>
      </c>
      <c r="R9" s="337" t="str">
        <f>IF(ISBLANK(N9),"",VLOOKUP(AC9,Dasha!$A$10:$L$827,8))</f>
        <v/>
      </c>
      <c r="S9" s="337" t="str">
        <f t="shared" si="3"/>
        <v/>
      </c>
      <c r="T9" s="450" t="str">
        <f t="shared" si="4"/>
        <v/>
      </c>
      <c r="U9" s="448" t="str">
        <f t="shared" si="9"/>
        <v>120A</v>
      </c>
      <c r="V9" s="448" t="str">
        <f t="shared" si="10"/>
        <v>0</v>
      </c>
      <c r="W9" s="448" t="str">
        <f t="shared" si="5"/>
        <v>0</v>
      </c>
      <c r="X9" s="448" t="str">
        <f t="shared" si="11"/>
        <v>-</v>
      </c>
      <c r="Y9" s="448" t="str">
        <f t="shared" si="12"/>
        <v>-</v>
      </c>
      <c r="Z9" s="448" t="str">
        <f t="shared" si="13"/>
        <v>-</v>
      </c>
      <c r="AA9" s="448"/>
      <c r="AB9" s="449" t="str">
        <f>IF(ISBLANK(N9),"",IF((N9&lt;=Dasha!$B$10),0,VLOOKUP(N9,Dasha!$B$10:$L$827,11)))</f>
        <v/>
      </c>
      <c r="AC9" s="449" t="str">
        <f t="shared" si="6"/>
        <v/>
      </c>
    </row>
    <row r="10" spans="1:29" s="13" customFormat="1">
      <c r="A10" s="340">
        <f t="shared" si="7"/>
        <v>4</v>
      </c>
      <c r="B10" s="143" t="s">
        <v>457</v>
      </c>
      <c r="C10" s="111" t="s">
        <v>375</v>
      </c>
      <c r="D10" s="169"/>
      <c r="E10" s="126" t="s">
        <v>398</v>
      </c>
      <c r="F10" s="126"/>
      <c r="G10" s="126"/>
      <c r="H10" s="348" t="s">
        <v>392</v>
      </c>
      <c r="I10" s="419" t="str">
        <f t="shared" si="0"/>
        <v/>
      </c>
      <c r="J10" s="349"/>
      <c r="K10" s="111" t="str">
        <f t="shared" si="1"/>
        <v/>
      </c>
      <c r="L10" s="349"/>
      <c r="M10" s="111" t="str">
        <f t="shared" si="2"/>
        <v/>
      </c>
      <c r="N10" s="350"/>
      <c r="O10" s="341" t="str">
        <f t="shared" si="8"/>
        <v/>
      </c>
      <c r="P10" s="337" t="str">
        <f>IF(ISBLANK(N10),"",VLOOKUP(AC10,Dasha!$A$10:$L$827,4))</f>
        <v/>
      </c>
      <c r="Q10" s="337" t="str">
        <f>IF(ISBLANK(N10),"",VLOOKUP(AC10,Dasha!$A$10:$L$827,6))</f>
        <v/>
      </c>
      <c r="R10" s="337" t="str">
        <f>IF(ISBLANK(N10),"",VLOOKUP(AC10,Dasha!$A$10:$L$827,8))</f>
        <v/>
      </c>
      <c r="S10" s="337" t="str">
        <f t="shared" si="3"/>
        <v/>
      </c>
      <c r="T10" s="450" t="str">
        <f t="shared" si="4"/>
        <v/>
      </c>
      <c r="U10" s="448" t="str">
        <f t="shared" si="9"/>
        <v>130A</v>
      </c>
      <c r="V10" s="448" t="str">
        <f t="shared" si="10"/>
        <v>0</v>
      </c>
      <c r="W10" s="448" t="str">
        <f t="shared" si="5"/>
        <v>0</v>
      </c>
      <c r="X10" s="448" t="str">
        <f t="shared" si="11"/>
        <v>-</v>
      </c>
      <c r="Y10" s="448" t="str">
        <f t="shared" si="12"/>
        <v>-</v>
      </c>
      <c r="Z10" s="448" t="str">
        <f t="shared" si="13"/>
        <v>-</v>
      </c>
      <c r="AA10" s="448"/>
      <c r="AB10" s="449" t="str">
        <f>IF(ISBLANK(N10),"",IF((N10&lt;=Dasha!$B$10),0,VLOOKUP(N10,Dasha!$B$10:$L$827,11)))</f>
        <v/>
      </c>
      <c r="AC10" s="449" t="str">
        <f t="shared" si="6"/>
        <v/>
      </c>
    </row>
    <row r="11" spans="1:29" s="13" customFormat="1">
      <c r="A11" s="340">
        <f t="shared" si="7"/>
        <v>5</v>
      </c>
      <c r="B11" s="143" t="s">
        <v>458</v>
      </c>
      <c r="C11" s="111" t="s">
        <v>375</v>
      </c>
      <c r="D11" s="169"/>
      <c r="E11" s="126" t="s">
        <v>399</v>
      </c>
      <c r="F11" s="126"/>
      <c r="G11" s="126"/>
      <c r="H11" s="348" t="s">
        <v>303</v>
      </c>
      <c r="I11" s="419" t="str">
        <f t="shared" si="0"/>
        <v/>
      </c>
      <c r="J11" s="349"/>
      <c r="K11" s="111" t="str">
        <f t="shared" si="1"/>
        <v/>
      </c>
      <c r="L11" s="349"/>
      <c r="M11" s="111" t="str">
        <f t="shared" si="2"/>
        <v/>
      </c>
      <c r="N11" s="350"/>
      <c r="O11" s="341" t="str">
        <f t="shared" si="8"/>
        <v/>
      </c>
      <c r="P11" s="337" t="str">
        <f>IF(ISBLANK(N11),"",VLOOKUP(AC11,Dasha!$A$10:$L$827,4))</f>
        <v/>
      </c>
      <c r="Q11" s="337" t="str">
        <f>IF(ISBLANK(N11),"",VLOOKUP(AC11,Dasha!$A$10:$L$827,6))</f>
        <v/>
      </c>
      <c r="R11" s="337" t="str">
        <f>IF(ISBLANK(N11),"",VLOOKUP(AC11,Dasha!$A$10:$L$827,8))</f>
        <v/>
      </c>
      <c r="S11" s="337" t="str">
        <f t="shared" si="3"/>
        <v/>
      </c>
      <c r="T11" s="450" t="str">
        <f t="shared" si="4"/>
        <v>insert into events values ("NDM179934000","140A",0,0,"-","-","-");</v>
      </c>
      <c r="U11" s="448" t="str">
        <f t="shared" si="9"/>
        <v>140A</v>
      </c>
      <c r="V11" s="448" t="str">
        <f t="shared" si="10"/>
        <v>0</v>
      </c>
      <c r="W11" s="448" t="str">
        <f t="shared" si="5"/>
        <v>0</v>
      </c>
      <c r="X11" s="448" t="str">
        <f t="shared" si="11"/>
        <v>-</v>
      </c>
      <c r="Y11" s="448" t="str">
        <f t="shared" si="12"/>
        <v>-</v>
      </c>
      <c r="Z11" s="448" t="str">
        <f t="shared" si="13"/>
        <v>-</v>
      </c>
      <c r="AA11" s="448"/>
      <c r="AB11" s="449" t="str">
        <f>IF(ISBLANK(N11),"",IF((N11&lt;=Dasha!$B$10),0,VLOOKUP(N11,Dasha!$B$10:$L$827,11)))</f>
        <v/>
      </c>
      <c r="AC11" s="449" t="str">
        <f t="shared" si="6"/>
        <v/>
      </c>
    </row>
    <row r="12" spans="1:29" s="13" customFormat="1">
      <c r="A12" s="340">
        <f t="shared" si="7"/>
        <v>6</v>
      </c>
      <c r="B12" s="143" t="s">
        <v>557</v>
      </c>
      <c r="C12" s="111" t="s">
        <v>375</v>
      </c>
      <c r="D12" s="169"/>
      <c r="E12" s="126" t="s">
        <v>399</v>
      </c>
      <c r="F12" s="126"/>
      <c r="G12" s="126" t="s">
        <v>562</v>
      </c>
      <c r="H12" s="348" t="s">
        <v>392</v>
      </c>
      <c r="I12" s="419" t="str">
        <f t="shared" si="0"/>
        <v/>
      </c>
      <c r="J12" s="349"/>
      <c r="K12" s="111" t="str">
        <f t="shared" si="1"/>
        <v/>
      </c>
      <c r="L12" s="349"/>
      <c r="M12" s="111" t="str">
        <f t="shared" si="2"/>
        <v/>
      </c>
      <c r="N12" s="350"/>
      <c r="O12" s="341" t="str">
        <f t="shared" si="8"/>
        <v/>
      </c>
      <c r="P12" s="337" t="str">
        <f>IF(ISBLANK(N12),"",VLOOKUP(AC12,Dasha!$A$10:$L$827,4))</f>
        <v/>
      </c>
      <c r="Q12" s="337" t="str">
        <f>IF(ISBLANK(N12),"",VLOOKUP(AC12,Dasha!$A$10:$L$827,6))</f>
        <v/>
      </c>
      <c r="R12" s="337" t="str">
        <f>IF(ISBLANK(N12),"",VLOOKUP(AC12,Dasha!$A$10:$L$827,8))</f>
        <v/>
      </c>
      <c r="S12" s="337" t="str">
        <f>IF(ISBLANK(N12),"",FLOOR(YEARFRAC(N12,$H$4,1),1))</f>
        <v/>
      </c>
      <c r="T12" s="450" t="str">
        <f t="shared" si="4"/>
        <v/>
      </c>
      <c r="U12" s="448" t="str">
        <f t="shared" si="9"/>
        <v>141A</v>
      </c>
      <c r="V12" s="448" t="str">
        <f t="shared" si="10"/>
        <v>0</v>
      </c>
      <c r="W12" s="448" t="str">
        <f t="shared" si="5"/>
        <v>0</v>
      </c>
      <c r="X12" s="448" t="str">
        <f t="shared" si="11"/>
        <v>-</v>
      </c>
      <c r="Y12" s="448" t="str">
        <f t="shared" si="12"/>
        <v>-</v>
      </c>
      <c r="Z12" s="448" t="str">
        <f t="shared" si="13"/>
        <v>-</v>
      </c>
      <c r="AA12" s="448"/>
      <c r="AB12" s="449" t="str">
        <f>IF(ISBLANK(N12),"",IF((N12&lt;=Dasha!$B$10),0,VLOOKUP(N12,Dasha!$B$10:$L$827,11)))</f>
        <v/>
      </c>
      <c r="AC12" s="449" t="str">
        <f t="shared" si="6"/>
        <v/>
      </c>
    </row>
    <row r="13" spans="1:29" s="13" customFormat="1">
      <c r="A13" s="340">
        <f t="shared" si="7"/>
        <v>7</v>
      </c>
      <c r="B13" s="143" t="s">
        <v>558</v>
      </c>
      <c r="C13" s="111" t="s">
        <v>375</v>
      </c>
      <c r="D13" s="169"/>
      <c r="E13" s="126" t="s">
        <v>399</v>
      </c>
      <c r="F13" s="126"/>
      <c r="G13" s="126" t="s">
        <v>563</v>
      </c>
      <c r="H13" s="348" t="s">
        <v>392</v>
      </c>
      <c r="I13" s="419" t="str">
        <f t="shared" si="0"/>
        <v/>
      </c>
      <c r="J13" s="349"/>
      <c r="K13" s="111" t="str">
        <f t="shared" si="1"/>
        <v/>
      </c>
      <c r="L13" s="349"/>
      <c r="M13" s="111" t="str">
        <f t="shared" si="2"/>
        <v/>
      </c>
      <c r="N13" s="350"/>
      <c r="O13" s="341" t="str">
        <f t="shared" si="8"/>
        <v/>
      </c>
      <c r="P13" s="337" t="str">
        <f>IF(ISBLANK(N13),"",VLOOKUP(AC13,Dasha!$A$10:$L$827,4))</f>
        <v/>
      </c>
      <c r="Q13" s="337" t="str">
        <f>IF(ISBLANK(N13),"",VLOOKUP(AC13,Dasha!$A$10:$L$827,6))</f>
        <v/>
      </c>
      <c r="R13" s="337" t="str">
        <f>IF(ISBLANK(N13),"",VLOOKUP(AC13,Dasha!$A$10:$L$827,8))</f>
        <v/>
      </c>
      <c r="S13" s="337" t="str">
        <f>IF(ISBLANK(N13),"",FLOOR(YEARFRAC(N13,$H$4,1),1))</f>
        <v/>
      </c>
      <c r="T13" s="450" t="str">
        <f t="shared" si="4"/>
        <v/>
      </c>
      <c r="U13" s="448" t="str">
        <f t="shared" si="9"/>
        <v>142A</v>
      </c>
      <c r="V13" s="448" t="str">
        <f t="shared" si="10"/>
        <v>0</v>
      </c>
      <c r="W13" s="448" t="str">
        <f t="shared" si="5"/>
        <v>0</v>
      </c>
      <c r="X13" s="448" t="str">
        <f t="shared" si="11"/>
        <v>-</v>
      </c>
      <c r="Y13" s="448" t="str">
        <f t="shared" si="12"/>
        <v>-</v>
      </c>
      <c r="Z13" s="448" t="str">
        <f t="shared" si="13"/>
        <v>-</v>
      </c>
      <c r="AA13" s="448"/>
      <c r="AB13" s="449" t="str">
        <f>IF(ISBLANK(N13),"",IF((N13&lt;=Dasha!$B$10),0,VLOOKUP(N13,Dasha!$B$10:$L$827,11)))</f>
        <v/>
      </c>
      <c r="AC13" s="449" t="str">
        <f t="shared" si="6"/>
        <v/>
      </c>
    </row>
    <row r="14" spans="1:29" s="13" customFormat="1">
      <c r="A14" s="340">
        <f t="shared" si="7"/>
        <v>8</v>
      </c>
      <c r="B14" s="143" t="s">
        <v>559</v>
      </c>
      <c r="C14" s="111" t="s">
        <v>375</v>
      </c>
      <c r="D14" s="169"/>
      <c r="E14" s="126" t="s">
        <v>399</v>
      </c>
      <c r="F14" s="126"/>
      <c r="G14" s="126" t="s">
        <v>564</v>
      </c>
      <c r="H14" s="348" t="s">
        <v>392</v>
      </c>
      <c r="I14" s="419" t="str">
        <f t="shared" si="0"/>
        <v/>
      </c>
      <c r="J14" s="349"/>
      <c r="K14" s="111" t="str">
        <f t="shared" si="1"/>
        <v/>
      </c>
      <c r="L14" s="349"/>
      <c r="M14" s="111" t="str">
        <f t="shared" si="2"/>
        <v/>
      </c>
      <c r="N14" s="350"/>
      <c r="O14" s="341" t="str">
        <f t="shared" si="8"/>
        <v/>
      </c>
      <c r="P14" s="337" t="str">
        <f>IF(ISBLANK(N14),"",VLOOKUP(AC14,Dasha!$A$10:$L$827,4))</f>
        <v/>
      </c>
      <c r="Q14" s="337" t="str">
        <f>IF(ISBLANK(N14),"",VLOOKUP(AC14,Dasha!$A$10:$L$827,6))</f>
        <v/>
      </c>
      <c r="R14" s="337" t="str">
        <f>IF(ISBLANK(N14),"",VLOOKUP(AC14,Dasha!$A$10:$L$827,8))</f>
        <v/>
      </c>
      <c r="S14" s="337" t="str">
        <f>IF(ISBLANK(N14),"",FLOOR(YEARFRAC(N14,$H$4,1),1))</f>
        <v/>
      </c>
      <c r="T14" s="450" t="str">
        <f t="shared" si="4"/>
        <v/>
      </c>
      <c r="U14" s="448" t="str">
        <f t="shared" si="9"/>
        <v>143A</v>
      </c>
      <c r="V14" s="448" t="str">
        <f t="shared" si="10"/>
        <v>0</v>
      </c>
      <c r="W14" s="448" t="str">
        <f t="shared" si="5"/>
        <v>0</v>
      </c>
      <c r="X14" s="448" t="str">
        <f t="shared" si="11"/>
        <v>-</v>
      </c>
      <c r="Y14" s="448" t="str">
        <f t="shared" si="12"/>
        <v>-</v>
      </c>
      <c r="Z14" s="448" t="str">
        <f t="shared" si="13"/>
        <v>-</v>
      </c>
      <c r="AA14" s="448"/>
      <c r="AB14" s="449" t="str">
        <f>IF(ISBLANK(N14),"",IF((N14&lt;=Dasha!$B$10),0,VLOOKUP(N14,Dasha!$B$10:$L$827,11)))</f>
        <v/>
      </c>
      <c r="AC14" s="449" t="str">
        <f t="shared" si="6"/>
        <v/>
      </c>
    </row>
    <row r="15" spans="1:29" s="13" customFormat="1">
      <c r="A15" s="340">
        <f t="shared" si="7"/>
        <v>9</v>
      </c>
      <c r="B15" s="143" t="s">
        <v>560</v>
      </c>
      <c r="C15" s="111" t="s">
        <v>375</v>
      </c>
      <c r="D15" s="169"/>
      <c r="E15" s="126" t="s">
        <v>399</v>
      </c>
      <c r="F15" s="126"/>
      <c r="G15" s="126" t="s">
        <v>565</v>
      </c>
      <c r="H15" s="348" t="s">
        <v>303</v>
      </c>
      <c r="I15" s="419" t="str">
        <f t="shared" si="0"/>
        <v/>
      </c>
      <c r="J15" s="349"/>
      <c r="K15" s="111" t="str">
        <f t="shared" si="1"/>
        <v/>
      </c>
      <c r="L15" s="349"/>
      <c r="M15" s="111" t="str">
        <f t="shared" si="2"/>
        <v/>
      </c>
      <c r="N15" s="350"/>
      <c r="O15" s="341" t="str">
        <f t="shared" si="8"/>
        <v/>
      </c>
      <c r="P15" s="337" t="str">
        <f>IF(ISBLANK(N15),"",VLOOKUP(AC15,Dasha!$A$10:$L$827,4))</f>
        <v/>
      </c>
      <c r="Q15" s="337" t="str">
        <f>IF(ISBLANK(N15),"",VLOOKUP(AC15,Dasha!$A$10:$L$827,6))</f>
        <v/>
      </c>
      <c r="R15" s="337" t="str">
        <f>IF(ISBLANK(N15),"",VLOOKUP(AC15,Dasha!$A$10:$L$827,8))</f>
        <v/>
      </c>
      <c r="S15" s="337" t="str">
        <f>IF(ISBLANK(N15),"",FLOOR(YEARFRAC(N15,$H$4,1),1))</f>
        <v/>
      </c>
      <c r="T15" s="450" t="str">
        <f t="shared" si="4"/>
        <v>insert into events values ("NDM179934000","144A",0,0,"-","-","-");</v>
      </c>
      <c r="U15" s="448" t="str">
        <f t="shared" si="9"/>
        <v>144A</v>
      </c>
      <c r="V15" s="448" t="str">
        <f t="shared" si="10"/>
        <v>0</v>
      </c>
      <c r="W15" s="448" t="str">
        <f t="shared" si="5"/>
        <v>0</v>
      </c>
      <c r="X15" s="448" t="str">
        <f t="shared" si="11"/>
        <v>-</v>
      </c>
      <c r="Y15" s="448" t="str">
        <f t="shared" si="12"/>
        <v>-</v>
      </c>
      <c r="Z15" s="448" t="str">
        <f t="shared" si="13"/>
        <v>-</v>
      </c>
      <c r="AA15" s="448"/>
      <c r="AB15" s="449" t="str">
        <f>IF(ISBLANK(N15),"",IF((N15&lt;=Dasha!$B$10),0,VLOOKUP(N15,Dasha!$B$10:$L$827,11)))</f>
        <v/>
      </c>
      <c r="AC15" s="449" t="str">
        <f t="shared" si="6"/>
        <v/>
      </c>
    </row>
    <row r="16" spans="1:29" s="13" customFormat="1">
      <c r="A16" s="340">
        <f t="shared" si="7"/>
        <v>10</v>
      </c>
      <c r="B16" s="143" t="s">
        <v>561</v>
      </c>
      <c r="C16" s="111" t="s">
        <v>375</v>
      </c>
      <c r="D16" s="169"/>
      <c r="E16" s="126" t="s">
        <v>399</v>
      </c>
      <c r="F16" s="126"/>
      <c r="G16" s="126" t="s">
        <v>566</v>
      </c>
      <c r="H16" s="348" t="s">
        <v>392</v>
      </c>
      <c r="I16" s="419" t="str">
        <f t="shared" si="0"/>
        <v/>
      </c>
      <c r="J16" s="349"/>
      <c r="K16" s="111" t="str">
        <f t="shared" si="1"/>
        <v/>
      </c>
      <c r="L16" s="349"/>
      <c r="M16" s="111" t="str">
        <f t="shared" si="2"/>
        <v/>
      </c>
      <c r="N16" s="350"/>
      <c r="O16" s="341" t="str">
        <f t="shared" si="8"/>
        <v/>
      </c>
      <c r="P16" s="337" t="str">
        <f>IF(ISBLANK(N16),"",VLOOKUP(AC16,Dasha!$A$10:$L$827,4))</f>
        <v/>
      </c>
      <c r="Q16" s="337" t="str">
        <f>IF(ISBLANK(N16),"",VLOOKUP(AC16,Dasha!$A$10:$L$827,6))</f>
        <v/>
      </c>
      <c r="R16" s="337" t="str">
        <f>IF(ISBLANK(N16),"",VLOOKUP(AC16,Dasha!$A$10:$L$827,8))</f>
        <v/>
      </c>
      <c r="S16" s="337" t="str">
        <f>IF(ISBLANK(N16),"",FLOOR(YEARFRAC(N16,$H$4,1),1))</f>
        <v/>
      </c>
      <c r="T16" s="450" t="str">
        <f t="shared" si="4"/>
        <v/>
      </c>
      <c r="U16" s="448" t="str">
        <f t="shared" si="9"/>
        <v>145A</v>
      </c>
      <c r="V16" s="448" t="str">
        <f t="shared" si="10"/>
        <v>0</v>
      </c>
      <c r="W16" s="448" t="str">
        <f t="shared" si="5"/>
        <v>0</v>
      </c>
      <c r="X16" s="448" t="str">
        <f t="shared" si="11"/>
        <v>-</v>
      </c>
      <c r="Y16" s="448" t="str">
        <f t="shared" si="12"/>
        <v>-</v>
      </c>
      <c r="Z16" s="448" t="str">
        <f t="shared" si="13"/>
        <v>-</v>
      </c>
      <c r="AA16" s="448"/>
      <c r="AB16" s="449" t="str">
        <f>IF(ISBLANK(N16),"",IF((N16&lt;=Dasha!$B$10),0,VLOOKUP(N16,Dasha!$B$10:$L$827,11)))</f>
        <v/>
      </c>
      <c r="AC16" s="449" t="str">
        <f t="shared" si="6"/>
        <v/>
      </c>
    </row>
    <row r="17" spans="1:29" s="13" customFormat="1">
      <c r="A17" s="340">
        <f t="shared" si="7"/>
        <v>11</v>
      </c>
      <c r="B17" s="143" t="s">
        <v>459</v>
      </c>
      <c r="C17" s="111" t="s">
        <v>375</v>
      </c>
      <c r="D17" s="169"/>
      <c r="E17" s="126" t="s">
        <v>400</v>
      </c>
      <c r="F17" s="126"/>
      <c r="G17" s="126"/>
      <c r="H17" s="348" t="s">
        <v>392</v>
      </c>
      <c r="I17" s="419" t="str">
        <f t="shared" si="0"/>
        <v/>
      </c>
      <c r="J17" s="349"/>
      <c r="K17" s="111" t="str">
        <f t="shared" si="1"/>
        <v/>
      </c>
      <c r="L17" s="349"/>
      <c r="M17" s="111" t="str">
        <f t="shared" si="2"/>
        <v/>
      </c>
      <c r="N17" s="350"/>
      <c r="O17" s="341" t="str">
        <f t="shared" si="8"/>
        <v/>
      </c>
      <c r="P17" s="337" t="str">
        <f>IF(ISBLANK(N17),"",VLOOKUP(AC17,Dasha!$A$10:$L$827,4))</f>
        <v/>
      </c>
      <c r="Q17" s="337" t="str">
        <f>IF(ISBLANK(N17),"",VLOOKUP(AC17,Dasha!$A$10:$L$827,6))</f>
        <v/>
      </c>
      <c r="R17" s="337" t="str">
        <f>IF(ISBLANK(N17),"",VLOOKUP(AC17,Dasha!$A$10:$L$827,8))</f>
        <v/>
      </c>
      <c r="S17" s="337" t="str">
        <f t="shared" si="3"/>
        <v/>
      </c>
      <c r="T17" s="450" t="str">
        <f t="shared" si="4"/>
        <v/>
      </c>
      <c r="U17" s="448" t="str">
        <f t="shared" si="9"/>
        <v>150A</v>
      </c>
      <c r="V17" s="448" t="str">
        <f t="shared" si="10"/>
        <v>0</v>
      </c>
      <c r="W17" s="448" t="str">
        <f t="shared" si="5"/>
        <v>0</v>
      </c>
      <c r="X17" s="448" t="str">
        <f t="shared" si="11"/>
        <v>-</v>
      </c>
      <c r="Y17" s="448" t="str">
        <f t="shared" si="12"/>
        <v>-</v>
      </c>
      <c r="Z17" s="448" t="str">
        <f t="shared" si="13"/>
        <v>-</v>
      </c>
      <c r="AA17" s="448"/>
      <c r="AB17" s="449" t="str">
        <f>IF(ISBLANK(N17),"",IF((N17&lt;=Dasha!$B$10),0,VLOOKUP(N17,Dasha!$B$10:$L$827,11)))</f>
        <v/>
      </c>
      <c r="AC17" s="449" t="str">
        <f t="shared" si="6"/>
        <v/>
      </c>
    </row>
    <row r="18" spans="1:29" s="13" customFormat="1">
      <c r="A18" s="340">
        <f t="shared" si="7"/>
        <v>12</v>
      </c>
      <c r="B18" s="143" t="s">
        <v>460</v>
      </c>
      <c r="C18" s="111" t="s">
        <v>375</v>
      </c>
      <c r="D18" s="169"/>
      <c r="E18" s="126" t="s">
        <v>401</v>
      </c>
      <c r="F18" s="126"/>
      <c r="G18" s="126"/>
      <c r="H18" s="348" t="s">
        <v>392</v>
      </c>
      <c r="I18" s="419" t="str">
        <f t="shared" si="0"/>
        <v/>
      </c>
      <c r="J18" s="349"/>
      <c r="K18" s="111" t="str">
        <f t="shared" si="1"/>
        <v/>
      </c>
      <c r="L18" s="349"/>
      <c r="M18" s="111" t="str">
        <f t="shared" si="2"/>
        <v/>
      </c>
      <c r="N18" s="350"/>
      <c r="O18" s="341" t="str">
        <f t="shared" si="8"/>
        <v/>
      </c>
      <c r="P18" s="337" t="str">
        <f>IF(ISBLANK(N18),"",VLOOKUP(AC18,Dasha!$A$10:$L$827,4))</f>
        <v/>
      </c>
      <c r="Q18" s="337" t="str">
        <f>IF(ISBLANK(N18),"",VLOOKUP(AC18,Dasha!$A$10:$L$827,6))</f>
        <v/>
      </c>
      <c r="R18" s="337" t="str">
        <f>IF(ISBLANK(N18),"",VLOOKUP(AC18,Dasha!$A$10:$L$827,8))</f>
        <v/>
      </c>
      <c r="S18" s="337" t="str">
        <f t="shared" si="3"/>
        <v/>
      </c>
      <c r="T18" s="450" t="str">
        <f t="shared" si="4"/>
        <v/>
      </c>
      <c r="U18" s="448" t="str">
        <f t="shared" si="9"/>
        <v>160A</v>
      </c>
      <c r="V18" s="448" t="str">
        <f t="shared" si="10"/>
        <v>0</v>
      </c>
      <c r="W18" s="448" t="str">
        <f t="shared" si="5"/>
        <v>0</v>
      </c>
      <c r="X18" s="448" t="str">
        <f t="shared" si="11"/>
        <v>-</v>
      </c>
      <c r="Y18" s="448" t="str">
        <f t="shared" si="12"/>
        <v>-</v>
      </c>
      <c r="Z18" s="448" t="str">
        <f t="shared" si="13"/>
        <v>-</v>
      </c>
      <c r="AA18" s="448"/>
      <c r="AB18" s="449" t="str">
        <f>IF(ISBLANK(N18),"",IF((N18&lt;=Dasha!$B$10),0,VLOOKUP(N18,Dasha!$B$10:$L$827,11)))</f>
        <v/>
      </c>
      <c r="AC18" s="449" t="str">
        <f t="shared" si="6"/>
        <v/>
      </c>
    </row>
    <row r="19" spans="1:29" s="13" customFormat="1">
      <c r="A19" s="340">
        <f t="shared" si="7"/>
        <v>13</v>
      </c>
      <c r="B19" s="143" t="s">
        <v>461</v>
      </c>
      <c r="C19" s="111" t="s">
        <v>375</v>
      </c>
      <c r="D19" s="169"/>
      <c r="E19" s="126" t="s">
        <v>352</v>
      </c>
      <c r="F19" s="126"/>
      <c r="G19" s="126"/>
      <c r="H19" s="348" t="s">
        <v>392</v>
      </c>
      <c r="I19" s="419" t="str">
        <f t="shared" si="0"/>
        <v/>
      </c>
      <c r="J19" s="349"/>
      <c r="K19" s="111" t="str">
        <f t="shared" si="1"/>
        <v/>
      </c>
      <c r="L19" s="349"/>
      <c r="M19" s="111" t="str">
        <f t="shared" si="2"/>
        <v/>
      </c>
      <c r="N19" s="350"/>
      <c r="O19" s="341" t="str">
        <f t="shared" si="8"/>
        <v/>
      </c>
      <c r="P19" s="337" t="str">
        <f>IF(ISBLANK(N19),"",VLOOKUP(AC19,Dasha!$A$10:$L$827,4))</f>
        <v/>
      </c>
      <c r="Q19" s="337" t="str">
        <f>IF(ISBLANK(N19),"",VLOOKUP(AC19,Dasha!$A$10:$L$827,6))</f>
        <v/>
      </c>
      <c r="R19" s="337" t="str">
        <f>IF(ISBLANK(N19),"",VLOOKUP(AC19,Dasha!$A$10:$L$827,8))</f>
        <v/>
      </c>
      <c r="S19" s="337" t="str">
        <f t="shared" si="3"/>
        <v/>
      </c>
      <c r="T19" s="450" t="str">
        <f t="shared" si="4"/>
        <v/>
      </c>
      <c r="U19" s="448" t="str">
        <f t="shared" si="9"/>
        <v>170A</v>
      </c>
      <c r="V19" s="448" t="str">
        <f t="shared" si="10"/>
        <v>0</v>
      </c>
      <c r="W19" s="448" t="str">
        <f t="shared" si="5"/>
        <v>0</v>
      </c>
      <c r="X19" s="448" t="str">
        <f t="shared" si="11"/>
        <v>-</v>
      </c>
      <c r="Y19" s="448" t="str">
        <f t="shared" si="12"/>
        <v>-</v>
      </c>
      <c r="Z19" s="448" t="str">
        <f t="shared" si="13"/>
        <v>-</v>
      </c>
      <c r="AA19" s="448"/>
      <c r="AB19" s="449" t="str">
        <f>IF(ISBLANK(N19),"",IF((N19&lt;=Dasha!$B$10),0,VLOOKUP(N19,Dasha!$B$10:$L$827,11)))</f>
        <v/>
      </c>
      <c r="AC19" s="449" t="str">
        <f t="shared" si="6"/>
        <v/>
      </c>
    </row>
    <row r="20" spans="1:29" s="13" customFormat="1">
      <c r="A20" s="340">
        <f t="shared" si="7"/>
        <v>14</v>
      </c>
      <c r="B20" s="143" t="s">
        <v>462</v>
      </c>
      <c r="C20" s="111" t="s">
        <v>375</v>
      </c>
      <c r="D20" s="169"/>
      <c r="E20" s="126" t="s">
        <v>353</v>
      </c>
      <c r="F20" s="126"/>
      <c r="G20" s="126"/>
      <c r="H20" s="348" t="s">
        <v>392</v>
      </c>
      <c r="I20" s="419" t="str">
        <f t="shared" si="0"/>
        <v/>
      </c>
      <c r="J20" s="349"/>
      <c r="K20" s="111" t="str">
        <f t="shared" si="1"/>
        <v/>
      </c>
      <c r="L20" s="349"/>
      <c r="M20" s="111" t="str">
        <f t="shared" si="2"/>
        <v/>
      </c>
      <c r="N20" s="350"/>
      <c r="O20" s="341" t="str">
        <f t="shared" si="8"/>
        <v/>
      </c>
      <c r="P20" s="337" t="str">
        <f>IF(ISBLANK(N20),"",VLOOKUP(AC20,Dasha!$A$10:$L$827,4))</f>
        <v/>
      </c>
      <c r="Q20" s="337" t="str">
        <f>IF(ISBLANK(N20),"",VLOOKUP(AC20,Dasha!$A$10:$L$827,6))</f>
        <v/>
      </c>
      <c r="R20" s="337" t="str">
        <f>IF(ISBLANK(N20),"",VLOOKUP(AC20,Dasha!$A$10:$L$827,8))</f>
        <v/>
      </c>
      <c r="S20" s="337" t="str">
        <f t="shared" si="3"/>
        <v/>
      </c>
      <c r="T20" s="450" t="str">
        <f t="shared" si="4"/>
        <v/>
      </c>
      <c r="U20" s="448" t="str">
        <f t="shared" si="9"/>
        <v>180A</v>
      </c>
      <c r="V20" s="448" t="str">
        <f t="shared" si="10"/>
        <v>0</v>
      </c>
      <c r="W20" s="448" t="str">
        <f t="shared" si="5"/>
        <v>0</v>
      </c>
      <c r="X20" s="448" t="str">
        <f t="shared" si="11"/>
        <v>-</v>
      </c>
      <c r="Y20" s="448" t="str">
        <f t="shared" si="12"/>
        <v>-</v>
      </c>
      <c r="Z20" s="448" t="str">
        <f t="shared" si="13"/>
        <v>-</v>
      </c>
      <c r="AA20" s="448"/>
      <c r="AB20" s="449" t="str">
        <f>IF(ISBLANK(N20),"",IF((N20&lt;=Dasha!$B$10),0,VLOOKUP(N20,Dasha!$B$10:$L$827,11)))</f>
        <v/>
      </c>
      <c r="AC20" s="449" t="str">
        <f t="shared" si="6"/>
        <v/>
      </c>
    </row>
    <row r="21" spans="1:29" s="13" customFormat="1">
      <c r="A21" s="340">
        <f t="shared" si="7"/>
        <v>15</v>
      </c>
      <c r="B21" s="143" t="s">
        <v>555</v>
      </c>
      <c r="C21" s="111" t="s">
        <v>346</v>
      </c>
      <c r="D21" s="169"/>
      <c r="E21" s="126" t="s">
        <v>361</v>
      </c>
      <c r="F21" s="126"/>
      <c r="G21" s="126"/>
      <c r="H21" s="348" t="s">
        <v>303</v>
      </c>
      <c r="I21" s="419" t="str">
        <f t="shared" si="0"/>
        <v/>
      </c>
      <c r="J21" s="349"/>
      <c r="K21" s="111" t="str">
        <f t="shared" si="1"/>
        <v/>
      </c>
      <c r="L21" s="349"/>
      <c r="M21" s="111" t="str">
        <f t="shared" si="2"/>
        <v>date?</v>
      </c>
      <c r="N21" s="350">
        <v>39925</v>
      </c>
      <c r="O21" s="341" t="str">
        <f t="shared" si="8"/>
        <v/>
      </c>
      <c r="P21" s="337" t="str">
        <f>IF(ISBLANK(N21),"",VLOOKUP(AC21,Dasha!$A$10:$L$827,4))</f>
        <v>sun</v>
      </c>
      <c r="Q21" s="337" t="str">
        <f>IF(ISBLANK(N21),"",VLOOKUP(AC21,Dasha!$A$10:$L$827,6))</f>
        <v>jupiter</v>
      </c>
      <c r="R21" s="337" t="str">
        <f>IF(ISBLANK(N21),"",VLOOKUP(AC21,Dasha!$A$10:$L$827,8))</f>
        <v>saturn</v>
      </c>
      <c r="S21" s="337">
        <f t="shared" si="3"/>
        <v>58</v>
      </c>
      <c r="T21" s="450" t="str">
        <f t="shared" si="4"/>
        <v>insert into events values ("NDM179934000","210D",0,58,"sun","jup","sat");</v>
      </c>
      <c r="U21" s="448" t="str">
        <f t="shared" si="9"/>
        <v>210D</v>
      </c>
      <c r="V21" s="448" t="str">
        <f t="shared" si="10"/>
        <v>0</v>
      </c>
      <c r="W21" s="448">
        <f t="shared" si="5"/>
        <v>58</v>
      </c>
      <c r="X21" s="448" t="str">
        <f t="shared" si="11"/>
        <v>sun</v>
      </c>
      <c r="Y21" s="448" t="str">
        <f t="shared" si="12"/>
        <v>jup</v>
      </c>
      <c r="Z21" s="448" t="str">
        <f t="shared" si="13"/>
        <v>sat</v>
      </c>
      <c r="AA21" s="448"/>
      <c r="AB21" s="449">
        <f>IF(ISBLANK(N21),"",IF((N21&lt;=Dasha!$B$10),0,VLOOKUP(N21,Dasha!$B$10:$L$827,11)))</f>
        <v>361</v>
      </c>
      <c r="AC21" s="449">
        <f t="shared" si="6"/>
        <v>362</v>
      </c>
    </row>
    <row r="22" spans="1:29" s="13" customFormat="1">
      <c r="A22" s="340">
        <f t="shared" si="7"/>
        <v>16</v>
      </c>
      <c r="B22" s="143" t="s">
        <v>463</v>
      </c>
      <c r="C22" s="111" t="s">
        <v>346</v>
      </c>
      <c r="D22" s="169"/>
      <c r="E22" s="126" t="s">
        <v>376</v>
      </c>
      <c r="F22" s="126"/>
      <c r="G22" s="126"/>
      <c r="H22" s="348" t="s">
        <v>392</v>
      </c>
      <c r="I22" s="419" t="str">
        <f t="shared" si="0"/>
        <v/>
      </c>
      <c r="J22" s="349"/>
      <c r="K22" s="111" t="str">
        <f t="shared" si="1"/>
        <v/>
      </c>
      <c r="L22" s="349"/>
      <c r="M22" s="111" t="str">
        <f t="shared" si="2"/>
        <v/>
      </c>
      <c r="N22" s="350"/>
      <c r="O22" s="341" t="str">
        <f t="shared" si="8"/>
        <v/>
      </c>
      <c r="P22" s="337" t="str">
        <f>IF(ISBLANK(N22),"",VLOOKUP(AC22,Dasha!$A$10:$L$827,4))</f>
        <v/>
      </c>
      <c r="Q22" s="337" t="str">
        <f>IF(ISBLANK(N22),"",VLOOKUP(AC22,Dasha!$A$10:$L$827,6))</f>
        <v/>
      </c>
      <c r="R22" s="337" t="str">
        <f>IF(ISBLANK(N22),"",VLOOKUP(AC22,Dasha!$A$10:$L$827,8))</f>
        <v/>
      </c>
      <c r="S22" s="337" t="str">
        <f t="shared" si="3"/>
        <v/>
      </c>
      <c r="T22" s="450" t="str">
        <f t="shared" si="4"/>
        <v/>
      </c>
      <c r="U22" s="448" t="str">
        <f t="shared" si="9"/>
        <v>220A</v>
      </c>
      <c r="V22" s="448" t="str">
        <f t="shared" si="10"/>
        <v>0</v>
      </c>
      <c r="W22" s="448" t="str">
        <f t="shared" si="5"/>
        <v>0</v>
      </c>
      <c r="X22" s="448" t="str">
        <f t="shared" si="11"/>
        <v>-</v>
      </c>
      <c r="Y22" s="448" t="str">
        <f t="shared" si="12"/>
        <v>-</v>
      </c>
      <c r="Z22" s="448" t="str">
        <f t="shared" si="13"/>
        <v>-</v>
      </c>
      <c r="AA22" s="448"/>
      <c r="AB22" s="449" t="str">
        <f>IF(ISBLANK(N22),"",IF((N22&lt;=Dasha!$B$10),0,VLOOKUP(N22,Dasha!$B$10:$L$827,11)))</f>
        <v/>
      </c>
      <c r="AC22" s="449" t="str">
        <f t="shared" si="6"/>
        <v/>
      </c>
    </row>
    <row r="23" spans="1:29" s="13" customFormat="1">
      <c r="A23" s="340">
        <f t="shared" si="7"/>
        <v>17</v>
      </c>
      <c r="B23" s="143" t="s">
        <v>464</v>
      </c>
      <c r="C23" s="111" t="s">
        <v>346</v>
      </c>
      <c r="D23" s="169"/>
      <c r="E23" s="126" t="s">
        <v>348</v>
      </c>
      <c r="F23" s="126"/>
      <c r="G23" s="126"/>
      <c r="H23" s="348" t="s">
        <v>392</v>
      </c>
      <c r="I23" s="419" t="str">
        <f t="shared" si="0"/>
        <v/>
      </c>
      <c r="J23" s="349"/>
      <c r="K23" s="111" t="str">
        <f t="shared" si="1"/>
        <v/>
      </c>
      <c r="L23" s="349"/>
      <c r="M23" s="111" t="str">
        <f t="shared" si="2"/>
        <v/>
      </c>
      <c r="N23" s="350"/>
      <c r="O23" s="341" t="str">
        <f t="shared" si="8"/>
        <v/>
      </c>
      <c r="P23" s="337" t="str">
        <f>IF(ISBLANK(N23),"",VLOOKUP(AC23,Dasha!$A$10:$L$827,4))</f>
        <v/>
      </c>
      <c r="Q23" s="337" t="str">
        <f>IF(ISBLANK(N23),"",VLOOKUP(AC23,Dasha!$A$10:$L$827,6))</f>
        <v/>
      </c>
      <c r="R23" s="337" t="str">
        <f>IF(ISBLANK(N23),"",VLOOKUP(AC23,Dasha!$A$10:$L$827,8))</f>
        <v/>
      </c>
      <c r="S23" s="337" t="str">
        <f t="shared" si="3"/>
        <v/>
      </c>
      <c r="T23" s="450" t="str">
        <f t="shared" si="4"/>
        <v/>
      </c>
      <c r="U23" s="448" t="str">
        <f t="shared" si="9"/>
        <v>230A</v>
      </c>
      <c r="V23" s="448" t="str">
        <f t="shared" si="10"/>
        <v>0</v>
      </c>
      <c r="W23" s="448" t="str">
        <f t="shared" si="5"/>
        <v>0</v>
      </c>
      <c r="X23" s="448" t="str">
        <f t="shared" si="11"/>
        <v>-</v>
      </c>
      <c r="Y23" s="448" t="str">
        <f t="shared" si="12"/>
        <v>-</v>
      </c>
      <c r="Z23" s="448" t="str">
        <f t="shared" si="13"/>
        <v>-</v>
      </c>
      <c r="AA23" s="448"/>
      <c r="AB23" s="449" t="str">
        <f>IF(ISBLANK(N23),"",IF((N23&lt;=Dasha!$B$10),0,VLOOKUP(N23,Dasha!$B$10:$L$827,11)))</f>
        <v/>
      </c>
      <c r="AC23" s="449" t="str">
        <f t="shared" si="6"/>
        <v/>
      </c>
    </row>
    <row r="24" spans="1:29" s="13" customFormat="1">
      <c r="A24" s="340">
        <f t="shared" si="7"/>
        <v>18</v>
      </c>
      <c r="B24" s="143" t="s">
        <v>465</v>
      </c>
      <c r="C24" s="111" t="s">
        <v>346</v>
      </c>
      <c r="D24" s="169"/>
      <c r="E24" s="126" t="s">
        <v>402</v>
      </c>
      <c r="F24" s="126"/>
      <c r="G24" s="126"/>
      <c r="H24" s="348" t="s">
        <v>392</v>
      </c>
      <c r="I24" s="419" t="str">
        <f t="shared" si="0"/>
        <v/>
      </c>
      <c r="J24" s="349"/>
      <c r="K24" s="111" t="str">
        <f t="shared" si="1"/>
        <v/>
      </c>
      <c r="L24" s="349"/>
      <c r="M24" s="111" t="str">
        <f t="shared" si="2"/>
        <v/>
      </c>
      <c r="N24" s="350"/>
      <c r="O24" s="341" t="str">
        <f t="shared" si="8"/>
        <v/>
      </c>
      <c r="P24" s="337" t="str">
        <f>IF(ISBLANK(N24),"",VLOOKUP(AC24,Dasha!$A$10:$L$827,4))</f>
        <v/>
      </c>
      <c r="Q24" s="337" t="str">
        <f>IF(ISBLANK(N24),"",VLOOKUP(AC24,Dasha!$A$10:$L$827,6))</f>
        <v/>
      </c>
      <c r="R24" s="337" t="str">
        <f>IF(ISBLANK(N24),"",VLOOKUP(AC24,Dasha!$A$10:$L$827,8))</f>
        <v/>
      </c>
      <c r="S24" s="337" t="str">
        <f t="shared" si="3"/>
        <v/>
      </c>
      <c r="T24" s="450" t="str">
        <f t="shared" si="4"/>
        <v/>
      </c>
      <c r="U24" s="448" t="str">
        <f t="shared" si="9"/>
        <v>240A</v>
      </c>
      <c r="V24" s="448" t="str">
        <f t="shared" si="10"/>
        <v>0</v>
      </c>
      <c r="W24" s="448" t="str">
        <f t="shared" si="5"/>
        <v>0</v>
      </c>
      <c r="X24" s="448" t="str">
        <f t="shared" si="11"/>
        <v>-</v>
      </c>
      <c r="Y24" s="448" t="str">
        <f t="shared" si="12"/>
        <v>-</v>
      </c>
      <c r="Z24" s="448" t="str">
        <f t="shared" si="13"/>
        <v>-</v>
      </c>
      <c r="AA24" s="448"/>
      <c r="AB24" s="449" t="str">
        <f>IF(ISBLANK(N24),"",IF((N24&lt;=Dasha!$B$10),0,VLOOKUP(N24,Dasha!$B$10:$L$827,11)))</f>
        <v/>
      </c>
      <c r="AC24" s="449" t="str">
        <f t="shared" si="6"/>
        <v/>
      </c>
    </row>
    <row r="25" spans="1:29" s="13" customFormat="1">
      <c r="A25" s="340">
        <f t="shared" si="7"/>
        <v>19</v>
      </c>
      <c r="B25" s="143" t="s">
        <v>466</v>
      </c>
      <c r="C25" s="111" t="s">
        <v>346</v>
      </c>
      <c r="D25" s="169"/>
      <c r="E25" s="126" t="s">
        <v>364</v>
      </c>
      <c r="F25" s="126"/>
      <c r="G25" s="126"/>
      <c r="H25" s="348" t="s">
        <v>392</v>
      </c>
      <c r="I25" s="419" t="str">
        <f t="shared" si="0"/>
        <v/>
      </c>
      <c r="J25" s="349"/>
      <c r="K25" s="111" t="str">
        <f t="shared" si="1"/>
        <v/>
      </c>
      <c r="L25" s="349"/>
      <c r="M25" s="111" t="str">
        <f t="shared" si="2"/>
        <v/>
      </c>
      <c r="N25" s="350"/>
      <c r="O25" s="341" t="str">
        <f t="shared" si="8"/>
        <v/>
      </c>
      <c r="P25" s="337" t="str">
        <f>IF(ISBLANK(N25),"",VLOOKUP(AC25,Dasha!$A$10:$L$827,4))</f>
        <v/>
      </c>
      <c r="Q25" s="337" t="str">
        <f>IF(ISBLANK(N25),"",VLOOKUP(AC25,Dasha!$A$10:$L$827,6))</f>
        <v/>
      </c>
      <c r="R25" s="337" t="str">
        <f>IF(ISBLANK(N25),"",VLOOKUP(AC25,Dasha!$A$10:$L$827,8))</f>
        <v/>
      </c>
      <c r="S25" s="337" t="str">
        <f t="shared" si="3"/>
        <v/>
      </c>
      <c r="T25" s="450" t="str">
        <f t="shared" si="4"/>
        <v/>
      </c>
      <c r="U25" s="448" t="str">
        <f t="shared" si="9"/>
        <v>250A</v>
      </c>
      <c r="V25" s="448" t="str">
        <f t="shared" si="10"/>
        <v>0</v>
      </c>
      <c r="W25" s="448" t="str">
        <f t="shared" si="5"/>
        <v>0</v>
      </c>
      <c r="X25" s="448" t="str">
        <f t="shared" si="11"/>
        <v>-</v>
      </c>
      <c r="Y25" s="448" t="str">
        <f t="shared" si="12"/>
        <v>-</v>
      </c>
      <c r="Z25" s="448" t="str">
        <f t="shared" si="13"/>
        <v>-</v>
      </c>
      <c r="AA25" s="448"/>
      <c r="AB25" s="449" t="str">
        <f>IF(ISBLANK(N25),"",IF((N25&lt;=Dasha!$B$10),0,VLOOKUP(N25,Dasha!$B$10:$L$827,11)))</f>
        <v/>
      </c>
      <c r="AC25" s="449" t="str">
        <f t="shared" si="6"/>
        <v/>
      </c>
    </row>
    <row r="26" spans="1:29" s="13" customFormat="1">
      <c r="A26" s="340">
        <f t="shared" si="7"/>
        <v>20</v>
      </c>
      <c r="B26" s="143" t="s">
        <v>467</v>
      </c>
      <c r="C26" s="111" t="s">
        <v>347</v>
      </c>
      <c r="D26" s="169"/>
      <c r="E26" s="126" t="s">
        <v>403</v>
      </c>
      <c r="F26" s="126"/>
      <c r="G26" s="126"/>
      <c r="H26" s="348" t="s">
        <v>392</v>
      </c>
      <c r="I26" s="419" t="str">
        <f t="shared" si="0"/>
        <v/>
      </c>
      <c r="J26" s="349"/>
      <c r="K26" s="111" t="str">
        <f t="shared" si="1"/>
        <v/>
      </c>
      <c r="L26" s="349"/>
      <c r="M26" s="111" t="str">
        <f t="shared" si="2"/>
        <v/>
      </c>
      <c r="N26" s="350"/>
      <c r="O26" s="341" t="str">
        <f t="shared" si="8"/>
        <v/>
      </c>
      <c r="P26" s="337" t="str">
        <f>IF(ISBLANK(N26),"",VLOOKUP(AC26,Dasha!$A$10:$L$827,4))</f>
        <v/>
      </c>
      <c r="Q26" s="337" t="str">
        <f>IF(ISBLANK(N26),"",VLOOKUP(AC26,Dasha!$A$10:$L$827,6))</f>
        <v/>
      </c>
      <c r="R26" s="337" t="str">
        <f>IF(ISBLANK(N26),"",VLOOKUP(AC26,Dasha!$A$10:$L$827,8))</f>
        <v/>
      </c>
      <c r="S26" s="337" t="str">
        <f t="shared" si="3"/>
        <v/>
      </c>
      <c r="T26" s="450" t="str">
        <f t="shared" si="4"/>
        <v/>
      </c>
      <c r="U26" s="448" t="str">
        <f t="shared" si="9"/>
        <v>310A</v>
      </c>
      <c r="V26" s="448" t="str">
        <f t="shared" si="10"/>
        <v>0</v>
      </c>
      <c r="W26" s="448" t="str">
        <f t="shared" si="5"/>
        <v>0</v>
      </c>
      <c r="X26" s="448" t="str">
        <f t="shared" si="11"/>
        <v>-</v>
      </c>
      <c r="Y26" s="448" t="str">
        <f t="shared" si="12"/>
        <v>-</v>
      </c>
      <c r="Z26" s="448" t="str">
        <f t="shared" si="13"/>
        <v>-</v>
      </c>
      <c r="AA26" s="448"/>
      <c r="AB26" s="449" t="str">
        <f>IF(ISBLANK(N26),"",IF((N26&lt;=Dasha!$B$10),0,VLOOKUP(N26,Dasha!$B$10:$L$827,11)))</f>
        <v/>
      </c>
      <c r="AC26" s="449" t="str">
        <f t="shared" si="6"/>
        <v/>
      </c>
    </row>
    <row r="27" spans="1:29" s="13" customFormat="1">
      <c r="A27" s="340">
        <f t="shared" si="7"/>
        <v>21</v>
      </c>
      <c r="B27" s="143" t="s">
        <v>468</v>
      </c>
      <c r="C27" s="111" t="s">
        <v>347</v>
      </c>
      <c r="D27" s="169"/>
      <c r="E27" s="126" t="s">
        <v>404</v>
      </c>
      <c r="F27" s="126"/>
      <c r="G27" s="126"/>
      <c r="H27" s="348" t="s">
        <v>392</v>
      </c>
      <c r="I27" s="419" t="str">
        <f t="shared" si="0"/>
        <v/>
      </c>
      <c r="J27" s="349"/>
      <c r="K27" s="111" t="str">
        <f t="shared" si="1"/>
        <v/>
      </c>
      <c r="L27" s="349"/>
      <c r="M27" s="111" t="str">
        <f t="shared" si="2"/>
        <v/>
      </c>
      <c r="N27" s="350"/>
      <c r="O27" s="341" t="str">
        <f t="shared" si="8"/>
        <v/>
      </c>
      <c r="P27" s="337" t="str">
        <f>IF(ISBLANK(N27),"",VLOOKUP(AC27,Dasha!$A$10:$L$827,4))</f>
        <v/>
      </c>
      <c r="Q27" s="337" t="str">
        <f>IF(ISBLANK(N27),"",VLOOKUP(AC27,Dasha!$A$10:$L$827,6))</f>
        <v/>
      </c>
      <c r="R27" s="337" t="str">
        <f>IF(ISBLANK(N27),"",VLOOKUP(AC27,Dasha!$A$10:$L$827,8))</f>
        <v/>
      </c>
      <c r="S27" s="337" t="str">
        <f t="shared" si="3"/>
        <v/>
      </c>
      <c r="T27" s="450" t="str">
        <f t="shared" si="4"/>
        <v/>
      </c>
      <c r="U27" s="448" t="str">
        <f t="shared" si="9"/>
        <v>320A</v>
      </c>
      <c r="V27" s="448" t="str">
        <f t="shared" si="10"/>
        <v>0</v>
      </c>
      <c r="W27" s="448" t="str">
        <f t="shared" si="5"/>
        <v>0</v>
      </c>
      <c r="X27" s="448" t="str">
        <f t="shared" si="11"/>
        <v>-</v>
      </c>
      <c r="Y27" s="448" t="str">
        <f t="shared" si="12"/>
        <v>-</v>
      </c>
      <c r="Z27" s="448" t="str">
        <f t="shared" si="13"/>
        <v>-</v>
      </c>
      <c r="AA27" s="448"/>
      <c r="AB27" s="449" t="str">
        <f>IF(ISBLANK(N27),"",IF((N27&lt;=Dasha!$B$10),0,VLOOKUP(N27,Dasha!$B$10:$L$827,11)))</f>
        <v/>
      </c>
      <c r="AC27" s="449" t="str">
        <f t="shared" si="6"/>
        <v/>
      </c>
    </row>
    <row r="28" spans="1:29" s="13" customFormat="1">
      <c r="A28" s="340">
        <f t="shared" si="7"/>
        <v>22</v>
      </c>
      <c r="B28" s="143" t="s">
        <v>469</v>
      </c>
      <c r="C28" s="111" t="s">
        <v>347</v>
      </c>
      <c r="D28" s="169"/>
      <c r="E28" s="126" t="s">
        <v>405</v>
      </c>
      <c r="F28" s="126"/>
      <c r="G28" s="126"/>
      <c r="H28" s="348" t="s">
        <v>392</v>
      </c>
      <c r="I28" s="419" t="str">
        <f t="shared" si="0"/>
        <v/>
      </c>
      <c r="J28" s="349"/>
      <c r="K28" s="111" t="str">
        <f t="shared" si="1"/>
        <v/>
      </c>
      <c r="L28" s="349"/>
      <c r="M28" s="111" t="str">
        <f t="shared" si="2"/>
        <v/>
      </c>
      <c r="N28" s="350"/>
      <c r="O28" s="341" t="str">
        <f t="shared" si="8"/>
        <v/>
      </c>
      <c r="P28" s="337" t="str">
        <f>IF(ISBLANK(N28),"",VLOOKUP(AC28,Dasha!$A$10:$L$827,4))</f>
        <v/>
      </c>
      <c r="Q28" s="337" t="str">
        <f>IF(ISBLANK(N28),"",VLOOKUP(AC28,Dasha!$A$10:$L$827,6))</f>
        <v/>
      </c>
      <c r="R28" s="337" t="str">
        <f>IF(ISBLANK(N28),"",VLOOKUP(AC28,Dasha!$A$10:$L$827,8))</f>
        <v/>
      </c>
      <c r="S28" s="337" t="str">
        <f t="shared" si="3"/>
        <v/>
      </c>
      <c r="T28" s="450" t="str">
        <f t="shared" si="4"/>
        <v/>
      </c>
      <c r="U28" s="448" t="str">
        <f t="shared" si="9"/>
        <v>330A</v>
      </c>
      <c r="V28" s="448" t="str">
        <f t="shared" si="10"/>
        <v>0</v>
      </c>
      <c r="W28" s="448" t="str">
        <f t="shared" si="5"/>
        <v>0</v>
      </c>
      <c r="X28" s="448" t="str">
        <f t="shared" si="11"/>
        <v>-</v>
      </c>
      <c r="Y28" s="448" t="str">
        <f t="shared" si="12"/>
        <v>-</v>
      </c>
      <c r="Z28" s="448" t="str">
        <f t="shared" si="13"/>
        <v>-</v>
      </c>
      <c r="AA28" s="448"/>
      <c r="AB28" s="449" t="str">
        <f>IF(ISBLANK(N28),"",IF((N28&lt;=Dasha!$B$10),0,VLOOKUP(N28,Dasha!$B$10:$L$827,11)))</f>
        <v/>
      </c>
      <c r="AC28" s="449" t="str">
        <f t="shared" si="6"/>
        <v/>
      </c>
    </row>
    <row r="29" spans="1:29" s="13" customFormat="1">
      <c r="A29" s="340">
        <f t="shared" si="7"/>
        <v>23</v>
      </c>
      <c r="B29" s="143" t="s">
        <v>470</v>
      </c>
      <c r="C29" s="111" t="s">
        <v>347</v>
      </c>
      <c r="D29" s="169"/>
      <c r="E29" s="126" t="s">
        <v>406</v>
      </c>
      <c r="F29" s="126"/>
      <c r="G29" s="126"/>
      <c r="H29" s="348" t="s">
        <v>392</v>
      </c>
      <c r="I29" s="419" t="str">
        <f t="shared" si="0"/>
        <v/>
      </c>
      <c r="J29" s="349"/>
      <c r="K29" s="111" t="str">
        <f t="shared" si="1"/>
        <v/>
      </c>
      <c r="L29" s="349"/>
      <c r="M29" s="111" t="str">
        <f t="shared" si="2"/>
        <v/>
      </c>
      <c r="N29" s="350"/>
      <c r="O29" s="341" t="str">
        <f t="shared" si="8"/>
        <v/>
      </c>
      <c r="P29" s="337" t="str">
        <f>IF(ISBLANK(N29),"",VLOOKUP(AC29,Dasha!$A$10:$L$827,4))</f>
        <v/>
      </c>
      <c r="Q29" s="337" t="str">
        <f>IF(ISBLANK(N29),"",VLOOKUP(AC29,Dasha!$A$10:$L$827,6))</f>
        <v/>
      </c>
      <c r="R29" s="337" t="str">
        <f>IF(ISBLANK(N29),"",VLOOKUP(AC29,Dasha!$A$10:$L$827,8))</f>
        <v/>
      </c>
      <c r="S29" s="337" t="str">
        <f t="shared" si="3"/>
        <v/>
      </c>
      <c r="T29" s="450" t="str">
        <f t="shared" si="4"/>
        <v/>
      </c>
      <c r="U29" s="448" t="str">
        <f t="shared" si="9"/>
        <v>340A</v>
      </c>
      <c r="V29" s="448" t="str">
        <f t="shared" si="10"/>
        <v>0</v>
      </c>
      <c r="W29" s="448" t="str">
        <f t="shared" si="5"/>
        <v>0</v>
      </c>
      <c r="X29" s="448" t="str">
        <f t="shared" si="11"/>
        <v>-</v>
      </c>
      <c r="Y29" s="448" t="str">
        <f t="shared" si="12"/>
        <v>-</v>
      </c>
      <c r="Z29" s="448" t="str">
        <f t="shared" si="13"/>
        <v>-</v>
      </c>
      <c r="AA29" s="448"/>
      <c r="AB29" s="449" t="str">
        <f>IF(ISBLANK(N29),"",IF((N29&lt;=Dasha!$B$10),0,VLOOKUP(N29,Dasha!$B$10:$L$827,11)))</f>
        <v/>
      </c>
      <c r="AC29" s="449" t="str">
        <f t="shared" si="6"/>
        <v/>
      </c>
    </row>
    <row r="30" spans="1:29" s="13" customFormat="1">
      <c r="A30" s="340">
        <f t="shared" si="7"/>
        <v>24</v>
      </c>
      <c r="B30" s="143" t="s">
        <v>471</v>
      </c>
      <c r="C30" s="111" t="s">
        <v>347</v>
      </c>
      <c r="D30" s="169"/>
      <c r="E30" s="126" t="s">
        <v>407</v>
      </c>
      <c r="F30" s="126"/>
      <c r="G30" s="126"/>
      <c r="H30" s="348" t="s">
        <v>392</v>
      </c>
      <c r="I30" s="419" t="str">
        <f t="shared" si="0"/>
        <v/>
      </c>
      <c r="J30" s="349"/>
      <c r="K30" s="111" t="str">
        <f t="shared" si="1"/>
        <v/>
      </c>
      <c r="L30" s="349"/>
      <c r="M30" s="111" t="str">
        <f t="shared" si="2"/>
        <v/>
      </c>
      <c r="N30" s="350"/>
      <c r="O30" s="341" t="str">
        <f t="shared" si="8"/>
        <v/>
      </c>
      <c r="P30" s="337" t="str">
        <f>IF(ISBLANK(N30),"",VLOOKUP(AC30,Dasha!$A$10:$L$827,4))</f>
        <v/>
      </c>
      <c r="Q30" s="337" t="str">
        <f>IF(ISBLANK(N30),"",VLOOKUP(AC30,Dasha!$A$10:$L$827,6))</f>
        <v/>
      </c>
      <c r="R30" s="337" t="str">
        <f>IF(ISBLANK(N30),"",VLOOKUP(AC30,Dasha!$A$10:$L$827,8))</f>
        <v/>
      </c>
      <c r="S30" s="337" t="str">
        <f t="shared" si="3"/>
        <v/>
      </c>
      <c r="T30" s="450" t="str">
        <f t="shared" si="4"/>
        <v/>
      </c>
      <c r="U30" s="448" t="str">
        <f t="shared" si="9"/>
        <v>350A</v>
      </c>
      <c r="V30" s="448" t="str">
        <f t="shared" si="10"/>
        <v>0</v>
      </c>
      <c r="W30" s="448" t="str">
        <f t="shared" si="5"/>
        <v>0</v>
      </c>
      <c r="X30" s="448" t="str">
        <f t="shared" si="11"/>
        <v>-</v>
      </c>
      <c r="Y30" s="448" t="str">
        <f t="shared" si="12"/>
        <v>-</v>
      </c>
      <c r="Z30" s="448" t="str">
        <f t="shared" si="13"/>
        <v>-</v>
      </c>
      <c r="AA30" s="448"/>
      <c r="AB30" s="449" t="str">
        <f>IF(ISBLANK(N30),"",IF((N30&lt;=Dasha!$B$10),0,VLOOKUP(N30,Dasha!$B$10:$L$827,11)))</f>
        <v/>
      </c>
      <c r="AC30" s="449" t="str">
        <f t="shared" si="6"/>
        <v/>
      </c>
    </row>
    <row r="31" spans="1:29" s="13" customFormat="1">
      <c r="A31" s="340">
        <f t="shared" si="7"/>
        <v>25</v>
      </c>
      <c r="B31" s="143" t="s">
        <v>472</v>
      </c>
      <c r="C31" s="111" t="s">
        <v>347</v>
      </c>
      <c r="D31" s="169"/>
      <c r="E31" s="126" t="s">
        <v>413</v>
      </c>
      <c r="F31" s="126"/>
      <c r="G31" s="126"/>
      <c r="H31" s="348" t="s">
        <v>392</v>
      </c>
      <c r="I31" s="419" t="str">
        <f t="shared" si="0"/>
        <v/>
      </c>
      <c r="J31" s="349"/>
      <c r="K31" s="111" t="str">
        <f t="shared" si="1"/>
        <v/>
      </c>
      <c r="L31" s="349"/>
      <c r="M31" s="111" t="str">
        <f t="shared" si="2"/>
        <v/>
      </c>
      <c r="N31" s="350"/>
      <c r="O31" s="341" t="str">
        <f t="shared" si="8"/>
        <v/>
      </c>
      <c r="P31" s="337" t="str">
        <f>IF(ISBLANK(N31),"",VLOOKUP(AC31,Dasha!$A$10:$L$827,4))</f>
        <v/>
      </c>
      <c r="Q31" s="337" t="str">
        <f>IF(ISBLANK(N31),"",VLOOKUP(AC31,Dasha!$A$10:$L$827,6))</f>
        <v/>
      </c>
      <c r="R31" s="337" t="str">
        <f>IF(ISBLANK(N31),"",VLOOKUP(AC31,Dasha!$A$10:$L$827,8))</f>
        <v/>
      </c>
      <c r="S31" s="337" t="str">
        <f t="shared" si="3"/>
        <v/>
      </c>
      <c r="T31" s="450" t="str">
        <f t="shared" si="4"/>
        <v/>
      </c>
      <c r="U31" s="448" t="str">
        <f t="shared" si="9"/>
        <v>360A</v>
      </c>
      <c r="V31" s="448" t="str">
        <f t="shared" si="10"/>
        <v>0</v>
      </c>
      <c r="W31" s="448" t="str">
        <f t="shared" si="5"/>
        <v>0</v>
      </c>
      <c r="X31" s="448" t="str">
        <f t="shared" si="11"/>
        <v>-</v>
      </c>
      <c r="Y31" s="448" t="str">
        <f t="shared" si="12"/>
        <v>-</v>
      </c>
      <c r="Z31" s="448" t="str">
        <f t="shared" si="13"/>
        <v>-</v>
      </c>
      <c r="AA31" s="448"/>
      <c r="AB31" s="449" t="str">
        <f>IF(ISBLANK(N31),"",IF((N31&lt;=Dasha!$B$10),0,VLOOKUP(N31,Dasha!$B$10:$L$827,11)))</f>
        <v/>
      </c>
      <c r="AC31" s="449" t="str">
        <f t="shared" si="6"/>
        <v/>
      </c>
    </row>
    <row r="32" spans="1:29" s="13" customFormat="1">
      <c r="A32" s="340">
        <f t="shared" si="7"/>
        <v>26</v>
      </c>
      <c r="B32" s="143" t="s">
        <v>473</v>
      </c>
      <c r="C32" s="111" t="s">
        <v>347</v>
      </c>
      <c r="D32" s="169"/>
      <c r="E32" s="126" t="s">
        <v>414</v>
      </c>
      <c r="F32" s="126"/>
      <c r="G32" s="126"/>
      <c r="H32" s="348" t="s">
        <v>392</v>
      </c>
      <c r="I32" s="419" t="str">
        <f t="shared" si="0"/>
        <v/>
      </c>
      <c r="J32" s="349"/>
      <c r="K32" s="111" t="str">
        <f t="shared" si="1"/>
        <v/>
      </c>
      <c r="L32" s="349"/>
      <c r="M32" s="111" t="str">
        <f t="shared" si="2"/>
        <v/>
      </c>
      <c r="N32" s="350"/>
      <c r="O32" s="341" t="str">
        <f t="shared" si="8"/>
        <v/>
      </c>
      <c r="P32" s="337" t="str">
        <f>IF(ISBLANK(N32),"",VLOOKUP(AC32,Dasha!$A$10:$L$827,4))</f>
        <v/>
      </c>
      <c r="Q32" s="337" t="str">
        <f>IF(ISBLANK(N32),"",VLOOKUP(AC32,Dasha!$A$10:$L$827,6))</f>
        <v/>
      </c>
      <c r="R32" s="337" t="str">
        <f>IF(ISBLANK(N32),"",VLOOKUP(AC32,Dasha!$A$10:$L$827,8))</f>
        <v/>
      </c>
      <c r="S32" s="337" t="str">
        <f t="shared" si="3"/>
        <v/>
      </c>
      <c r="T32" s="450" t="str">
        <f t="shared" si="4"/>
        <v/>
      </c>
      <c r="U32" s="448" t="str">
        <f t="shared" si="9"/>
        <v>370A</v>
      </c>
      <c r="V32" s="448" t="str">
        <f t="shared" si="10"/>
        <v>0</v>
      </c>
      <c r="W32" s="448" t="str">
        <f t="shared" si="5"/>
        <v>0</v>
      </c>
      <c r="X32" s="448" t="str">
        <f t="shared" si="11"/>
        <v>-</v>
      </c>
      <c r="Y32" s="448" t="str">
        <f t="shared" si="12"/>
        <v>-</v>
      </c>
      <c r="Z32" s="448" t="str">
        <f t="shared" si="13"/>
        <v>-</v>
      </c>
      <c r="AA32" s="448"/>
      <c r="AB32" s="449" t="str">
        <f>IF(ISBLANK(N32),"",IF((N32&lt;=Dasha!$B$10),0,VLOOKUP(N32,Dasha!$B$10:$L$827,11)))</f>
        <v/>
      </c>
      <c r="AC32" s="449" t="str">
        <f t="shared" si="6"/>
        <v/>
      </c>
    </row>
    <row r="33" spans="1:29" s="13" customFormat="1">
      <c r="A33" s="340">
        <f t="shared" si="7"/>
        <v>27</v>
      </c>
      <c r="B33" s="143" t="s">
        <v>474</v>
      </c>
      <c r="C33" s="111" t="s">
        <v>347</v>
      </c>
      <c r="D33" s="169"/>
      <c r="E33" s="126" t="s">
        <v>408</v>
      </c>
      <c r="F33" s="126"/>
      <c r="G33" s="126"/>
      <c r="H33" s="348" t="s">
        <v>392</v>
      </c>
      <c r="I33" s="419" t="str">
        <f t="shared" si="0"/>
        <v/>
      </c>
      <c r="J33" s="349"/>
      <c r="K33" s="111" t="str">
        <f t="shared" si="1"/>
        <v/>
      </c>
      <c r="L33" s="349"/>
      <c r="M33" s="111" t="str">
        <f t="shared" si="2"/>
        <v/>
      </c>
      <c r="N33" s="350"/>
      <c r="O33" s="341" t="str">
        <f t="shared" si="8"/>
        <v/>
      </c>
      <c r="P33" s="337" t="str">
        <f>IF(ISBLANK(N33),"",VLOOKUP(AC33,Dasha!$A$10:$L$827,4))</f>
        <v/>
      </c>
      <c r="Q33" s="337" t="str">
        <f>IF(ISBLANK(N33),"",VLOOKUP(AC33,Dasha!$A$10:$L$827,6))</f>
        <v/>
      </c>
      <c r="R33" s="337" t="str">
        <f>IF(ISBLANK(N33),"",VLOOKUP(AC33,Dasha!$A$10:$L$827,8))</f>
        <v/>
      </c>
      <c r="S33" s="337" t="str">
        <f t="shared" si="3"/>
        <v/>
      </c>
      <c r="T33" s="450" t="str">
        <f t="shared" si="4"/>
        <v/>
      </c>
      <c r="U33" s="448" t="str">
        <f t="shared" si="9"/>
        <v>380A</v>
      </c>
      <c r="V33" s="448" t="str">
        <f t="shared" si="10"/>
        <v>0</v>
      </c>
      <c r="W33" s="448" t="str">
        <f t="shared" si="5"/>
        <v>0</v>
      </c>
      <c r="X33" s="448" t="str">
        <f t="shared" si="11"/>
        <v>-</v>
      </c>
      <c r="Y33" s="448" t="str">
        <f t="shared" si="12"/>
        <v>-</v>
      </c>
      <c r="Z33" s="448" t="str">
        <f t="shared" si="13"/>
        <v>-</v>
      </c>
      <c r="AA33" s="448"/>
      <c r="AB33" s="449" t="str">
        <f>IF(ISBLANK(N33),"",IF((N33&lt;=Dasha!$B$10),0,VLOOKUP(N33,Dasha!$B$10:$L$827,11)))</f>
        <v/>
      </c>
      <c r="AC33" s="449" t="str">
        <f t="shared" si="6"/>
        <v/>
      </c>
    </row>
    <row r="34" spans="1:29" s="13" customFormat="1">
      <c r="A34" s="340">
        <f t="shared" si="7"/>
        <v>28</v>
      </c>
      <c r="B34" s="143" t="s">
        <v>475</v>
      </c>
      <c r="C34" s="111" t="s">
        <v>347</v>
      </c>
      <c r="D34" s="169"/>
      <c r="E34" s="126" t="s">
        <v>409</v>
      </c>
      <c r="F34" s="126"/>
      <c r="G34" s="126"/>
      <c r="H34" s="348" t="s">
        <v>392</v>
      </c>
      <c r="I34" s="419" t="str">
        <f t="shared" si="0"/>
        <v/>
      </c>
      <c r="J34" s="349"/>
      <c r="K34" s="111" t="str">
        <f t="shared" si="1"/>
        <v/>
      </c>
      <c r="L34" s="349"/>
      <c r="M34" s="111" t="str">
        <f t="shared" si="2"/>
        <v/>
      </c>
      <c r="N34" s="350"/>
      <c r="O34" s="341" t="str">
        <f t="shared" si="8"/>
        <v/>
      </c>
      <c r="P34" s="337" t="str">
        <f>IF(ISBLANK(N34),"",VLOOKUP(AC34,Dasha!$A$10:$L$827,4))</f>
        <v/>
      </c>
      <c r="Q34" s="337" t="str">
        <f>IF(ISBLANK(N34),"",VLOOKUP(AC34,Dasha!$A$10:$L$827,6))</f>
        <v/>
      </c>
      <c r="R34" s="337" t="str">
        <f>IF(ISBLANK(N34),"",VLOOKUP(AC34,Dasha!$A$10:$L$827,8))</f>
        <v/>
      </c>
      <c r="S34" s="337" t="str">
        <f t="shared" si="3"/>
        <v/>
      </c>
      <c r="T34" s="450" t="str">
        <f t="shared" si="4"/>
        <v/>
      </c>
      <c r="U34" s="448" t="str">
        <f t="shared" si="9"/>
        <v>390A</v>
      </c>
      <c r="V34" s="448" t="str">
        <f t="shared" si="10"/>
        <v>0</v>
      </c>
      <c r="W34" s="448" t="str">
        <f t="shared" si="5"/>
        <v>0</v>
      </c>
      <c r="X34" s="448" t="str">
        <f t="shared" si="11"/>
        <v>-</v>
      </c>
      <c r="Y34" s="448" t="str">
        <f t="shared" si="12"/>
        <v>-</v>
      </c>
      <c r="Z34" s="448" t="str">
        <f t="shared" si="13"/>
        <v>-</v>
      </c>
      <c r="AA34" s="448"/>
      <c r="AB34" s="449" t="str">
        <f>IF(ISBLANK(N34),"",IF((N34&lt;=Dasha!$B$10),0,VLOOKUP(N34,Dasha!$B$10:$L$827,11)))</f>
        <v/>
      </c>
      <c r="AC34" s="449" t="str">
        <f t="shared" si="6"/>
        <v/>
      </c>
    </row>
    <row r="35" spans="1:29" s="13" customFormat="1">
      <c r="A35" s="340">
        <f t="shared" si="7"/>
        <v>29</v>
      </c>
      <c r="B35" s="143" t="s">
        <v>476</v>
      </c>
      <c r="C35" s="111" t="s">
        <v>347</v>
      </c>
      <c r="D35" s="169"/>
      <c r="E35" s="126" t="s">
        <v>410</v>
      </c>
      <c r="F35" s="126"/>
      <c r="G35" s="126"/>
      <c r="H35" s="348" t="s">
        <v>392</v>
      </c>
      <c r="I35" s="419" t="str">
        <f t="shared" si="0"/>
        <v/>
      </c>
      <c r="J35" s="349"/>
      <c r="K35" s="111" t="str">
        <f t="shared" si="1"/>
        <v/>
      </c>
      <c r="L35" s="349"/>
      <c r="M35" s="111" t="str">
        <f t="shared" si="2"/>
        <v/>
      </c>
      <c r="N35" s="350"/>
      <c r="O35" s="341" t="str">
        <f t="shared" si="8"/>
        <v/>
      </c>
      <c r="P35" s="337" t="str">
        <f>IF(ISBLANK(N35),"",VLOOKUP(AC35,Dasha!$A$10:$L$827,4))</f>
        <v/>
      </c>
      <c r="Q35" s="337" t="str">
        <f>IF(ISBLANK(N35),"",VLOOKUP(AC35,Dasha!$A$10:$L$827,6))</f>
        <v/>
      </c>
      <c r="R35" s="337" t="str">
        <f>IF(ISBLANK(N35),"",VLOOKUP(AC35,Dasha!$A$10:$L$827,8))</f>
        <v/>
      </c>
      <c r="S35" s="337" t="str">
        <f t="shared" si="3"/>
        <v/>
      </c>
      <c r="T35" s="450" t="str">
        <f t="shared" si="4"/>
        <v/>
      </c>
      <c r="U35" s="448" t="str">
        <f t="shared" si="9"/>
        <v>3A0A</v>
      </c>
      <c r="V35" s="448" t="str">
        <f t="shared" si="10"/>
        <v>0</v>
      </c>
      <c r="W35" s="448" t="str">
        <f t="shared" si="5"/>
        <v>0</v>
      </c>
      <c r="X35" s="448" t="str">
        <f t="shared" si="11"/>
        <v>-</v>
      </c>
      <c r="Y35" s="448" t="str">
        <f t="shared" si="12"/>
        <v>-</v>
      </c>
      <c r="Z35" s="448" t="str">
        <f t="shared" si="13"/>
        <v>-</v>
      </c>
      <c r="AA35" s="448"/>
      <c r="AB35" s="449" t="str">
        <f>IF(ISBLANK(N35),"",IF((N35&lt;=Dasha!$B$10),0,VLOOKUP(N35,Dasha!$B$10:$L$827,11)))</f>
        <v/>
      </c>
      <c r="AC35" s="449" t="str">
        <f t="shared" si="6"/>
        <v/>
      </c>
    </row>
    <row r="36" spans="1:29" s="13" customFormat="1">
      <c r="A36" s="340">
        <f t="shared" si="7"/>
        <v>30</v>
      </c>
      <c r="B36" s="143" t="s">
        <v>477</v>
      </c>
      <c r="C36" s="111" t="s">
        <v>347</v>
      </c>
      <c r="D36" s="169"/>
      <c r="E36" s="126" t="s">
        <v>354</v>
      </c>
      <c r="F36" s="126"/>
      <c r="G36" s="126"/>
      <c r="H36" s="348" t="s">
        <v>392</v>
      </c>
      <c r="I36" s="419" t="str">
        <f t="shared" si="0"/>
        <v/>
      </c>
      <c r="J36" s="349"/>
      <c r="K36" s="111" t="str">
        <f t="shared" si="1"/>
        <v/>
      </c>
      <c r="L36" s="349"/>
      <c r="M36" s="111" t="str">
        <f t="shared" si="2"/>
        <v>date?</v>
      </c>
      <c r="N36" s="350"/>
      <c r="O36" s="341" t="str">
        <f t="shared" si="8"/>
        <v/>
      </c>
      <c r="P36" s="337" t="str">
        <f>IF(ISBLANK(N36),"",VLOOKUP(AC36,Dasha!$A$10:$L$827,4))</f>
        <v/>
      </c>
      <c r="Q36" s="337" t="str">
        <f>IF(ISBLANK(N36),"",VLOOKUP(AC36,Dasha!$A$10:$L$827,6))</f>
        <v/>
      </c>
      <c r="R36" s="337" t="str">
        <f>IF(ISBLANK(N36),"",VLOOKUP(AC36,Dasha!$A$10:$L$827,8))</f>
        <v/>
      </c>
      <c r="S36" s="337" t="str">
        <f t="shared" si="3"/>
        <v/>
      </c>
      <c r="T36" s="450" t="str">
        <f t="shared" si="4"/>
        <v/>
      </c>
      <c r="U36" s="448" t="str">
        <f t="shared" si="9"/>
        <v>3B0D</v>
      </c>
      <c r="V36" s="448" t="str">
        <f t="shared" si="10"/>
        <v>0</v>
      </c>
      <c r="W36" s="448" t="str">
        <f t="shared" si="5"/>
        <v>0</v>
      </c>
      <c r="X36" s="448" t="str">
        <f t="shared" si="11"/>
        <v>-</v>
      </c>
      <c r="Y36" s="448" t="str">
        <f t="shared" si="12"/>
        <v>-</v>
      </c>
      <c r="Z36" s="448" t="str">
        <f t="shared" si="13"/>
        <v>-</v>
      </c>
      <c r="AA36" s="448"/>
      <c r="AB36" s="449" t="str">
        <f>IF(ISBLANK(N36),"",IF((N36&lt;=Dasha!$B$10),0,VLOOKUP(N36,Dasha!$B$10:$L$827,11)))</f>
        <v/>
      </c>
      <c r="AC36" s="449" t="str">
        <f t="shared" si="6"/>
        <v/>
      </c>
    </row>
    <row r="37" spans="1:29" s="13" customFormat="1">
      <c r="A37" s="340">
        <f t="shared" si="7"/>
        <v>31</v>
      </c>
      <c r="B37" s="143" t="s">
        <v>478</v>
      </c>
      <c r="C37" s="111" t="s">
        <v>347</v>
      </c>
      <c r="D37" s="169"/>
      <c r="E37" s="126" t="s">
        <v>411</v>
      </c>
      <c r="F37" s="126"/>
      <c r="G37" s="126"/>
      <c r="H37" s="348" t="s">
        <v>392</v>
      </c>
      <c r="I37" s="419" t="str">
        <f t="shared" si="0"/>
        <v/>
      </c>
      <c r="J37" s="349"/>
      <c r="K37" s="111" t="str">
        <f t="shared" si="1"/>
        <v/>
      </c>
      <c r="L37" s="349"/>
      <c r="M37" s="111" t="str">
        <f t="shared" si="2"/>
        <v>date?</v>
      </c>
      <c r="N37" s="350"/>
      <c r="O37" s="341" t="str">
        <f t="shared" si="8"/>
        <v/>
      </c>
      <c r="P37" s="337" t="str">
        <f>IF(ISBLANK(N37),"",VLOOKUP(AC37,Dasha!$A$10:$L$827,4))</f>
        <v/>
      </c>
      <c r="Q37" s="337" t="str">
        <f>IF(ISBLANK(N37),"",VLOOKUP(AC37,Dasha!$A$10:$L$827,6))</f>
        <v/>
      </c>
      <c r="R37" s="337" t="str">
        <f>IF(ISBLANK(N37),"",VLOOKUP(AC37,Dasha!$A$10:$L$827,8))</f>
        <v/>
      </c>
      <c r="S37" s="337" t="str">
        <f t="shared" si="3"/>
        <v/>
      </c>
      <c r="T37" s="450" t="str">
        <f t="shared" si="4"/>
        <v/>
      </c>
      <c r="U37" s="448" t="str">
        <f t="shared" si="9"/>
        <v>3C0D</v>
      </c>
      <c r="V37" s="448" t="str">
        <f t="shared" si="10"/>
        <v>0</v>
      </c>
      <c r="W37" s="448" t="str">
        <f t="shared" si="5"/>
        <v>0</v>
      </c>
      <c r="X37" s="448" t="str">
        <f t="shared" si="11"/>
        <v>-</v>
      </c>
      <c r="Y37" s="448" t="str">
        <f t="shared" si="12"/>
        <v>-</v>
      </c>
      <c r="Z37" s="448" t="str">
        <f t="shared" si="13"/>
        <v>-</v>
      </c>
      <c r="AA37" s="448"/>
      <c r="AB37" s="449" t="str">
        <f>IF(ISBLANK(N37),"",IF((N37&lt;=Dasha!$B$10),0,VLOOKUP(N37,Dasha!$B$10:$L$827,11)))</f>
        <v/>
      </c>
      <c r="AC37" s="449" t="str">
        <f t="shared" si="6"/>
        <v/>
      </c>
    </row>
    <row r="38" spans="1:29" s="13" customFormat="1">
      <c r="A38" s="340">
        <f t="shared" si="7"/>
        <v>32</v>
      </c>
      <c r="B38" s="143" t="s">
        <v>479</v>
      </c>
      <c r="C38" s="111" t="s">
        <v>347</v>
      </c>
      <c r="D38" s="169"/>
      <c r="E38" s="126" t="s">
        <v>374</v>
      </c>
      <c r="F38" s="126"/>
      <c r="G38" s="126"/>
      <c r="H38" s="348" t="s">
        <v>392</v>
      </c>
      <c r="I38" s="419" t="str">
        <f t="shared" si="0"/>
        <v/>
      </c>
      <c r="J38" s="349"/>
      <c r="K38" s="111" t="str">
        <f t="shared" si="1"/>
        <v/>
      </c>
      <c r="L38" s="349"/>
      <c r="M38" s="111" t="str">
        <f t="shared" si="2"/>
        <v>date?</v>
      </c>
      <c r="N38" s="350"/>
      <c r="O38" s="341" t="str">
        <f t="shared" si="8"/>
        <v/>
      </c>
      <c r="P38" s="337" t="str">
        <f>IF(ISBLANK(N38),"",VLOOKUP(AC38,Dasha!$A$10:$L$827,4))</f>
        <v/>
      </c>
      <c r="Q38" s="337" t="str">
        <f>IF(ISBLANK(N38),"",VLOOKUP(AC38,Dasha!$A$10:$L$827,6))</f>
        <v/>
      </c>
      <c r="R38" s="337" t="str">
        <f>IF(ISBLANK(N38),"",VLOOKUP(AC38,Dasha!$A$10:$L$827,8))</f>
        <v/>
      </c>
      <c r="S38" s="337" t="str">
        <f t="shared" si="3"/>
        <v/>
      </c>
      <c r="T38" s="450" t="str">
        <f t="shared" si="4"/>
        <v/>
      </c>
      <c r="U38" s="448" t="str">
        <f t="shared" si="9"/>
        <v>3D0D</v>
      </c>
      <c r="V38" s="448" t="str">
        <f t="shared" si="10"/>
        <v>0</v>
      </c>
      <c r="W38" s="448" t="str">
        <f t="shared" si="5"/>
        <v>0</v>
      </c>
      <c r="X38" s="448" t="str">
        <f t="shared" si="11"/>
        <v>-</v>
      </c>
      <c r="Y38" s="448" t="str">
        <f t="shared" si="12"/>
        <v>-</v>
      </c>
      <c r="Z38" s="448" t="str">
        <f t="shared" si="13"/>
        <v>-</v>
      </c>
      <c r="AA38" s="448"/>
      <c r="AB38" s="449" t="str">
        <f>IF(ISBLANK(N38),"",IF((N38&lt;=Dasha!$B$10),0,VLOOKUP(N38,Dasha!$B$10:$L$827,11)))</f>
        <v/>
      </c>
      <c r="AC38" s="449" t="str">
        <f t="shared" si="6"/>
        <v/>
      </c>
    </row>
    <row r="39" spans="1:29" s="13" customFormat="1">
      <c r="A39" s="340">
        <f t="shared" si="7"/>
        <v>33</v>
      </c>
      <c r="B39" s="143" t="s">
        <v>480</v>
      </c>
      <c r="C39" s="111" t="s">
        <v>347</v>
      </c>
      <c r="D39" s="169"/>
      <c r="E39" s="126" t="s">
        <v>412</v>
      </c>
      <c r="F39" s="126"/>
      <c r="G39" s="126"/>
      <c r="H39" s="348" t="s">
        <v>392</v>
      </c>
      <c r="I39" s="419" t="str">
        <f t="shared" ref="I39:I70" si="14">IF(OR(MID(B39,4,1)="B",MID(B39,4,1)="C"),"X = ","")</f>
        <v/>
      </c>
      <c r="J39" s="349"/>
      <c r="K39" s="111" t="str">
        <f t="shared" ref="K39:K70" si="15">IF(MID(B39,4,1)="C","Y = ","")</f>
        <v/>
      </c>
      <c r="L39" s="349"/>
      <c r="M39" s="111" t="str">
        <f t="shared" ref="M39:M70" si="16">IF(MID(B39,4,1)="D","date?","")</f>
        <v>date?</v>
      </c>
      <c r="N39" s="350"/>
      <c r="O39" s="341" t="str">
        <f t="shared" si="8"/>
        <v/>
      </c>
      <c r="P39" s="337" t="str">
        <f>IF(ISBLANK(N39),"",VLOOKUP(AC39,Dasha!$A$10:$L$827,4))</f>
        <v/>
      </c>
      <c r="Q39" s="337" t="str">
        <f>IF(ISBLANK(N39),"",VLOOKUP(AC39,Dasha!$A$10:$L$827,6))</f>
        <v/>
      </c>
      <c r="R39" s="337" t="str">
        <f>IF(ISBLANK(N39),"",VLOOKUP(AC39,Dasha!$A$10:$L$827,8))</f>
        <v/>
      </c>
      <c r="S39" s="337" t="str">
        <f t="shared" si="3"/>
        <v/>
      </c>
      <c r="T39" s="450" t="str">
        <f t="shared" ref="T39:T70" si="17">IF(H39="Y",CONCATENATE($T$119,$C$4,$T$120,U39,$T$121,V39,$T$122,W39,$T$124,X39,$T$120,Y39,$T$120,Z39,$T$123),"")</f>
        <v/>
      </c>
      <c r="U39" s="448" t="str">
        <f t="shared" si="9"/>
        <v>3E0D</v>
      </c>
      <c r="V39" s="448" t="str">
        <f t="shared" si="10"/>
        <v>0</v>
      </c>
      <c r="W39" s="448" t="str">
        <f t="shared" ref="W39:W70" si="18">IF(MID(B39,4,1)="A","0",(IF(MID(B39,4,1)="B","0",(IF(MID(B39,4,1)="C",(IF(ISBLANK(L39),"0",L39)),(IF(MID(B39,4,1)="D",(IF(ISBLANK(N39),"0",S39)),"0")))))))</f>
        <v>0</v>
      </c>
      <c r="X39" s="448" t="str">
        <f t="shared" si="11"/>
        <v>-</v>
      </c>
      <c r="Y39" s="448" t="str">
        <f t="shared" si="12"/>
        <v>-</v>
      </c>
      <c r="Z39" s="448" t="str">
        <f t="shared" si="13"/>
        <v>-</v>
      </c>
      <c r="AA39" s="448"/>
      <c r="AB39" s="449" t="str">
        <f>IF(ISBLANK(N39),"",IF((N39&lt;=Dasha!$B$10),0,VLOOKUP(N39,Dasha!$B$10:$L$827,11)))</f>
        <v/>
      </c>
      <c r="AC39" s="449" t="str">
        <f t="shared" ref="AC39:AC70" si="19">IF(ISBLANK(N39),"",AB39+1)</f>
        <v/>
      </c>
    </row>
    <row r="40" spans="1:29" s="13" customFormat="1">
      <c r="A40" s="340">
        <f t="shared" si="7"/>
        <v>34</v>
      </c>
      <c r="B40" s="143" t="s">
        <v>481</v>
      </c>
      <c r="C40" s="111" t="s">
        <v>419</v>
      </c>
      <c r="D40" s="169"/>
      <c r="E40" s="126" t="s">
        <v>417</v>
      </c>
      <c r="F40" s="126"/>
      <c r="G40" s="126"/>
      <c r="H40" s="348" t="s">
        <v>392</v>
      </c>
      <c r="I40" s="419" t="str">
        <f t="shared" si="14"/>
        <v xml:space="preserve">X = </v>
      </c>
      <c r="J40" s="349"/>
      <c r="K40" s="111" t="str">
        <f t="shared" si="15"/>
        <v/>
      </c>
      <c r="L40" s="349"/>
      <c r="M40" s="111" t="str">
        <f t="shared" si="16"/>
        <v/>
      </c>
      <c r="N40" s="350"/>
      <c r="O40" s="341" t="str">
        <f t="shared" si="8"/>
        <v>no data</v>
      </c>
      <c r="P40" s="337" t="str">
        <f>IF(ISBLANK(N40),"",VLOOKUP(AC40,Dasha!$A$10:$L$827,4))</f>
        <v/>
      </c>
      <c r="Q40" s="337" t="str">
        <f>IF(ISBLANK(N40),"",VLOOKUP(AC40,Dasha!$A$10:$L$827,6))</f>
        <v/>
      </c>
      <c r="R40" s="337" t="str">
        <f>IF(ISBLANK(N40),"",VLOOKUP(AC40,Dasha!$A$10:$L$827,8))</f>
        <v/>
      </c>
      <c r="S40" s="337" t="str">
        <f t="shared" si="3"/>
        <v/>
      </c>
      <c r="T40" s="450" t="str">
        <f t="shared" si="17"/>
        <v/>
      </c>
      <c r="U40" s="448" t="str">
        <f t="shared" si="9"/>
        <v>410B</v>
      </c>
      <c r="V40" s="448" t="str">
        <f t="shared" si="10"/>
        <v>0</v>
      </c>
      <c r="W40" s="448" t="str">
        <f t="shared" si="18"/>
        <v>0</v>
      </c>
      <c r="X40" s="448" t="str">
        <f t="shared" si="11"/>
        <v>-</v>
      </c>
      <c r="Y40" s="448" t="str">
        <f t="shared" si="12"/>
        <v>-</v>
      </c>
      <c r="Z40" s="448" t="str">
        <f t="shared" si="13"/>
        <v>-</v>
      </c>
      <c r="AA40" s="448"/>
      <c r="AB40" s="449" t="str">
        <f>IF(ISBLANK(N40),"",IF((N40&lt;=Dasha!$B$10),0,VLOOKUP(N40,Dasha!$B$10:$L$827,11)))</f>
        <v/>
      </c>
      <c r="AC40" s="449" t="str">
        <f t="shared" si="19"/>
        <v/>
      </c>
    </row>
    <row r="41" spans="1:29" s="13" customFormat="1">
      <c r="A41" s="340">
        <f t="shared" si="7"/>
        <v>35</v>
      </c>
      <c r="B41" s="143" t="s">
        <v>482</v>
      </c>
      <c r="C41" s="111" t="s">
        <v>419</v>
      </c>
      <c r="D41" s="169"/>
      <c r="E41" s="126" t="s">
        <v>418</v>
      </c>
      <c r="F41" s="126"/>
      <c r="G41" s="126"/>
      <c r="H41" s="348" t="s">
        <v>392</v>
      </c>
      <c r="I41" s="419" t="str">
        <f t="shared" si="14"/>
        <v xml:space="preserve">X = </v>
      </c>
      <c r="J41" s="349"/>
      <c r="K41" s="111" t="str">
        <f t="shared" si="15"/>
        <v xml:space="preserve">Y = </v>
      </c>
      <c r="L41" s="349"/>
      <c r="M41" s="111" t="str">
        <f t="shared" si="16"/>
        <v/>
      </c>
      <c r="N41" s="350"/>
      <c r="O41" s="341" t="str">
        <f t="shared" si="8"/>
        <v>no data</v>
      </c>
      <c r="P41" s="337" t="str">
        <f>IF(ISBLANK(N41),"",VLOOKUP(AC41,Dasha!$A$10:$L$827,4))</f>
        <v/>
      </c>
      <c r="Q41" s="337" t="str">
        <f>IF(ISBLANK(N41),"",VLOOKUP(AC41,Dasha!$A$10:$L$827,6))</f>
        <v/>
      </c>
      <c r="R41" s="337" t="str">
        <f>IF(ISBLANK(N41),"",VLOOKUP(AC41,Dasha!$A$10:$L$827,8))</f>
        <v/>
      </c>
      <c r="S41" s="337" t="str">
        <f t="shared" si="3"/>
        <v/>
      </c>
      <c r="T41" s="450" t="str">
        <f t="shared" si="17"/>
        <v/>
      </c>
      <c r="U41" s="448" t="str">
        <f t="shared" si="9"/>
        <v>420C</v>
      </c>
      <c r="V41" s="448" t="str">
        <f t="shared" si="10"/>
        <v>0</v>
      </c>
      <c r="W41" s="448" t="str">
        <f t="shared" si="18"/>
        <v>0</v>
      </c>
      <c r="X41" s="448" t="str">
        <f t="shared" si="11"/>
        <v>-</v>
      </c>
      <c r="Y41" s="448" t="str">
        <f t="shared" si="12"/>
        <v>-</v>
      </c>
      <c r="Z41" s="448" t="str">
        <f t="shared" si="13"/>
        <v>-</v>
      </c>
      <c r="AA41" s="448"/>
      <c r="AB41" s="449" t="str">
        <f>IF(ISBLANK(N41),"",IF((N41&lt;=Dasha!$B$10),0,VLOOKUP(N41,Dasha!$B$10:$L$827,11)))</f>
        <v/>
      </c>
      <c r="AC41" s="449" t="str">
        <f t="shared" si="19"/>
        <v/>
      </c>
    </row>
    <row r="42" spans="1:29" s="13" customFormat="1">
      <c r="A42" s="340">
        <f t="shared" si="7"/>
        <v>36</v>
      </c>
      <c r="B42" s="143" t="s">
        <v>483</v>
      </c>
      <c r="C42" s="111" t="s">
        <v>419</v>
      </c>
      <c r="D42" s="169"/>
      <c r="E42" s="126" t="s">
        <v>378</v>
      </c>
      <c r="F42" s="126"/>
      <c r="G42" s="126"/>
      <c r="H42" s="348" t="s">
        <v>392</v>
      </c>
      <c r="I42" s="419" t="str">
        <f t="shared" si="14"/>
        <v/>
      </c>
      <c r="J42" s="349"/>
      <c r="K42" s="111" t="str">
        <f t="shared" si="15"/>
        <v/>
      </c>
      <c r="L42" s="349"/>
      <c r="M42" s="111" t="str">
        <f t="shared" si="16"/>
        <v/>
      </c>
      <c r="N42" s="350"/>
      <c r="O42" s="341" t="str">
        <f t="shared" si="8"/>
        <v/>
      </c>
      <c r="P42" s="337" t="str">
        <f>IF(ISBLANK(N42),"",VLOOKUP(AC42,Dasha!$A$10:$L$827,4))</f>
        <v/>
      </c>
      <c r="Q42" s="337" t="str">
        <f>IF(ISBLANK(N42),"",VLOOKUP(AC42,Dasha!$A$10:$L$827,6))</f>
        <v/>
      </c>
      <c r="R42" s="337" t="str">
        <f>IF(ISBLANK(N42),"",VLOOKUP(AC42,Dasha!$A$10:$L$827,8))</f>
        <v/>
      </c>
      <c r="S42" s="337" t="str">
        <f t="shared" si="3"/>
        <v/>
      </c>
      <c r="T42" s="450" t="str">
        <f t="shared" si="17"/>
        <v/>
      </c>
      <c r="U42" s="448" t="str">
        <f t="shared" si="9"/>
        <v>430A</v>
      </c>
      <c r="V42" s="448" t="str">
        <f t="shared" si="10"/>
        <v>0</v>
      </c>
      <c r="W42" s="448" t="str">
        <f t="shared" si="18"/>
        <v>0</v>
      </c>
      <c r="X42" s="448" t="str">
        <f t="shared" si="11"/>
        <v>-</v>
      </c>
      <c r="Y42" s="448" t="str">
        <f t="shared" si="12"/>
        <v>-</v>
      </c>
      <c r="Z42" s="448" t="str">
        <f t="shared" si="13"/>
        <v>-</v>
      </c>
      <c r="AA42" s="448"/>
      <c r="AB42" s="449" t="str">
        <f>IF(ISBLANK(N42),"",IF((N42&lt;=Dasha!$B$10),0,VLOOKUP(N42,Dasha!$B$10:$L$827,11)))</f>
        <v/>
      </c>
      <c r="AC42" s="449" t="str">
        <f t="shared" si="19"/>
        <v/>
      </c>
    </row>
    <row r="43" spans="1:29" s="13" customFormat="1">
      <c r="A43" s="340">
        <f t="shared" si="7"/>
        <v>37</v>
      </c>
      <c r="B43" s="143" t="s">
        <v>484</v>
      </c>
      <c r="C43" s="111" t="s">
        <v>419</v>
      </c>
      <c r="D43" s="169"/>
      <c r="E43" s="126" t="s">
        <v>420</v>
      </c>
      <c r="F43" s="126"/>
      <c r="G43" s="126"/>
      <c r="H43" s="348" t="s">
        <v>392</v>
      </c>
      <c r="I43" s="419" t="str">
        <f t="shared" si="14"/>
        <v/>
      </c>
      <c r="J43" s="349"/>
      <c r="K43" s="111" t="str">
        <f t="shared" si="15"/>
        <v/>
      </c>
      <c r="L43" s="349"/>
      <c r="M43" s="111" t="str">
        <f t="shared" si="16"/>
        <v>date?</v>
      </c>
      <c r="N43" s="350"/>
      <c r="O43" s="341" t="str">
        <f t="shared" si="8"/>
        <v/>
      </c>
      <c r="P43" s="337" t="str">
        <f>IF(ISBLANK(N43),"",VLOOKUP(AC43,Dasha!$A$10:$L$827,4))</f>
        <v/>
      </c>
      <c r="Q43" s="337" t="str">
        <f>IF(ISBLANK(N43),"",VLOOKUP(AC43,Dasha!$A$10:$L$827,6))</f>
        <v/>
      </c>
      <c r="R43" s="337" t="str">
        <f>IF(ISBLANK(N43),"",VLOOKUP(AC43,Dasha!$A$10:$L$827,8))</f>
        <v/>
      </c>
      <c r="S43" s="337" t="str">
        <f t="shared" si="3"/>
        <v/>
      </c>
      <c r="T43" s="450" t="str">
        <f t="shared" si="17"/>
        <v/>
      </c>
      <c r="U43" s="448" t="str">
        <f t="shared" si="9"/>
        <v>440D</v>
      </c>
      <c r="V43" s="448" t="str">
        <f t="shared" si="10"/>
        <v>0</v>
      </c>
      <c r="W43" s="448" t="str">
        <f t="shared" si="18"/>
        <v>0</v>
      </c>
      <c r="X43" s="448" t="str">
        <f t="shared" si="11"/>
        <v>-</v>
      </c>
      <c r="Y43" s="448" t="str">
        <f t="shared" si="12"/>
        <v>-</v>
      </c>
      <c r="Z43" s="448" t="str">
        <f t="shared" si="13"/>
        <v>-</v>
      </c>
      <c r="AA43" s="448"/>
      <c r="AB43" s="449" t="str">
        <f>IF(ISBLANK(N43),"",IF((N43&lt;=Dasha!$B$10),0,VLOOKUP(N43,Dasha!$B$10:$L$827,11)))</f>
        <v/>
      </c>
      <c r="AC43" s="449" t="str">
        <f t="shared" si="19"/>
        <v/>
      </c>
    </row>
    <row r="44" spans="1:29" s="13" customFormat="1">
      <c r="A44" s="340">
        <f t="shared" si="7"/>
        <v>38</v>
      </c>
      <c r="B44" s="143" t="s">
        <v>485</v>
      </c>
      <c r="C44" s="111" t="s">
        <v>419</v>
      </c>
      <c r="D44" s="169"/>
      <c r="E44" s="126" t="s">
        <v>421</v>
      </c>
      <c r="F44" s="126"/>
      <c r="G44" s="126"/>
      <c r="H44" s="348" t="s">
        <v>392</v>
      </c>
      <c r="I44" s="419" t="str">
        <f t="shared" si="14"/>
        <v/>
      </c>
      <c r="J44" s="349"/>
      <c r="K44" s="111" t="str">
        <f t="shared" si="15"/>
        <v/>
      </c>
      <c r="L44" s="349"/>
      <c r="M44" s="111" t="str">
        <f t="shared" si="16"/>
        <v>date?</v>
      </c>
      <c r="N44" s="350"/>
      <c r="O44" s="341" t="str">
        <f t="shared" si="8"/>
        <v/>
      </c>
      <c r="P44" s="337" t="str">
        <f>IF(ISBLANK(N44),"",VLOOKUP(AC44,Dasha!$A$10:$L$827,4))</f>
        <v/>
      </c>
      <c r="Q44" s="337" t="str">
        <f>IF(ISBLANK(N44),"",VLOOKUP(AC44,Dasha!$A$10:$L$827,6))</f>
        <v/>
      </c>
      <c r="R44" s="337" t="str">
        <f>IF(ISBLANK(N44),"",VLOOKUP(AC44,Dasha!$A$10:$L$827,8))</f>
        <v/>
      </c>
      <c r="S44" s="337" t="str">
        <f t="shared" ref="S44:S75" si="20">IF(ISBLANK(N44),"",FLOOR(YEARFRAC(N44,$H$4,1),1))</f>
        <v/>
      </c>
      <c r="T44" s="450" t="str">
        <f t="shared" si="17"/>
        <v/>
      </c>
      <c r="U44" s="448" t="str">
        <f t="shared" si="9"/>
        <v>450D</v>
      </c>
      <c r="V44" s="448" t="str">
        <f t="shared" si="10"/>
        <v>0</v>
      </c>
      <c r="W44" s="448" t="str">
        <f t="shared" si="18"/>
        <v>0</v>
      </c>
      <c r="X44" s="448" t="str">
        <f t="shared" si="11"/>
        <v>-</v>
      </c>
      <c r="Y44" s="448" t="str">
        <f t="shared" si="12"/>
        <v>-</v>
      </c>
      <c r="Z44" s="448" t="str">
        <f t="shared" si="13"/>
        <v>-</v>
      </c>
      <c r="AA44" s="448"/>
      <c r="AB44" s="449" t="str">
        <f>IF(ISBLANK(N44),"",IF((N44&lt;=Dasha!$B$10),0,VLOOKUP(N44,Dasha!$B$10:$L$827,11)))</f>
        <v/>
      </c>
      <c r="AC44" s="449" t="str">
        <f t="shared" si="19"/>
        <v/>
      </c>
    </row>
    <row r="45" spans="1:29" s="13" customFormat="1">
      <c r="A45" s="340">
        <f t="shared" si="7"/>
        <v>39</v>
      </c>
      <c r="B45" s="143" t="s">
        <v>486</v>
      </c>
      <c r="C45" s="111" t="s">
        <v>419</v>
      </c>
      <c r="D45" s="169"/>
      <c r="E45" s="126" t="s">
        <v>422</v>
      </c>
      <c r="F45" s="126"/>
      <c r="G45" s="126"/>
      <c r="H45" s="348" t="s">
        <v>392</v>
      </c>
      <c r="I45" s="419" t="str">
        <f t="shared" si="14"/>
        <v/>
      </c>
      <c r="J45" s="349"/>
      <c r="K45" s="111" t="str">
        <f t="shared" si="15"/>
        <v/>
      </c>
      <c r="L45" s="349"/>
      <c r="M45" s="111" t="str">
        <f t="shared" si="16"/>
        <v>date?</v>
      </c>
      <c r="N45" s="350"/>
      <c r="O45" s="341" t="str">
        <f t="shared" si="8"/>
        <v/>
      </c>
      <c r="P45" s="337" t="str">
        <f>IF(ISBLANK(N45),"",VLOOKUP(AC45,Dasha!$A$10:$L$827,4))</f>
        <v/>
      </c>
      <c r="Q45" s="337" t="str">
        <f>IF(ISBLANK(N45),"",VLOOKUP(AC45,Dasha!$A$10:$L$827,6))</f>
        <v/>
      </c>
      <c r="R45" s="337" t="str">
        <f>IF(ISBLANK(N45),"",VLOOKUP(AC45,Dasha!$A$10:$L$827,8))</f>
        <v/>
      </c>
      <c r="S45" s="337" t="str">
        <f t="shared" si="20"/>
        <v/>
      </c>
      <c r="T45" s="450" t="str">
        <f t="shared" si="17"/>
        <v/>
      </c>
      <c r="U45" s="448" t="str">
        <f t="shared" si="9"/>
        <v>460D</v>
      </c>
      <c r="V45" s="448" t="str">
        <f t="shared" si="10"/>
        <v>0</v>
      </c>
      <c r="W45" s="448" t="str">
        <f t="shared" si="18"/>
        <v>0</v>
      </c>
      <c r="X45" s="448" t="str">
        <f t="shared" si="11"/>
        <v>-</v>
      </c>
      <c r="Y45" s="448" t="str">
        <f t="shared" si="12"/>
        <v>-</v>
      </c>
      <c r="Z45" s="448" t="str">
        <f t="shared" si="13"/>
        <v>-</v>
      </c>
      <c r="AA45" s="448"/>
      <c r="AB45" s="449" t="str">
        <f>IF(ISBLANK(N45),"",IF((N45&lt;=Dasha!$B$10),0,VLOOKUP(N45,Dasha!$B$10:$L$827,11)))</f>
        <v/>
      </c>
      <c r="AC45" s="449" t="str">
        <f t="shared" si="19"/>
        <v/>
      </c>
    </row>
    <row r="46" spans="1:29" s="13" customFormat="1">
      <c r="A46" s="340">
        <f t="shared" si="7"/>
        <v>40</v>
      </c>
      <c r="B46" s="143" t="s">
        <v>487</v>
      </c>
      <c r="C46" s="111" t="s">
        <v>419</v>
      </c>
      <c r="D46" s="169"/>
      <c r="E46" s="126" t="s">
        <v>423</v>
      </c>
      <c r="F46" s="126"/>
      <c r="G46" s="126"/>
      <c r="H46" s="348" t="s">
        <v>392</v>
      </c>
      <c r="I46" s="419" t="str">
        <f t="shared" si="14"/>
        <v/>
      </c>
      <c r="J46" s="349"/>
      <c r="K46" s="111" t="str">
        <f t="shared" si="15"/>
        <v/>
      </c>
      <c r="L46" s="349"/>
      <c r="M46" s="111" t="str">
        <f t="shared" si="16"/>
        <v>date?</v>
      </c>
      <c r="N46" s="350"/>
      <c r="O46" s="341" t="str">
        <f t="shared" si="8"/>
        <v/>
      </c>
      <c r="P46" s="337" t="str">
        <f>IF(ISBLANK(N46),"",VLOOKUP(AC46,Dasha!$A$10:$L$827,4))</f>
        <v/>
      </c>
      <c r="Q46" s="337" t="str">
        <f>IF(ISBLANK(N46),"",VLOOKUP(AC46,Dasha!$A$10:$L$827,6))</f>
        <v/>
      </c>
      <c r="R46" s="337" t="str">
        <f>IF(ISBLANK(N46),"",VLOOKUP(AC46,Dasha!$A$10:$L$827,8))</f>
        <v/>
      </c>
      <c r="S46" s="337" t="str">
        <f t="shared" si="20"/>
        <v/>
      </c>
      <c r="T46" s="450" t="str">
        <f t="shared" si="17"/>
        <v/>
      </c>
      <c r="U46" s="448" t="str">
        <f t="shared" si="9"/>
        <v>470D</v>
      </c>
      <c r="V46" s="448" t="str">
        <f t="shared" si="10"/>
        <v>0</v>
      </c>
      <c r="W46" s="448" t="str">
        <f t="shared" si="18"/>
        <v>0</v>
      </c>
      <c r="X46" s="448" t="str">
        <f t="shared" si="11"/>
        <v>-</v>
      </c>
      <c r="Y46" s="448" t="str">
        <f t="shared" si="12"/>
        <v>-</v>
      </c>
      <c r="Z46" s="448" t="str">
        <f t="shared" si="13"/>
        <v>-</v>
      </c>
      <c r="AA46" s="448"/>
      <c r="AB46" s="449" t="str">
        <f>IF(ISBLANK(N46),"",IF((N46&lt;=Dasha!$B$10),0,VLOOKUP(N46,Dasha!$B$10:$L$827,11)))</f>
        <v/>
      </c>
      <c r="AC46" s="449" t="str">
        <f t="shared" si="19"/>
        <v/>
      </c>
    </row>
    <row r="47" spans="1:29" s="13" customFormat="1">
      <c r="A47" s="340">
        <f t="shared" si="7"/>
        <v>41</v>
      </c>
      <c r="B47" s="143" t="s">
        <v>488</v>
      </c>
      <c r="C47" s="111" t="s">
        <v>415</v>
      </c>
      <c r="D47" s="169"/>
      <c r="E47" s="126" t="s">
        <v>381</v>
      </c>
      <c r="F47" s="126"/>
      <c r="G47" s="126"/>
      <c r="H47" s="348" t="s">
        <v>392</v>
      </c>
      <c r="I47" s="419" t="str">
        <f t="shared" si="14"/>
        <v xml:space="preserve">X = </v>
      </c>
      <c r="J47" s="349"/>
      <c r="K47" s="111" t="str">
        <f t="shared" si="15"/>
        <v xml:space="preserve">Y = </v>
      </c>
      <c r="L47" s="349"/>
      <c r="M47" s="111" t="str">
        <f t="shared" si="16"/>
        <v/>
      </c>
      <c r="N47" s="350"/>
      <c r="O47" s="341" t="str">
        <f t="shared" si="8"/>
        <v>no data</v>
      </c>
      <c r="P47" s="337" t="str">
        <f>IF(ISBLANK(N47),"",VLOOKUP(AC47,Dasha!$A$10:$L$827,4))</f>
        <v/>
      </c>
      <c r="Q47" s="337" t="str">
        <f>IF(ISBLANK(N47),"",VLOOKUP(AC47,Dasha!$A$10:$L$827,6))</f>
        <v/>
      </c>
      <c r="R47" s="337" t="str">
        <f>IF(ISBLANK(N47),"",VLOOKUP(AC47,Dasha!$A$10:$L$827,8))</f>
        <v/>
      </c>
      <c r="S47" s="337" t="str">
        <f t="shared" si="20"/>
        <v/>
      </c>
      <c r="T47" s="450" t="str">
        <f t="shared" si="17"/>
        <v/>
      </c>
      <c r="U47" s="448" t="str">
        <f t="shared" si="9"/>
        <v>510C</v>
      </c>
      <c r="V47" s="448" t="str">
        <f t="shared" si="10"/>
        <v>0</v>
      </c>
      <c r="W47" s="448" t="str">
        <f t="shared" si="18"/>
        <v>0</v>
      </c>
      <c r="X47" s="448" t="str">
        <f t="shared" si="11"/>
        <v>-</v>
      </c>
      <c r="Y47" s="448" t="str">
        <f t="shared" si="12"/>
        <v>-</v>
      </c>
      <c r="Z47" s="448" t="str">
        <f t="shared" si="13"/>
        <v>-</v>
      </c>
      <c r="AA47" s="448"/>
      <c r="AB47" s="449" t="str">
        <f>IF(ISBLANK(N47),"",IF((N47&lt;=Dasha!$B$10),0,VLOOKUP(N47,Dasha!$B$10:$L$827,11)))</f>
        <v/>
      </c>
      <c r="AC47" s="449" t="str">
        <f t="shared" si="19"/>
        <v/>
      </c>
    </row>
    <row r="48" spans="1:29" s="13" customFormat="1">
      <c r="A48" s="340">
        <f t="shared" si="7"/>
        <v>42</v>
      </c>
      <c r="B48" s="143" t="s">
        <v>489</v>
      </c>
      <c r="C48" s="111" t="s">
        <v>415</v>
      </c>
      <c r="D48" s="169"/>
      <c r="E48" s="126" t="s">
        <v>356</v>
      </c>
      <c r="F48" s="126"/>
      <c r="G48" s="126"/>
      <c r="H48" s="348" t="s">
        <v>392</v>
      </c>
      <c r="I48" s="419" t="str">
        <f t="shared" si="14"/>
        <v/>
      </c>
      <c r="J48" s="349"/>
      <c r="K48" s="111" t="str">
        <f t="shared" si="15"/>
        <v/>
      </c>
      <c r="L48" s="349"/>
      <c r="M48" s="111" t="str">
        <f t="shared" si="16"/>
        <v/>
      </c>
      <c r="N48" s="350"/>
      <c r="O48" s="341" t="str">
        <f t="shared" si="8"/>
        <v/>
      </c>
      <c r="P48" s="337" t="str">
        <f>IF(ISBLANK(N48),"",VLOOKUP(AC48,Dasha!$A$10:$L$827,4))</f>
        <v/>
      </c>
      <c r="Q48" s="337" t="str">
        <f>IF(ISBLANK(N48),"",VLOOKUP(AC48,Dasha!$A$10:$L$827,6))</f>
        <v/>
      </c>
      <c r="R48" s="337" t="str">
        <f>IF(ISBLANK(N48),"",VLOOKUP(AC48,Dasha!$A$10:$L$827,8))</f>
        <v/>
      </c>
      <c r="S48" s="337" t="str">
        <f t="shared" si="20"/>
        <v/>
      </c>
      <c r="T48" s="450" t="str">
        <f t="shared" si="17"/>
        <v/>
      </c>
      <c r="U48" s="448" t="str">
        <f t="shared" si="9"/>
        <v>520A</v>
      </c>
      <c r="V48" s="448" t="str">
        <f t="shared" si="10"/>
        <v>0</v>
      </c>
      <c r="W48" s="448" t="str">
        <f t="shared" si="18"/>
        <v>0</v>
      </c>
      <c r="X48" s="448" t="str">
        <f t="shared" si="11"/>
        <v>-</v>
      </c>
      <c r="Y48" s="448" t="str">
        <f t="shared" si="12"/>
        <v>-</v>
      </c>
      <c r="Z48" s="448" t="str">
        <f t="shared" si="13"/>
        <v>-</v>
      </c>
      <c r="AA48" s="448"/>
      <c r="AB48" s="449" t="str">
        <f>IF(ISBLANK(N48),"",IF((N48&lt;=Dasha!$B$10),0,VLOOKUP(N48,Dasha!$B$10:$L$827,11)))</f>
        <v/>
      </c>
      <c r="AC48" s="449" t="str">
        <f t="shared" si="19"/>
        <v/>
      </c>
    </row>
    <row r="49" spans="1:29" s="13" customFormat="1">
      <c r="A49" s="340">
        <f t="shared" si="7"/>
        <v>43</v>
      </c>
      <c r="B49" s="143" t="s">
        <v>490</v>
      </c>
      <c r="C49" s="111" t="s">
        <v>415</v>
      </c>
      <c r="D49" s="169"/>
      <c r="E49" s="126" t="s">
        <v>355</v>
      </c>
      <c r="F49" s="126"/>
      <c r="G49" s="126"/>
      <c r="H49" s="348" t="s">
        <v>392</v>
      </c>
      <c r="I49" s="419" t="str">
        <f t="shared" si="14"/>
        <v/>
      </c>
      <c r="J49" s="349"/>
      <c r="K49" s="111" t="str">
        <f t="shared" si="15"/>
        <v/>
      </c>
      <c r="L49" s="349"/>
      <c r="M49" s="111" t="str">
        <f t="shared" si="16"/>
        <v/>
      </c>
      <c r="N49" s="350"/>
      <c r="O49" s="341" t="str">
        <f t="shared" si="8"/>
        <v/>
      </c>
      <c r="P49" s="337" t="str">
        <f>IF(ISBLANK(N49),"",VLOOKUP(AC49,Dasha!$A$10:$L$827,4))</f>
        <v/>
      </c>
      <c r="Q49" s="337" t="str">
        <f>IF(ISBLANK(N49),"",VLOOKUP(AC49,Dasha!$A$10:$L$827,6))</f>
        <v/>
      </c>
      <c r="R49" s="337" t="str">
        <f>IF(ISBLANK(N49),"",VLOOKUP(AC49,Dasha!$A$10:$L$827,8))</f>
        <v/>
      </c>
      <c r="S49" s="337" t="str">
        <f t="shared" si="20"/>
        <v/>
      </c>
      <c r="T49" s="450" t="str">
        <f t="shared" si="17"/>
        <v/>
      </c>
      <c r="U49" s="448" t="str">
        <f t="shared" si="9"/>
        <v>530A</v>
      </c>
      <c r="V49" s="448" t="str">
        <f t="shared" si="10"/>
        <v>0</v>
      </c>
      <c r="W49" s="448" t="str">
        <f t="shared" si="18"/>
        <v>0</v>
      </c>
      <c r="X49" s="448" t="str">
        <f t="shared" si="11"/>
        <v>-</v>
      </c>
      <c r="Y49" s="448" t="str">
        <f t="shared" si="12"/>
        <v>-</v>
      </c>
      <c r="Z49" s="448" t="str">
        <f t="shared" si="13"/>
        <v>-</v>
      </c>
      <c r="AA49" s="448"/>
      <c r="AB49" s="449" t="str">
        <f>IF(ISBLANK(N49),"",IF((N49&lt;=Dasha!$B$10),0,VLOOKUP(N49,Dasha!$B$10:$L$827,11)))</f>
        <v/>
      </c>
      <c r="AC49" s="449" t="str">
        <f t="shared" si="19"/>
        <v/>
      </c>
    </row>
    <row r="50" spans="1:29" s="13" customFormat="1">
      <c r="A50" s="340">
        <f t="shared" si="7"/>
        <v>44</v>
      </c>
      <c r="B50" s="143" t="s">
        <v>491</v>
      </c>
      <c r="C50" s="111" t="s">
        <v>415</v>
      </c>
      <c r="D50" s="169"/>
      <c r="E50" s="126" t="s">
        <v>416</v>
      </c>
      <c r="F50" s="126"/>
      <c r="G50" s="126"/>
      <c r="H50" s="348" t="s">
        <v>392</v>
      </c>
      <c r="I50" s="419" t="str">
        <f t="shared" si="14"/>
        <v/>
      </c>
      <c r="J50" s="349"/>
      <c r="K50" s="111" t="str">
        <f t="shared" si="15"/>
        <v/>
      </c>
      <c r="L50" s="349"/>
      <c r="M50" s="111" t="str">
        <f t="shared" si="16"/>
        <v/>
      </c>
      <c r="N50" s="350"/>
      <c r="O50" s="341" t="str">
        <f t="shared" si="8"/>
        <v/>
      </c>
      <c r="P50" s="337" t="str">
        <f>IF(ISBLANK(N50),"",VLOOKUP(AC50,Dasha!$A$10:$L$827,4))</f>
        <v/>
      </c>
      <c r="Q50" s="337" t="str">
        <f>IF(ISBLANK(N50),"",VLOOKUP(AC50,Dasha!$A$10:$L$827,6))</f>
        <v/>
      </c>
      <c r="R50" s="337" t="str">
        <f>IF(ISBLANK(N50),"",VLOOKUP(AC50,Dasha!$A$10:$L$827,8))</f>
        <v/>
      </c>
      <c r="S50" s="337" t="str">
        <f t="shared" si="20"/>
        <v/>
      </c>
      <c r="T50" s="450" t="str">
        <f t="shared" si="17"/>
        <v/>
      </c>
      <c r="U50" s="448" t="str">
        <f t="shared" si="9"/>
        <v>540A</v>
      </c>
      <c r="V50" s="448" t="str">
        <f t="shared" si="10"/>
        <v>0</v>
      </c>
      <c r="W50" s="448" t="str">
        <f t="shared" si="18"/>
        <v>0</v>
      </c>
      <c r="X50" s="448" t="str">
        <f t="shared" si="11"/>
        <v>-</v>
      </c>
      <c r="Y50" s="448" t="str">
        <f t="shared" si="12"/>
        <v>-</v>
      </c>
      <c r="Z50" s="448" t="str">
        <f t="shared" si="13"/>
        <v>-</v>
      </c>
      <c r="AA50" s="448"/>
      <c r="AB50" s="449" t="str">
        <f>IF(ISBLANK(N50),"",IF((N50&lt;=Dasha!$B$10),0,VLOOKUP(N50,Dasha!$B$10:$L$827,11)))</f>
        <v/>
      </c>
      <c r="AC50" s="449" t="str">
        <f t="shared" si="19"/>
        <v/>
      </c>
    </row>
    <row r="51" spans="1:29" s="13" customFormat="1">
      <c r="A51" s="340">
        <f t="shared" si="7"/>
        <v>45</v>
      </c>
      <c r="B51" s="143" t="s">
        <v>492</v>
      </c>
      <c r="C51" s="111" t="s">
        <v>424</v>
      </c>
      <c r="D51" s="169"/>
      <c r="E51" s="126" t="s">
        <v>361</v>
      </c>
      <c r="F51" s="126"/>
      <c r="G51" s="126"/>
      <c r="H51" s="348" t="s">
        <v>392</v>
      </c>
      <c r="I51" s="419" t="str">
        <f t="shared" si="14"/>
        <v/>
      </c>
      <c r="J51" s="349"/>
      <c r="K51" s="111" t="str">
        <f t="shared" si="15"/>
        <v/>
      </c>
      <c r="L51" s="349"/>
      <c r="M51" s="111" t="str">
        <f t="shared" si="16"/>
        <v/>
      </c>
      <c r="N51" s="350"/>
      <c r="O51" s="341" t="str">
        <f t="shared" si="8"/>
        <v/>
      </c>
      <c r="P51" s="337" t="str">
        <f>IF(ISBLANK(N51),"",VLOOKUP(AC51,Dasha!$A$10:$L$827,4))</f>
        <v/>
      </c>
      <c r="Q51" s="337" t="str">
        <f>IF(ISBLANK(N51),"",VLOOKUP(AC51,Dasha!$A$10:$L$827,6))</f>
        <v/>
      </c>
      <c r="R51" s="337" t="str">
        <f>IF(ISBLANK(N51),"",VLOOKUP(AC51,Dasha!$A$10:$L$827,8))</f>
        <v/>
      </c>
      <c r="S51" s="337" t="str">
        <f t="shared" si="20"/>
        <v/>
      </c>
      <c r="T51" s="450" t="str">
        <f t="shared" si="17"/>
        <v/>
      </c>
      <c r="U51" s="448" t="str">
        <f t="shared" si="9"/>
        <v>550A</v>
      </c>
      <c r="V51" s="448" t="str">
        <f t="shared" si="10"/>
        <v>0</v>
      </c>
      <c r="W51" s="448" t="str">
        <f t="shared" si="18"/>
        <v>0</v>
      </c>
      <c r="X51" s="448" t="str">
        <f t="shared" si="11"/>
        <v>-</v>
      </c>
      <c r="Y51" s="448" t="str">
        <f t="shared" si="12"/>
        <v>-</v>
      </c>
      <c r="Z51" s="448" t="str">
        <f t="shared" si="13"/>
        <v>-</v>
      </c>
      <c r="AA51" s="448"/>
      <c r="AB51" s="449" t="str">
        <f>IF(ISBLANK(N51),"",IF((N51&lt;=Dasha!$B$10),0,VLOOKUP(N51,Dasha!$B$10:$L$827,11)))</f>
        <v/>
      </c>
      <c r="AC51" s="449" t="str">
        <f t="shared" si="19"/>
        <v/>
      </c>
    </row>
    <row r="52" spans="1:29" s="13" customFormat="1">
      <c r="A52" s="340">
        <f t="shared" si="7"/>
        <v>46</v>
      </c>
      <c r="B52" s="143" t="s">
        <v>493</v>
      </c>
      <c r="C52" s="111" t="s">
        <v>424</v>
      </c>
      <c r="D52" s="169"/>
      <c r="E52" s="126" t="s">
        <v>425</v>
      </c>
      <c r="F52" s="126"/>
      <c r="G52" s="126"/>
      <c r="H52" s="348" t="s">
        <v>392</v>
      </c>
      <c r="I52" s="419" t="str">
        <f t="shared" si="14"/>
        <v/>
      </c>
      <c r="J52" s="349"/>
      <c r="K52" s="111" t="str">
        <f t="shared" si="15"/>
        <v/>
      </c>
      <c r="L52" s="349"/>
      <c r="M52" s="111" t="str">
        <f t="shared" si="16"/>
        <v/>
      </c>
      <c r="N52" s="350"/>
      <c r="O52" s="341" t="str">
        <f t="shared" si="8"/>
        <v/>
      </c>
      <c r="P52" s="337" t="str">
        <f>IF(ISBLANK(N52),"",VLOOKUP(AC52,Dasha!$A$10:$L$827,4))</f>
        <v/>
      </c>
      <c r="Q52" s="337" t="str">
        <f>IF(ISBLANK(N52),"",VLOOKUP(AC52,Dasha!$A$10:$L$827,6))</f>
        <v/>
      </c>
      <c r="R52" s="337" t="str">
        <f>IF(ISBLANK(N52),"",VLOOKUP(AC52,Dasha!$A$10:$L$827,8))</f>
        <v/>
      </c>
      <c r="S52" s="337" t="str">
        <f t="shared" si="20"/>
        <v/>
      </c>
      <c r="T52" s="450" t="str">
        <f t="shared" si="17"/>
        <v/>
      </c>
      <c r="U52" s="448" t="str">
        <f t="shared" si="9"/>
        <v>560A</v>
      </c>
      <c r="V52" s="448" t="str">
        <f t="shared" si="10"/>
        <v>0</v>
      </c>
      <c r="W52" s="448" t="str">
        <f t="shared" si="18"/>
        <v>0</v>
      </c>
      <c r="X52" s="448" t="str">
        <f t="shared" si="11"/>
        <v>-</v>
      </c>
      <c r="Y52" s="448" t="str">
        <f t="shared" si="12"/>
        <v>-</v>
      </c>
      <c r="Z52" s="448" t="str">
        <f t="shared" si="13"/>
        <v>-</v>
      </c>
      <c r="AA52" s="448"/>
      <c r="AB52" s="449" t="str">
        <f>IF(ISBLANK(N52),"",IF((N52&lt;=Dasha!$B$10),0,VLOOKUP(N52,Dasha!$B$10:$L$827,11)))</f>
        <v/>
      </c>
      <c r="AC52" s="449" t="str">
        <f t="shared" si="19"/>
        <v/>
      </c>
    </row>
    <row r="53" spans="1:29" s="13" customFormat="1">
      <c r="A53" s="340">
        <f t="shared" si="7"/>
        <v>47</v>
      </c>
      <c r="B53" s="143" t="s">
        <v>494</v>
      </c>
      <c r="C53" s="111" t="s">
        <v>424</v>
      </c>
      <c r="D53" s="169"/>
      <c r="E53" s="126" t="s">
        <v>426</v>
      </c>
      <c r="F53" s="126"/>
      <c r="G53" s="126"/>
      <c r="H53" s="348" t="s">
        <v>392</v>
      </c>
      <c r="I53" s="419" t="str">
        <f t="shared" si="14"/>
        <v/>
      </c>
      <c r="J53" s="349"/>
      <c r="K53" s="111" t="str">
        <f t="shared" si="15"/>
        <v/>
      </c>
      <c r="L53" s="349"/>
      <c r="M53" s="111" t="str">
        <f t="shared" si="16"/>
        <v/>
      </c>
      <c r="N53" s="350"/>
      <c r="O53" s="341" t="str">
        <f t="shared" si="8"/>
        <v/>
      </c>
      <c r="P53" s="337" t="str">
        <f>IF(ISBLANK(N53),"",VLOOKUP(AC53,Dasha!$A$10:$L$827,4))</f>
        <v/>
      </c>
      <c r="Q53" s="337" t="str">
        <f>IF(ISBLANK(N53),"",VLOOKUP(AC53,Dasha!$A$10:$L$827,6))</f>
        <v/>
      </c>
      <c r="R53" s="337" t="str">
        <f>IF(ISBLANK(N53),"",VLOOKUP(AC53,Dasha!$A$10:$L$827,8))</f>
        <v/>
      </c>
      <c r="S53" s="337" t="str">
        <f t="shared" si="20"/>
        <v/>
      </c>
      <c r="T53" s="450" t="str">
        <f t="shared" si="17"/>
        <v/>
      </c>
      <c r="U53" s="448" t="str">
        <f t="shared" si="9"/>
        <v>570A</v>
      </c>
      <c r="V53" s="448" t="str">
        <f t="shared" si="10"/>
        <v>0</v>
      </c>
      <c r="W53" s="448" t="str">
        <f t="shared" si="18"/>
        <v>0</v>
      </c>
      <c r="X53" s="448" t="str">
        <f t="shared" si="11"/>
        <v>-</v>
      </c>
      <c r="Y53" s="448" t="str">
        <f t="shared" si="12"/>
        <v>-</v>
      </c>
      <c r="Z53" s="448" t="str">
        <f t="shared" si="13"/>
        <v>-</v>
      </c>
      <c r="AA53" s="448"/>
      <c r="AB53" s="449" t="str">
        <f>IF(ISBLANK(N53),"",IF((N53&lt;=Dasha!$B$10),0,VLOOKUP(N53,Dasha!$B$10:$L$827,11)))</f>
        <v/>
      </c>
      <c r="AC53" s="449" t="str">
        <f t="shared" si="19"/>
        <v/>
      </c>
    </row>
    <row r="54" spans="1:29" s="13" customFormat="1">
      <c r="A54" s="340">
        <f t="shared" si="7"/>
        <v>48</v>
      </c>
      <c r="B54" s="143" t="s">
        <v>495</v>
      </c>
      <c r="C54" s="111" t="s">
        <v>424</v>
      </c>
      <c r="D54" s="169"/>
      <c r="E54" s="126" t="s">
        <v>364</v>
      </c>
      <c r="F54" s="126"/>
      <c r="G54" s="126"/>
      <c r="H54" s="348" t="s">
        <v>392</v>
      </c>
      <c r="I54" s="419" t="str">
        <f t="shared" si="14"/>
        <v/>
      </c>
      <c r="J54" s="349"/>
      <c r="K54" s="111" t="str">
        <f t="shared" si="15"/>
        <v/>
      </c>
      <c r="L54" s="349"/>
      <c r="M54" s="111" t="str">
        <f t="shared" si="16"/>
        <v/>
      </c>
      <c r="N54" s="350"/>
      <c r="O54" s="341" t="str">
        <f t="shared" si="8"/>
        <v/>
      </c>
      <c r="P54" s="337" t="str">
        <f>IF(ISBLANK(N54),"",VLOOKUP(AC54,Dasha!$A$10:$L$827,4))</f>
        <v/>
      </c>
      <c r="Q54" s="337" t="str">
        <f>IF(ISBLANK(N54),"",VLOOKUP(AC54,Dasha!$A$10:$L$827,6))</f>
        <v/>
      </c>
      <c r="R54" s="337" t="str">
        <f>IF(ISBLANK(N54),"",VLOOKUP(AC54,Dasha!$A$10:$L$827,8))</f>
        <v/>
      </c>
      <c r="S54" s="337" t="str">
        <f t="shared" si="20"/>
        <v/>
      </c>
      <c r="T54" s="450" t="str">
        <f t="shared" si="17"/>
        <v/>
      </c>
      <c r="U54" s="448" t="str">
        <f t="shared" si="9"/>
        <v>580A</v>
      </c>
      <c r="V54" s="448" t="str">
        <f t="shared" si="10"/>
        <v>0</v>
      </c>
      <c r="W54" s="448" t="str">
        <f t="shared" si="18"/>
        <v>0</v>
      </c>
      <c r="X54" s="448" t="str">
        <f t="shared" si="11"/>
        <v>-</v>
      </c>
      <c r="Y54" s="448" t="str">
        <f t="shared" si="12"/>
        <v>-</v>
      </c>
      <c r="Z54" s="448" t="str">
        <f t="shared" si="13"/>
        <v>-</v>
      </c>
      <c r="AA54" s="448"/>
      <c r="AB54" s="449" t="str">
        <f>IF(ISBLANK(N54),"",IF((N54&lt;=Dasha!$B$10),0,VLOOKUP(N54,Dasha!$B$10:$L$827,11)))</f>
        <v/>
      </c>
      <c r="AC54" s="449" t="str">
        <f t="shared" si="19"/>
        <v/>
      </c>
    </row>
    <row r="55" spans="1:29" s="13" customFormat="1">
      <c r="A55" s="340">
        <f t="shared" si="7"/>
        <v>49</v>
      </c>
      <c r="B55" s="143" t="s">
        <v>496</v>
      </c>
      <c r="C55" s="111" t="s">
        <v>348</v>
      </c>
      <c r="D55" s="169"/>
      <c r="E55" s="126" t="s">
        <v>427</v>
      </c>
      <c r="F55" s="126"/>
      <c r="G55" s="126"/>
      <c r="H55" s="348" t="s">
        <v>392</v>
      </c>
      <c r="I55" s="419" t="str">
        <f t="shared" si="14"/>
        <v xml:space="preserve">X = </v>
      </c>
      <c r="J55" s="349"/>
      <c r="K55" s="111" t="str">
        <f t="shared" si="15"/>
        <v/>
      </c>
      <c r="L55" s="349"/>
      <c r="M55" s="111" t="str">
        <f t="shared" si="16"/>
        <v/>
      </c>
      <c r="N55" s="350"/>
      <c r="O55" s="341" t="str">
        <f t="shared" si="8"/>
        <v>no data</v>
      </c>
      <c r="P55" s="337" t="str">
        <f>IF(ISBLANK(N55),"",VLOOKUP(AC55,Dasha!$A$10:$L$827,4))</f>
        <v/>
      </c>
      <c r="Q55" s="337" t="str">
        <f>IF(ISBLANK(N55),"",VLOOKUP(AC55,Dasha!$A$10:$L$827,6))</f>
        <v/>
      </c>
      <c r="R55" s="337" t="str">
        <f>IF(ISBLANK(N55),"",VLOOKUP(AC55,Dasha!$A$10:$L$827,8))</f>
        <v/>
      </c>
      <c r="S55" s="337" t="str">
        <f t="shared" si="20"/>
        <v/>
      </c>
      <c r="T55" s="450" t="str">
        <f t="shared" si="17"/>
        <v/>
      </c>
      <c r="U55" s="448" t="str">
        <f t="shared" si="9"/>
        <v>610B</v>
      </c>
      <c r="V55" s="448" t="str">
        <f t="shared" si="10"/>
        <v>0</v>
      </c>
      <c r="W55" s="448" t="str">
        <f t="shared" si="18"/>
        <v>0</v>
      </c>
      <c r="X55" s="448" t="str">
        <f t="shared" si="11"/>
        <v>-</v>
      </c>
      <c r="Y55" s="448" t="str">
        <f t="shared" si="12"/>
        <v>-</v>
      </c>
      <c r="Z55" s="448" t="str">
        <f t="shared" si="13"/>
        <v>-</v>
      </c>
      <c r="AA55" s="448"/>
      <c r="AB55" s="449" t="str">
        <f>IF(ISBLANK(N55),"",IF((N55&lt;=Dasha!$B$10),0,VLOOKUP(N55,Dasha!$B$10:$L$827,11)))</f>
        <v/>
      </c>
      <c r="AC55" s="449" t="str">
        <f t="shared" si="19"/>
        <v/>
      </c>
    </row>
    <row r="56" spans="1:29" s="13" customFormat="1">
      <c r="A56" s="340">
        <f t="shared" si="7"/>
        <v>50</v>
      </c>
      <c r="B56" s="143" t="s">
        <v>497</v>
      </c>
      <c r="C56" s="111" t="s">
        <v>348</v>
      </c>
      <c r="D56" s="169"/>
      <c r="E56" s="126" t="s">
        <v>373</v>
      </c>
      <c r="F56" s="126"/>
      <c r="G56" s="126"/>
      <c r="H56" s="348" t="s">
        <v>392</v>
      </c>
      <c r="I56" s="419" t="str">
        <f t="shared" si="14"/>
        <v/>
      </c>
      <c r="J56" s="349"/>
      <c r="K56" s="111" t="str">
        <f t="shared" si="15"/>
        <v/>
      </c>
      <c r="L56" s="349"/>
      <c r="M56" s="111" t="str">
        <f t="shared" si="16"/>
        <v/>
      </c>
      <c r="N56" s="350"/>
      <c r="O56" s="341" t="str">
        <f t="shared" si="8"/>
        <v/>
      </c>
      <c r="P56" s="337" t="str">
        <f>IF(ISBLANK(N56),"",VLOOKUP(AC56,Dasha!$A$10:$L$827,4))</f>
        <v/>
      </c>
      <c r="Q56" s="337" t="str">
        <f>IF(ISBLANK(N56),"",VLOOKUP(AC56,Dasha!$A$10:$L$827,6))</f>
        <v/>
      </c>
      <c r="R56" s="337" t="str">
        <f>IF(ISBLANK(N56),"",VLOOKUP(AC56,Dasha!$A$10:$L$827,8))</f>
        <v/>
      </c>
      <c r="S56" s="337" t="str">
        <f t="shared" si="20"/>
        <v/>
      </c>
      <c r="T56" s="450" t="str">
        <f t="shared" si="17"/>
        <v/>
      </c>
      <c r="U56" s="448" t="str">
        <f t="shared" si="9"/>
        <v>620A</v>
      </c>
      <c r="V56" s="448" t="str">
        <f t="shared" si="10"/>
        <v>0</v>
      </c>
      <c r="W56" s="448" t="str">
        <f t="shared" si="18"/>
        <v>0</v>
      </c>
      <c r="X56" s="448" t="str">
        <f t="shared" si="11"/>
        <v>-</v>
      </c>
      <c r="Y56" s="448" t="str">
        <f t="shared" si="12"/>
        <v>-</v>
      </c>
      <c r="Z56" s="448" t="str">
        <f t="shared" si="13"/>
        <v>-</v>
      </c>
      <c r="AA56" s="448"/>
      <c r="AB56" s="449" t="str">
        <f>IF(ISBLANK(N56),"",IF((N56&lt;=Dasha!$B$10),0,VLOOKUP(N56,Dasha!$B$10:$L$827,11)))</f>
        <v/>
      </c>
      <c r="AC56" s="449" t="str">
        <f t="shared" si="19"/>
        <v/>
      </c>
    </row>
    <row r="57" spans="1:29" s="13" customFormat="1">
      <c r="A57" s="340">
        <f t="shared" si="7"/>
        <v>51</v>
      </c>
      <c r="B57" s="143" t="s">
        <v>498</v>
      </c>
      <c r="C57" s="111" t="s">
        <v>348</v>
      </c>
      <c r="D57" s="169"/>
      <c r="E57" s="126" t="s">
        <v>428</v>
      </c>
      <c r="F57" s="126"/>
      <c r="G57" s="126"/>
      <c r="H57" s="348" t="s">
        <v>392</v>
      </c>
      <c r="I57" s="419" t="str">
        <f t="shared" si="14"/>
        <v xml:space="preserve">X = </v>
      </c>
      <c r="J57" s="349"/>
      <c r="K57" s="111" t="str">
        <f t="shared" si="15"/>
        <v/>
      </c>
      <c r="L57" s="349"/>
      <c r="M57" s="111" t="str">
        <f t="shared" si="16"/>
        <v/>
      </c>
      <c r="N57" s="350"/>
      <c r="O57" s="341" t="str">
        <f t="shared" si="8"/>
        <v>no data</v>
      </c>
      <c r="P57" s="337" t="str">
        <f>IF(ISBLANK(N57),"",VLOOKUP(AC57,Dasha!$A$10:$L$827,4))</f>
        <v/>
      </c>
      <c r="Q57" s="337" t="str">
        <f>IF(ISBLANK(N57),"",VLOOKUP(AC57,Dasha!$A$10:$L$827,6))</f>
        <v/>
      </c>
      <c r="R57" s="337" t="str">
        <f>IF(ISBLANK(N57),"",VLOOKUP(AC57,Dasha!$A$10:$L$827,8))</f>
        <v/>
      </c>
      <c r="S57" s="337" t="str">
        <f t="shared" si="20"/>
        <v/>
      </c>
      <c r="T57" s="450" t="str">
        <f t="shared" si="17"/>
        <v/>
      </c>
      <c r="U57" s="448" t="str">
        <f t="shared" si="9"/>
        <v>630B</v>
      </c>
      <c r="V57" s="448" t="str">
        <f t="shared" si="10"/>
        <v>0</v>
      </c>
      <c r="W57" s="448" t="str">
        <f t="shared" si="18"/>
        <v>0</v>
      </c>
      <c r="X57" s="448" t="str">
        <f t="shared" si="11"/>
        <v>-</v>
      </c>
      <c r="Y57" s="448" t="str">
        <f t="shared" si="12"/>
        <v>-</v>
      </c>
      <c r="Z57" s="448" t="str">
        <f t="shared" si="13"/>
        <v>-</v>
      </c>
      <c r="AA57" s="448"/>
      <c r="AB57" s="449" t="str">
        <f>IF(ISBLANK(N57),"",IF((N57&lt;=Dasha!$B$10),0,VLOOKUP(N57,Dasha!$B$10:$L$827,11)))</f>
        <v/>
      </c>
      <c r="AC57" s="449" t="str">
        <f t="shared" si="19"/>
        <v/>
      </c>
    </row>
    <row r="58" spans="1:29" s="13" customFormat="1">
      <c r="A58" s="340">
        <f t="shared" si="7"/>
        <v>52</v>
      </c>
      <c r="B58" s="143" t="s">
        <v>499</v>
      </c>
      <c r="C58" s="111" t="s">
        <v>348</v>
      </c>
      <c r="D58" s="169"/>
      <c r="E58" s="126" t="s">
        <v>429</v>
      </c>
      <c r="F58" s="126"/>
      <c r="G58" s="126"/>
      <c r="H58" s="348" t="s">
        <v>392</v>
      </c>
      <c r="I58" s="419" t="str">
        <f t="shared" si="14"/>
        <v/>
      </c>
      <c r="J58" s="349"/>
      <c r="K58" s="111" t="str">
        <f t="shared" si="15"/>
        <v/>
      </c>
      <c r="L58" s="349"/>
      <c r="M58" s="111" t="str">
        <f t="shared" si="16"/>
        <v/>
      </c>
      <c r="N58" s="350"/>
      <c r="O58" s="341" t="str">
        <f t="shared" si="8"/>
        <v/>
      </c>
      <c r="P58" s="337" t="str">
        <f>IF(ISBLANK(N58),"",VLOOKUP(AC58,Dasha!$A$10:$L$827,4))</f>
        <v/>
      </c>
      <c r="Q58" s="337" t="str">
        <f>IF(ISBLANK(N58),"",VLOOKUP(AC58,Dasha!$A$10:$L$827,6))</f>
        <v/>
      </c>
      <c r="R58" s="337" t="str">
        <f>IF(ISBLANK(N58),"",VLOOKUP(AC58,Dasha!$A$10:$L$827,8))</f>
        <v/>
      </c>
      <c r="S58" s="337" t="str">
        <f t="shared" si="20"/>
        <v/>
      </c>
      <c r="T58" s="450" t="str">
        <f t="shared" si="17"/>
        <v/>
      </c>
      <c r="U58" s="448" t="str">
        <f t="shared" si="9"/>
        <v>640A</v>
      </c>
      <c r="V58" s="448" t="str">
        <f t="shared" si="10"/>
        <v>0</v>
      </c>
      <c r="W58" s="448" t="str">
        <f t="shared" si="18"/>
        <v>0</v>
      </c>
      <c r="X58" s="448" t="str">
        <f t="shared" si="11"/>
        <v>-</v>
      </c>
      <c r="Y58" s="448" t="str">
        <f t="shared" si="12"/>
        <v>-</v>
      </c>
      <c r="Z58" s="448" t="str">
        <f t="shared" si="13"/>
        <v>-</v>
      </c>
      <c r="AA58" s="448"/>
      <c r="AB58" s="449" t="str">
        <f>IF(ISBLANK(N58),"",IF((N58&lt;=Dasha!$B$10),0,VLOOKUP(N58,Dasha!$B$10:$L$827,11)))</f>
        <v/>
      </c>
      <c r="AC58" s="449" t="str">
        <f t="shared" si="19"/>
        <v/>
      </c>
    </row>
    <row r="59" spans="1:29" s="13" customFormat="1">
      <c r="A59" s="340">
        <f t="shared" si="7"/>
        <v>53</v>
      </c>
      <c r="B59" s="143" t="s">
        <v>500</v>
      </c>
      <c r="C59" s="111" t="s">
        <v>348</v>
      </c>
      <c r="D59" s="169"/>
      <c r="E59" s="126" t="s">
        <v>364</v>
      </c>
      <c r="F59" s="126"/>
      <c r="G59" s="126"/>
      <c r="H59" s="348" t="s">
        <v>392</v>
      </c>
      <c r="I59" s="419" t="str">
        <f t="shared" si="14"/>
        <v/>
      </c>
      <c r="J59" s="349"/>
      <c r="K59" s="111" t="str">
        <f t="shared" si="15"/>
        <v/>
      </c>
      <c r="L59" s="349"/>
      <c r="M59" s="111" t="str">
        <f t="shared" si="16"/>
        <v/>
      </c>
      <c r="N59" s="350"/>
      <c r="O59" s="341" t="str">
        <f t="shared" si="8"/>
        <v/>
      </c>
      <c r="P59" s="337" t="str">
        <f>IF(ISBLANK(N59),"",VLOOKUP(AC59,Dasha!$A$10:$L$827,4))</f>
        <v/>
      </c>
      <c r="Q59" s="337" t="str">
        <f>IF(ISBLANK(N59),"",VLOOKUP(AC59,Dasha!$A$10:$L$827,6))</f>
        <v/>
      </c>
      <c r="R59" s="337" t="str">
        <f>IF(ISBLANK(N59),"",VLOOKUP(AC59,Dasha!$A$10:$L$827,8))</f>
        <v/>
      </c>
      <c r="S59" s="337" t="str">
        <f t="shared" si="20"/>
        <v/>
      </c>
      <c r="T59" s="450" t="str">
        <f t="shared" si="17"/>
        <v/>
      </c>
      <c r="U59" s="448" t="str">
        <f t="shared" si="9"/>
        <v>650A</v>
      </c>
      <c r="V59" s="448" t="str">
        <f t="shared" si="10"/>
        <v>0</v>
      </c>
      <c r="W59" s="448" t="str">
        <f t="shared" si="18"/>
        <v>0</v>
      </c>
      <c r="X59" s="448" t="str">
        <f t="shared" si="11"/>
        <v>-</v>
      </c>
      <c r="Y59" s="448" t="str">
        <f t="shared" si="12"/>
        <v>-</v>
      </c>
      <c r="Z59" s="448" t="str">
        <f t="shared" si="13"/>
        <v>-</v>
      </c>
      <c r="AA59" s="448"/>
      <c r="AB59" s="449" t="str">
        <f>IF(ISBLANK(N59),"",IF((N59&lt;=Dasha!$B$10),0,VLOOKUP(N59,Dasha!$B$10:$L$827,11)))</f>
        <v/>
      </c>
      <c r="AC59" s="449" t="str">
        <f t="shared" si="19"/>
        <v/>
      </c>
    </row>
    <row r="60" spans="1:29" s="13" customFormat="1">
      <c r="A60" s="340">
        <f t="shared" si="7"/>
        <v>54</v>
      </c>
      <c r="B60" s="143" t="s">
        <v>501</v>
      </c>
      <c r="C60" s="111" t="s">
        <v>349</v>
      </c>
      <c r="D60" s="169"/>
      <c r="E60" s="126" t="s">
        <v>430</v>
      </c>
      <c r="F60" s="126"/>
      <c r="G60" s="126"/>
      <c r="H60" s="348" t="s">
        <v>392</v>
      </c>
      <c r="I60" s="419" t="str">
        <f t="shared" si="14"/>
        <v xml:space="preserve">X = </v>
      </c>
      <c r="J60" s="349"/>
      <c r="K60" s="111" t="str">
        <f t="shared" si="15"/>
        <v/>
      </c>
      <c r="L60" s="349"/>
      <c r="M60" s="111" t="str">
        <f t="shared" si="16"/>
        <v/>
      </c>
      <c r="N60" s="350"/>
      <c r="O60" s="341" t="str">
        <f t="shared" si="8"/>
        <v>no data</v>
      </c>
      <c r="P60" s="337" t="str">
        <f>IF(ISBLANK(N60),"",VLOOKUP(AC60,Dasha!$A$10:$L$827,4))</f>
        <v/>
      </c>
      <c r="Q60" s="337" t="str">
        <f>IF(ISBLANK(N60),"",VLOOKUP(AC60,Dasha!$A$10:$L$827,6))</f>
        <v/>
      </c>
      <c r="R60" s="337" t="str">
        <f>IF(ISBLANK(N60),"",VLOOKUP(AC60,Dasha!$A$10:$L$827,8))</f>
        <v/>
      </c>
      <c r="S60" s="337" t="str">
        <f t="shared" si="20"/>
        <v/>
      </c>
      <c r="T60" s="450" t="str">
        <f t="shared" si="17"/>
        <v/>
      </c>
      <c r="U60" s="448" t="str">
        <f t="shared" si="9"/>
        <v>710B</v>
      </c>
      <c r="V60" s="448" t="str">
        <f t="shared" si="10"/>
        <v>0</v>
      </c>
      <c r="W60" s="448" t="str">
        <f t="shared" si="18"/>
        <v>0</v>
      </c>
      <c r="X60" s="448" t="str">
        <f t="shared" si="11"/>
        <v>-</v>
      </c>
      <c r="Y60" s="448" t="str">
        <f t="shared" si="12"/>
        <v>-</v>
      </c>
      <c r="Z60" s="448" t="str">
        <f t="shared" si="13"/>
        <v>-</v>
      </c>
      <c r="AA60" s="448"/>
      <c r="AB60" s="449" t="str">
        <f>IF(ISBLANK(N60),"",IF((N60&lt;=Dasha!$B$10),0,VLOOKUP(N60,Dasha!$B$10:$L$827,11)))</f>
        <v/>
      </c>
      <c r="AC60" s="449" t="str">
        <f t="shared" si="19"/>
        <v/>
      </c>
    </row>
    <row r="61" spans="1:29" s="13" customFormat="1">
      <c r="A61" s="340">
        <f t="shared" si="7"/>
        <v>55</v>
      </c>
      <c r="B61" s="143" t="s">
        <v>502</v>
      </c>
      <c r="C61" s="111" t="s">
        <v>349</v>
      </c>
      <c r="D61" s="169"/>
      <c r="E61" s="126" t="s">
        <v>431</v>
      </c>
      <c r="F61" s="126"/>
      <c r="G61" s="126"/>
      <c r="H61" s="348" t="s">
        <v>392</v>
      </c>
      <c r="I61" s="419" t="str">
        <f t="shared" si="14"/>
        <v/>
      </c>
      <c r="J61" s="349"/>
      <c r="K61" s="111" t="str">
        <f t="shared" si="15"/>
        <v/>
      </c>
      <c r="L61" s="349"/>
      <c r="M61" s="111" t="str">
        <f t="shared" si="16"/>
        <v/>
      </c>
      <c r="N61" s="350"/>
      <c r="O61" s="341" t="str">
        <f t="shared" si="8"/>
        <v/>
      </c>
      <c r="P61" s="337" t="str">
        <f>IF(ISBLANK(N61),"",VLOOKUP(AC61,Dasha!$A$10:$L$827,4))</f>
        <v/>
      </c>
      <c r="Q61" s="337" t="str">
        <f>IF(ISBLANK(N61),"",VLOOKUP(AC61,Dasha!$A$10:$L$827,6))</f>
        <v/>
      </c>
      <c r="R61" s="337" t="str">
        <f>IF(ISBLANK(N61),"",VLOOKUP(AC61,Dasha!$A$10:$L$827,8))</f>
        <v/>
      </c>
      <c r="S61" s="337" t="str">
        <f t="shared" si="20"/>
        <v/>
      </c>
      <c r="T61" s="450" t="str">
        <f t="shared" si="17"/>
        <v/>
      </c>
      <c r="U61" s="448" t="str">
        <f t="shared" si="9"/>
        <v>720A</v>
      </c>
      <c r="V61" s="448" t="str">
        <f t="shared" si="10"/>
        <v>0</v>
      </c>
      <c r="W61" s="448" t="str">
        <f t="shared" si="18"/>
        <v>0</v>
      </c>
      <c r="X61" s="448" t="str">
        <f t="shared" si="11"/>
        <v>-</v>
      </c>
      <c r="Y61" s="448" t="str">
        <f t="shared" si="12"/>
        <v>-</v>
      </c>
      <c r="Z61" s="448" t="str">
        <f t="shared" si="13"/>
        <v>-</v>
      </c>
      <c r="AA61" s="448"/>
      <c r="AB61" s="449" t="str">
        <f>IF(ISBLANK(N61),"",IF((N61&lt;=Dasha!$B$10),0,VLOOKUP(N61,Dasha!$B$10:$L$827,11)))</f>
        <v/>
      </c>
      <c r="AC61" s="449" t="str">
        <f t="shared" si="19"/>
        <v/>
      </c>
    </row>
    <row r="62" spans="1:29" s="13" customFormat="1">
      <c r="A62" s="340">
        <f t="shared" si="7"/>
        <v>56</v>
      </c>
      <c r="B62" s="143" t="s">
        <v>503</v>
      </c>
      <c r="C62" s="111" t="s">
        <v>349</v>
      </c>
      <c r="D62" s="169"/>
      <c r="E62" s="126" t="s">
        <v>432</v>
      </c>
      <c r="F62" s="126"/>
      <c r="G62" s="126"/>
      <c r="H62" s="348" t="s">
        <v>392</v>
      </c>
      <c r="I62" s="419" t="str">
        <f t="shared" si="14"/>
        <v/>
      </c>
      <c r="J62" s="349"/>
      <c r="K62" s="111" t="str">
        <f t="shared" si="15"/>
        <v/>
      </c>
      <c r="L62" s="349"/>
      <c r="M62" s="111" t="str">
        <f t="shared" si="16"/>
        <v/>
      </c>
      <c r="N62" s="350"/>
      <c r="O62" s="341" t="str">
        <f t="shared" si="8"/>
        <v/>
      </c>
      <c r="P62" s="337" t="str">
        <f>IF(ISBLANK(N62),"",VLOOKUP(AC62,Dasha!$A$10:$L$827,4))</f>
        <v/>
      </c>
      <c r="Q62" s="337" t="str">
        <f>IF(ISBLANK(N62),"",VLOOKUP(AC62,Dasha!$A$10:$L$827,6))</f>
        <v/>
      </c>
      <c r="R62" s="337" t="str">
        <f>IF(ISBLANK(N62),"",VLOOKUP(AC62,Dasha!$A$10:$L$827,8))</f>
        <v/>
      </c>
      <c r="S62" s="337" t="str">
        <f t="shared" si="20"/>
        <v/>
      </c>
      <c r="T62" s="450" t="str">
        <f t="shared" si="17"/>
        <v/>
      </c>
      <c r="U62" s="448" t="str">
        <f t="shared" si="9"/>
        <v>730A</v>
      </c>
      <c r="V62" s="448" t="str">
        <f t="shared" si="10"/>
        <v>0</v>
      </c>
      <c r="W62" s="448" t="str">
        <f t="shared" si="18"/>
        <v>0</v>
      </c>
      <c r="X62" s="448" t="str">
        <f t="shared" si="11"/>
        <v>-</v>
      </c>
      <c r="Y62" s="448" t="str">
        <f t="shared" si="12"/>
        <v>-</v>
      </c>
      <c r="Z62" s="448" t="str">
        <f t="shared" si="13"/>
        <v>-</v>
      </c>
      <c r="AA62" s="448"/>
      <c r="AB62" s="449" t="str">
        <f>IF(ISBLANK(N62),"",IF((N62&lt;=Dasha!$B$10),0,VLOOKUP(N62,Dasha!$B$10:$L$827,11)))</f>
        <v/>
      </c>
      <c r="AC62" s="449" t="str">
        <f t="shared" si="19"/>
        <v/>
      </c>
    </row>
    <row r="63" spans="1:29" s="13" customFormat="1">
      <c r="A63" s="340">
        <f t="shared" si="7"/>
        <v>57</v>
      </c>
      <c r="B63" s="143" t="s">
        <v>504</v>
      </c>
      <c r="C63" s="111" t="s">
        <v>349</v>
      </c>
      <c r="D63" s="169"/>
      <c r="E63" s="126" t="s">
        <v>433</v>
      </c>
      <c r="F63" s="126"/>
      <c r="G63" s="126"/>
      <c r="H63" s="348" t="s">
        <v>392</v>
      </c>
      <c r="I63" s="419" t="str">
        <f t="shared" si="14"/>
        <v/>
      </c>
      <c r="J63" s="349"/>
      <c r="K63" s="111" t="str">
        <f t="shared" si="15"/>
        <v/>
      </c>
      <c r="L63" s="349"/>
      <c r="M63" s="111" t="str">
        <f t="shared" si="16"/>
        <v/>
      </c>
      <c r="N63" s="350"/>
      <c r="O63" s="341" t="str">
        <f t="shared" si="8"/>
        <v/>
      </c>
      <c r="P63" s="337" t="str">
        <f>IF(ISBLANK(N63),"",VLOOKUP(AC63,Dasha!$A$10:$L$827,4))</f>
        <v/>
      </c>
      <c r="Q63" s="337" t="str">
        <f>IF(ISBLANK(N63),"",VLOOKUP(AC63,Dasha!$A$10:$L$827,6))</f>
        <v/>
      </c>
      <c r="R63" s="337" t="str">
        <f>IF(ISBLANK(N63),"",VLOOKUP(AC63,Dasha!$A$10:$L$827,8))</f>
        <v/>
      </c>
      <c r="S63" s="337" t="str">
        <f t="shared" si="20"/>
        <v/>
      </c>
      <c r="T63" s="450" t="str">
        <f t="shared" si="17"/>
        <v/>
      </c>
      <c r="U63" s="448" t="str">
        <f t="shared" si="9"/>
        <v>740A</v>
      </c>
      <c r="V63" s="448" t="str">
        <f t="shared" si="10"/>
        <v>0</v>
      </c>
      <c r="W63" s="448" t="str">
        <f t="shared" si="18"/>
        <v>0</v>
      </c>
      <c r="X63" s="448" t="str">
        <f t="shared" si="11"/>
        <v>-</v>
      </c>
      <c r="Y63" s="448" t="str">
        <f t="shared" si="12"/>
        <v>-</v>
      </c>
      <c r="Z63" s="448" t="str">
        <f t="shared" si="13"/>
        <v>-</v>
      </c>
      <c r="AA63" s="448"/>
      <c r="AB63" s="449" t="str">
        <f>IF(ISBLANK(N63),"",IF((N63&lt;=Dasha!$B$10),0,VLOOKUP(N63,Dasha!$B$10:$L$827,11)))</f>
        <v/>
      </c>
      <c r="AC63" s="449" t="str">
        <f t="shared" si="19"/>
        <v/>
      </c>
    </row>
    <row r="64" spans="1:29" s="13" customFormat="1">
      <c r="A64" s="340">
        <f t="shared" si="7"/>
        <v>58</v>
      </c>
      <c r="B64" s="143" t="s">
        <v>505</v>
      </c>
      <c r="C64" s="111" t="s">
        <v>434</v>
      </c>
      <c r="D64" s="169"/>
      <c r="E64" s="126" t="s">
        <v>435</v>
      </c>
      <c r="F64" s="126"/>
      <c r="G64" s="126"/>
      <c r="H64" s="348" t="s">
        <v>392</v>
      </c>
      <c r="I64" s="419" t="str">
        <f t="shared" si="14"/>
        <v xml:space="preserve">X = </v>
      </c>
      <c r="J64" s="349"/>
      <c r="K64" s="111" t="str">
        <f t="shared" si="15"/>
        <v/>
      </c>
      <c r="L64" s="349"/>
      <c r="M64" s="111" t="str">
        <f t="shared" si="16"/>
        <v/>
      </c>
      <c r="N64" s="350"/>
      <c r="O64" s="341" t="str">
        <f t="shared" si="8"/>
        <v>no data</v>
      </c>
      <c r="P64" s="337" t="str">
        <f>IF(ISBLANK(N64),"",VLOOKUP(AC64,Dasha!$A$10:$L$827,4))</f>
        <v/>
      </c>
      <c r="Q64" s="337" t="str">
        <f>IF(ISBLANK(N64),"",VLOOKUP(AC64,Dasha!$A$10:$L$827,6))</f>
        <v/>
      </c>
      <c r="R64" s="337" t="str">
        <f>IF(ISBLANK(N64),"",VLOOKUP(AC64,Dasha!$A$10:$L$827,8))</f>
        <v/>
      </c>
      <c r="S64" s="337" t="str">
        <f t="shared" si="20"/>
        <v/>
      </c>
      <c r="T64" s="450" t="str">
        <f t="shared" si="17"/>
        <v/>
      </c>
      <c r="U64" s="448" t="str">
        <f t="shared" si="9"/>
        <v>810B</v>
      </c>
      <c r="V64" s="448" t="str">
        <f t="shared" si="10"/>
        <v>0</v>
      </c>
      <c r="W64" s="448" t="str">
        <f t="shared" si="18"/>
        <v>0</v>
      </c>
      <c r="X64" s="448" t="str">
        <f t="shared" si="11"/>
        <v>-</v>
      </c>
      <c r="Y64" s="448" t="str">
        <f t="shared" si="12"/>
        <v>-</v>
      </c>
      <c r="Z64" s="448" t="str">
        <f t="shared" si="13"/>
        <v>-</v>
      </c>
      <c r="AA64" s="448"/>
      <c r="AB64" s="449" t="str">
        <f>IF(ISBLANK(N64),"",IF((N64&lt;=Dasha!$B$10),0,VLOOKUP(N64,Dasha!$B$10:$L$827,11)))</f>
        <v/>
      </c>
      <c r="AC64" s="449" t="str">
        <f t="shared" si="19"/>
        <v/>
      </c>
    </row>
    <row r="65" spans="1:29" s="13" customFormat="1">
      <c r="A65" s="340">
        <f t="shared" si="7"/>
        <v>59</v>
      </c>
      <c r="B65" s="143" t="s">
        <v>506</v>
      </c>
      <c r="C65" s="111" t="s">
        <v>434</v>
      </c>
      <c r="D65" s="169"/>
      <c r="E65" s="126" t="s">
        <v>436</v>
      </c>
      <c r="F65" s="126"/>
      <c r="G65" s="126"/>
      <c r="H65" s="348" t="s">
        <v>392</v>
      </c>
      <c r="I65" s="419" t="str">
        <f t="shared" si="14"/>
        <v/>
      </c>
      <c r="J65" s="349"/>
      <c r="K65" s="111" t="str">
        <f t="shared" si="15"/>
        <v/>
      </c>
      <c r="L65" s="349"/>
      <c r="M65" s="111" t="str">
        <f t="shared" si="16"/>
        <v/>
      </c>
      <c r="N65" s="350"/>
      <c r="O65" s="341" t="str">
        <f t="shared" si="8"/>
        <v/>
      </c>
      <c r="P65" s="337" t="str">
        <f>IF(ISBLANK(N65),"",VLOOKUP(AC65,Dasha!$A$10:$L$827,4))</f>
        <v/>
      </c>
      <c r="Q65" s="337" t="str">
        <f>IF(ISBLANK(N65),"",VLOOKUP(AC65,Dasha!$A$10:$L$827,6))</f>
        <v/>
      </c>
      <c r="R65" s="337" t="str">
        <f>IF(ISBLANK(N65),"",VLOOKUP(AC65,Dasha!$A$10:$L$827,8))</f>
        <v/>
      </c>
      <c r="S65" s="337" t="str">
        <f t="shared" si="20"/>
        <v/>
      </c>
      <c r="T65" s="450" t="str">
        <f t="shared" si="17"/>
        <v/>
      </c>
      <c r="U65" s="448" t="str">
        <f t="shared" si="9"/>
        <v>820A</v>
      </c>
      <c r="V65" s="448" t="str">
        <f t="shared" si="10"/>
        <v>0</v>
      </c>
      <c r="W65" s="448" t="str">
        <f t="shared" si="18"/>
        <v>0</v>
      </c>
      <c r="X65" s="448" t="str">
        <f t="shared" si="11"/>
        <v>-</v>
      </c>
      <c r="Y65" s="448" t="str">
        <f t="shared" si="12"/>
        <v>-</v>
      </c>
      <c r="Z65" s="448" t="str">
        <f t="shared" si="13"/>
        <v>-</v>
      </c>
      <c r="AA65" s="448"/>
      <c r="AB65" s="449" t="str">
        <f>IF(ISBLANK(N65),"",IF((N65&lt;=Dasha!$B$10),0,VLOOKUP(N65,Dasha!$B$10:$L$827,11)))</f>
        <v/>
      </c>
      <c r="AC65" s="449" t="str">
        <f t="shared" si="19"/>
        <v/>
      </c>
    </row>
    <row r="66" spans="1:29" s="13" customFormat="1">
      <c r="A66" s="340">
        <f t="shared" si="7"/>
        <v>60</v>
      </c>
      <c r="B66" s="143" t="s">
        <v>507</v>
      </c>
      <c r="C66" s="111" t="s">
        <v>434</v>
      </c>
      <c r="D66" s="169"/>
      <c r="E66" s="126" t="s">
        <v>437</v>
      </c>
      <c r="F66" s="126"/>
      <c r="G66" s="126"/>
      <c r="H66" s="348" t="s">
        <v>392</v>
      </c>
      <c r="I66" s="419" t="str">
        <f t="shared" si="14"/>
        <v/>
      </c>
      <c r="J66" s="349"/>
      <c r="K66" s="111" t="str">
        <f t="shared" si="15"/>
        <v/>
      </c>
      <c r="L66" s="349"/>
      <c r="M66" s="111" t="str">
        <f t="shared" si="16"/>
        <v/>
      </c>
      <c r="N66" s="350"/>
      <c r="O66" s="341" t="str">
        <f t="shared" si="8"/>
        <v/>
      </c>
      <c r="P66" s="337" t="str">
        <f>IF(ISBLANK(N66),"",VLOOKUP(AC66,Dasha!$A$10:$L$827,4))</f>
        <v/>
      </c>
      <c r="Q66" s="337" t="str">
        <f>IF(ISBLANK(N66),"",VLOOKUP(AC66,Dasha!$A$10:$L$827,6))</f>
        <v/>
      </c>
      <c r="R66" s="337" t="str">
        <f>IF(ISBLANK(N66),"",VLOOKUP(AC66,Dasha!$A$10:$L$827,8))</f>
        <v/>
      </c>
      <c r="S66" s="337" t="str">
        <f t="shared" si="20"/>
        <v/>
      </c>
      <c r="T66" s="450" t="str">
        <f t="shared" si="17"/>
        <v/>
      </c>
      <c r="U66" s="448" t="str">
        <f t="shared" si="9"/>
        <v>830A</v>
      </c>
      <c r="V66" s="448" t="str">
        <f t="shared" si="10"/>
        <v>0</v>
      </c>
      <c r="W66" s="448" t="str">
        <f t="shared" si="18"/>
        <v>0</v>
      </c>
      <c r="X66" s="448" t="str">
        <f t="shared" si="11"/>
        <v>-</v>
      </c>
      <c r="Y66" s="448" t="str">
        <f t="shared" si="12"/>
        <v>-</v>
      </c>
      <c r="Z66" s="448" t="str">
        <f t="shared" si="13"/>
        <v>-</v>
      </c>
      <c r="AA66" s="448"/>
      <c r="AB66" s="449" t="str">
        <f>IF(ISBLANK(N66),"",IF((N66&lt;=Dasha!$B$10),0,VLOOKUP(N66,Dasha!$B$10:$L$827,11)))</f>
        <v/>
      </c>
      <c r="AC66" s="449" t="str">
        <f t="shared" si="19"/>
        <v/>
      </c>
    </row>
    <row r="67" spans="1:29" s="13" customFormat="1">
      <c r="A67" s="340">
        <f t="shared" si="7"/>
        <v>61</v>
      </c>
      <c r="B67" s="143" t="s">
        <v>508</v>
      </c>
      <c r="C67" s="111" t="s">
        <v>351</v>
      </c>
      <c r="D67" s="169"/>
      <c r="E67" s="126" t="s">
        <v>438</v>
      </c>
      <c r="F67" s="126"/>
      <c r="G67" s="126"/>
      <c r="H67" s="348" t="s">
        <v>303</v>
      </c>
      <c r="I67" s="419" t="str">
        <f t="shared" si="14"/>
        <v xml:space="preserve">X = </v>
      </c>
      <c r="J67" s="349">
        <v>2</v>
      </c>
      <c r="K67" s="111" t="str">
        <f t="shared" si="15"/>
        <v/>
      </c>
      <c r="L67" s="349"/>
      <c r="M67" s="111" t="str">
        <f t="shared" si="16"/>
        <v/>
      </c>
      <c r="N67" s="350"/>
      <c r="O67" s="341" t="str">
        <f t="shared" si="8"/>
        <v/>
      </c>
      <c r="P67" s="337" t="str">
        <f>IF(ISBLANK(N67),"",VLOOKUP(AC67,Dasha!$A$10:$L$827,4))</f>
        <v/>
      </c>
      <c r="Q67" s="337" t="str">
        <f>IF(ISBLANK(N67),"",VLOOKUP(AC67,Dasha!$A$10:$L$827,6))</f>
        <v/>
      </c>
      <c r="R67" s="337" t="str">
        <f>IF(ISBLANK(N67),"",VLOOKUP(AC67,Dasha!$A$10:$L$827,8))</f>
        <v/>
      </c>
      <c r="S67" s="337" t="str">
        <f t="shared" si="20"/>
        <v/>
      </c>
      <c r="T67" s="450" t="str">
        <f t="shared" si="17"/>
        <v>insert into events values ("NDM179934000","910B",2,0,"-","-","-");</v>
      </c>
      <c r="U67" s="448" t="str">
        <f t="shared" si="9"/>
        <v>910B</v>
      </c>
      <c r="V67" s="448">
        <f t="shared" si="10"/>
        <v>2</v>
      </c>
      <c r="W67" s="448" t="str">
        <f t="shared" si="18"/>
        <v>0</v>
      </c>
      <c r="X67" s="448" t="str">
        <f t="shared" si="11"/>
        <v>-</v>
      </c>
      <c r="Y67" s="448" t="str">
        <f t="shared" si="12"/>
        <v>-</v>
      </c>
      <c r="Z67" s="448" t="str">
        <f t="shared" si="13"/>
        <v>-</v>
      </c>
      <c r="AA67" s="448"/>
      <c r="AB67" s="449" t="str">
        <f>IF(ISBLANK(N67),"",IF((N67&lt;=Dasha!$B$10),0,VLOOKUP(N67,Dasha!$B$10:$L$827,11)))</f>
        <v/>
      </c>
      <c r="AC67" s="449" t="str">
        <f t="shared" si="19"/>
        <v/>
      </c>
    </row>
    <row r="68" spans="1:29" s="13" customFormat="1">
      <c r="A68" s="340">
        <f t="shared" si="7"/>
        <v>62</v>
      </c>
      <c r="B68" s="143" t="s">
        <v>509</v>
      </c>
      <c r="C68" s="111" t="s">
        <v>351</v>
      </c>
      <c r="D68" s="169"/>
      <c r="E68" s="126" t="s">
        <v>439</v>
      </c>
      <c r="F68" s="126"/>
      <c r="G68" s="126"/>
      <c r="H68" s="348" t="s">
        <v>392</v>
      </c>
      <c r="I68" s="419" t="str">
        <f t="shared" si="14"/>
        <v/>
      </c>
      <c r="J68" s="349"/>
      <c r="K68" s="111" t="str">
        <f t="shared" si="15"/>
        <v/>
      </c>
      <c r="L68" s="349"/>
      <c r="M68" s="111" t="str">
        <f t="shared" si="16"/>
        <v/>
      </c>
      <c r="N68" s="350"/>
      <c r="O68" s="341" t="str">
        <f t="shared" si="8"/>
        <v/>
      </c>
      <c r="P68" s="337" t="str">
        <f>IF(ISBLANK(N68),"",VLOOKUP(AC68,Dasha!$A$10:$L$827,4))</f>
        <v/>
      </c>
      <c r="Q68" s="337" t="str">
        <f>IF(ISBLANK(N68),"",VLOOKUP(AC68,Dasha!$A$10:$L$827,6))</f>
        <v/>
      </c>
      <c r="R68" s="337" t="str">
        <f>IF(ISBLANK(N68),"",VLOOKUP(AC68,Dasha!$A$10:$L$827,8))</f>
        <v/>
      </c>
      <c r="S68" s="337" t="str">
        <f t="shared" si="20"/>
        <v/>
      </c>
      <c r="T68" s="450" t="str">
        <f t="shared" si="17"/>
        <v/>
      </c>
      <c r="U68" s="448" t="str">
        <f t="shared" si="9"/>
        <v>920A</v>
      </c>
      <c r="V68" s="448" t="str">
        <f t="shared" si="10"/>
        <v>0</v>
      </c>
      <c r="W68" s="448" t="str">
        <f t="shared" si="18"/>
        <v>0</v>
      </c>
      <c r="X68" s="448" t="str">
        <f t="shared" si="11"/>
        <v>-</v>
      </c>
      <c r="Y68" s="448" t="str">
        <f t="shared" si="12"/>
        <v>-</v>
      </c>
      <c r="Z68" s="448" t="str">
        <f t="shared" si="13"/>
        <v>-</v>
      </c>
      <c r="AA68" s="448"/>
      <c r="AB68" s="449" t="str">
        <f>IF(ISBLANK(N68),"",IF((N68&lt;=Dasha!$B$10),0,VLOOKUP(N68,Dasha!$B$10:$L$827,11)))</f>
        <v/>
      </c>
      <c r="AC68" s="449" t="str">
        <f t="shared" si="19"/>
        <v/>
      </c>
    </row>
    <row r="69" spans="1:29" s="13" customFormat="1">
      <c r="A69" s="340">
        <f t="shared" si="7"/>
        <v>63</v>
      </c>
      <c r="B69" s="143" t="s">
        <v>510</v>
      </c>
      <c r="C69" s="111" t="s">
        <v>351</v>
      </c>
      <c r="D69" s="169"/>
      <c r="E69" s="126" t="s">
        <v>440</v>
      </c>
      <c r="F69" s="126"/>
      <c r="G69" s="126"/>
      <c r="H69" s="348" t="s">
        <v>392</v>
      </c>
      <c r="I69" s="419" t="str">
        <f t="shared" si="14"/>
        <v/>
      </c>
      <c r="J69" s="349"/>
      <c r="K69" s="111" t="str">
        <f t="shared" si="15"/>
        <v/>
      </c>
      <c r="L69" s="349"/>
      <c r="M69" s="111" t="str">
        <f t="shared" si="16"/>
        <v/>
      </c>
      <c r="N69" s="350"/>
      <c r="O69" s="341" t="str">
        <f t="shared" si="8"/>
        <v/>
      </c>
      <c r="P69" s="337" t="str">
        <f>IF(ISBLANK(N69),"",VLOOKUP(AC69,Dasha!$A$10:$L$827,4))</f>
        <v/>
      </c>
      <c r="Q69" s="337" t="str">
        <f>IF(ISBLANK(N69),"",VLOOKUP(AC69,Dasha!$A$10:$L$827,6))</f>
        <v/>
      </c>
      <c r="R69" s="337" t="str">
        <f>IF(ISBLANK(N69),"",VLOOKUP(AC69,Dasha!$A$10:$L$827,8))</f>
        <v/>
      </c>
      <c r="S69" s="337" t="str">
        <f t="shared" si="20"/>
        <v/>
      </c>
      <c r="T69" s="450" t="str">
        <f t="shared" si="17"/>
        <v/>
      </c>
      <c r="U69" s="448" t="str">
        <f t="shared" si="9"/>
        <v>930A</v>
      </c>
      <c r="V69" s="448" t="str">
        <f t="shared" si="10"/>
        <v>0</v>
      </c>
      <c r="W69" s="448" t="str">
        <f t="shared" si="18"/>
        <v>0</v>
      </c>
      <c r="X69" s="448" t="str">
        <f t="shared" si="11"/>
        <v>-</v>
      </c>
      <c r="Y69" s="448" t="str">
        <f t="shared" si="12"/>
        <v>-</v>
      </c>
      <c r="Z69" s="448" t="str">
        <f t="shared" si="13"/>
        <v>-</v>
      </c>
      <c r="AA69" s="448"/>
      <c r="AB69" s="449" t="str">
        <f>IF(ISBLANK(N69),"",IF((N69&lt;=Dasha!$B$10),0,VLOOKUP(N69,Dasha!$B$10:$L$827,11)))</f>
        <v/>
      </c>
      <c r="AC69" s="449" t="str">
        <f t="shared" si="19"/>
        <v/>
      </c>
    </row>
    <row r="70" spans="1:29" s="13" customFormat="1">
      <c r="A70" s="340">
        <f t="shared" si="7"/>
        <v>64</v>
      </c>
      <c r="B70" s="143" t="s">
        <v>511</v>
      </c>
      <c r="C70" s="111" t="s">
        <v>441</v>
      </c>
      <c r="D70" s="169"/>
      <c r="E70" s="126" t="s">
        <v>357</v>
      </c>
      <c r="F70" s="126"/>
      <c r="G70" s="126"/>
      <c r="H70" s="348" t="s">
        <v>392</v>
      </c>
      <c r="I70" s="419" t="str">
        <f t="shared" si="14"/>
        <v/>
      </c>
      <c r="J70" s="349"/>
      <c r="K70" s="111" t="str">
        <f t="shared" si="15"/>
        <v/>
      </c>
      <c r="L70" s="349"/>
      <c r="M70" s="111" t="str">
        <f t="shared" si="16"/>
        <v>date?</v>
      </c>
      <c r="N70" s="350"/>
      <c r="O70" s="341" t="str">
        <f t="shared" si="8"/>
        <v/>
      </c>
      <c r="P70" s="337" t="str">
        <f>IF(ISBLANK(N70),"",VLOOKUP(AC70,Dasha!$A$10:$L$827,4))</f>
        <v/>
      </c>
      <c r="Q70" s="337" t="str">
        <f>IF(ISBLANK(N70),"",VLOOKUP(AC70,Dasha!$A$10:$L$827,6))</f>
        <v/>
      </c>
      <c r="R70" s="337" t="str">
        <f>IF(ISBLANK(N70),"",VLOOKUP(AC70,Dasha!$A$10:$L$827,8))</f>
        <v/>
      </c>
      <c r="S70" s="337" t="str">
        <f t="shared" si="20"/>
        <v/>
      </c>
      <c r="T70" s="450" t="str">
        <f t="shared" si="17"/>
        <v/>
      </c>
      <c r="U70" s="448" t="str">
        <f t="shared" si="9"/>
        <v>A10D</v>
      </c>
      <c r="V70" s="448" t="str">
        <f t="shared" si="10"/>
        <v>0</v>
      </c>
      <c r="W70" s="448" t="str">
        <f t="shared" si="18"/>
        <v>0</v>
      </c>
      <c r="X70" s="448" t="str">
        <f t="shared" si="11"/>
        <v>-</v>
      </c>
      <c r="Y70" s="448" t="str">
        <f t="shared" si="12"/>
        <v>-</v>
      </c>
      <c r="Z70" s="448" t="str">
        <f t="shared" si="13"/>
        <v>-</v>
      </c>
      <c r="AA70" s="448"/>
      <c r="AB70" s="449" t="str">
        <f>IF(ISBLANK(N70),"",IF((N70&lt;=Dasha!$B$10),0,VLOOKUP(N70,Dasha!$B$10:$L$827,11)))</f>
        <v/>
      </c>
      <c r="AC70" s="449" t="str">
        <f t="shared" si="19"/>
        <v/>
      </c>
    </row>
    <row r="71" spans="1:29" s="13" customFormat="1">
      <c r="A71" s="340">
        <f t="shared" si="7"/>
        <v>65</v>
      </c>
      <c r="B71" s="143" t="s">
        <v>512</v>
      </c>
      <c r="C71" s="111" t="s">
        <v>441</v>
      </c>
      <c r="D71" s="169"/>
      <c r="E71" s="126" t="s">
        <v>358</v>
      </c>
      <c r="F71" s="126"/>
      <c r="G71" s="126"/>
      <c r="H71" s="348" t="s">
        <v>392</v>
      </c>
      <c r="I71" s="419" t="str">
        <f t="shared" ref="I71:I102" si="21">IF(OR(MID(B71,4,1)="B",MID(B71,4,1)="C"),"X = ","")</f>
        <v/>
      </c>
      <c r="J71" s="349"/>
      <c r="K71" s="111" t="str">
        <f t="shared" ref="K71:K102" si="22">IF(MID(B71,4,1)="C","Y = ","")</f>
        <v/>
      </c>
      <c r="L71" s="349"/>
      <c r="M71" s="111" t="str">
        <f t="shared" ref="M71:M102" si="23">IF(MID(B71,4,1)="D","date?","")</f>
        <v>date?</v>
      </c>
      <c r="N71" s="350"/>
      <c r="O71" s="341" t="str">
        <f t="shared" si="8"/>
        <v/>
      </c>
      <c r="P71" s="337" t="str">
        <f>IF(ISBLANK(N71),"",VLOOKUP(AC71,Dasha!$A$10:$L$827,4))</f>
        <v/>
      </c>
      <c r="Q71" s="337" t="str">
        <f>IF(ISBLANK(N71),"",VLOOKUP(AC71,Dasha!$A$10:$L$827,6))</f>
        <v/>
      </c>
      <c r="R71" s="337" t="str">
        <f>IF(ISBLANK(N71),"",VLOOKUP(AC71,Dasha!$A$10:$L$827,8))</f>
        <v/>
      </c>
      <c r="S71" s="337" t="str">
        <f t="shared" si="20"/>
        <v/>
      </c>
      <c r="T71" s="450" t="str">
        <f t="shared" ref="T71:T102" si="24">IF(H71="Y",CONCATENATE($T$119,$C$4,$T$120,U71,$T$121,V71,$T$122,W71,$T$124,X71,$T$120,Y71,$T$120,Z71,$T$123),"")</f>
        <v/>
      </c>
      <c r="U71" s="448" t="str">
        <f t="shared" si="9"/>
        <v>A20D</v>
      </c>
      <c r="V71" s="448" t="str">
        <f t="shared" si="10"/>
        <v>0</v>
      </c>
      <c r="W71" s="448" t="str">
        <f t="shared" ref="W71:W102" si="25">IF(MID(B71,4,1)="A","0",(IF(MID(B71,4,1)="B","0",(IF(MID(B71,4,1)="C",(IF(ISBLANK(L71),"0",L71)),(IF(MID(B71,4,1)="D",(IF(ISBLANK(N71),"0",S71)),"0")))))))</f>
        <v>0</v>
      </c>
      <c r="X71" s="448" t="str">
        <f t="shared" si="11"/>
        <v>-</v>
      </c>
      <c r="Y71" s="448" t="str">
        <f t="shared" si="12"/>
        <v>-</v>
      </c>
      <c r="Z71" s="448" t="str">
        <f t="shared" si="13"/>
        <v>-</v>
      </c>
      <c r="AA71" s="448"/>
      <c r="AB71" s="449" t="str">
        <f>IF(ISBLANK(N71),"",IF((N71&lt;=Dasha!$B$10),0,VLOOKUP(N71,Dasha!$B$10:$L$827,11)))</f>
        <v/>
      </c>
      <c r="AC71" s="449" t="str">
        <f t="shared" ref="AC71:AC102" si="26">IF(ISBLANK(N71),"",AB71+1)</f>
        <v/>
      </c>
    </row>
    <row r="72" spans="1:29" s="13" customFormat="1">
      <c r="A72" s="340">
        <f t="shared" si="7"/>
        <v>66</v>
      </c>
      <c r="B72" s="143" t="s">
        <v>513</v>
      </c>
      <c r="C72" s="111" t="s">
        <v>441</v>
      </c>
      <c r="D72" s="169"/>
      <c r="E72" s="126" t="s">
        <v>371</v>
      </c>
      <c r="F72" s="126"/>
      <c r="G72" s="126"/>
      <c r="H72" s="348" t="s">
        <v>392</v>
      </c>
      <c r="I72" s="419" t="str">
        <f t="shared" si="21"/>
        <v/>
      </c>
      <c r="J72" s="349"/>
      <c r="K72" s="111" t="str">
        <f t="shared" si="22"/>
        <v/>
      </c>
      <c r="L72" s="349"/>
      <c r="M72" s="111" t="str">
        <f t="shared" si="23"/>
        <v>date?</v>
      </c>
      <c r="N72" s="350"/>
      <c r="O72" s="341" t="str">
        <f t="shared" ref="O72:O112" si="27">CONCATENATE((IF(AND((MID(B72,4,1)="B"),(V72="0")),"no data","")),(IF(AND((MID(B72,4,1)="C"),OR((V72="0"),W72="0")),"no data","")),(IF(AND((MID(B72,4,1)="D"),(X72="0")),"no data","")))</f>
        <v/>
      </c>
      <c r="P72" s="337" t="str">
        <f>IF(ISBLANK(N72),"",VLOOKUP(AC72,Dasha!$A$10:$L$827,4))</f>
        <v/>
      </c>
      <c r="Q72" s="337" t="str">
        <f>IF(ISBLANK(N72),"",VLOOKUP(AC72,Dasha!$A$10:$L$827,6))</f>
        <v/>
      </c>
      <c r="R72" s="337" t="str">
        <f>IF(ISBLANK(N72),"",VLOOKUP(AC72,Dasha!$A$10:$L$827,8))</f>
        <v/>
      </c>
      <c r="S72" s="337" t="str">
        <f t="shared" si="20"/>
        <v/>
      </c>
      <c r="T72" s="450" t="str">
        <f t="shared" si="24"/>
        <v/>
      </c>
      <c r="U72" s="448" t="str">
        <f t="shared" ref="U72:U112" si="28">B72</f>
        <v>A30D</v>
      </c>
      <c r="V72" s="448" t="str">
        <f t="shared" ref="V72:V112" si="29">IF(MID(B72,4,1)="A","0",(IF(OR(MID(B72,4,1)="B",MID(B72,4,1)="C"),(IF(ISBLANK(J72),"0",J72)),"0")))</f>
        <v>0</v>
      </c>
      <c r="W72" s="448" t="str">
        <f t="shared" si="25"/>
        <v>0</v>
      </c>
      <c r="X72" s="448" t="str">
        <f t="shared" ref="X72:X112" si="30">IF(MID(B72,4,1)="D",(IF(ISBLANK(N72),"-",MID(P72,1,3))),"-")</f>
        <v>-</v>
      </c>
      <c r="Y72" s="448" t="str">
        <f t="shared" ref="Y72:Y112" si="31">IF(MID(B72,4,1)="D",(IF(ISBLANK(N72),"-",MID(Q72,1,3))),"-")</f>
        <v>-</v>
      </c>
      <c r="Z72" s="448" t="str">
        <f t="shared" ref="Z72:Z112" si="32">IF(MID(B72,4,1)="D",(IF(ISBLANK(N72),"-",MID(R72,1,3))),"-")</f>
        <v>-</v>
      </c>
      <c r="AA72" s="448"/>
      <c r="AB72" s="449" t="str">
        <f>IF(ISBLANK(N72),"",IF((N72&lt;=Dasha!$B$10),0,VLOOKUP(N72,Dasha!$B$10:$L$827,11)))</f>
        <v/>
      </c>
      <c r="AC72" s="449" t="str">
        <f t="shared" si="26"/>
        <v/>
      </c>
    </row>
    <row r="73" spans="1:29" s="13" customFormat="1">
      <c r="A73" s="340">
        <f t="shared" si="7"/>
        <v>67</v>
      </c>
      <c r="B73" s="143" t="s">
        <v>514</v>
      </c>
      <c r="C73" s="111" t="s">
        <v>441</v>
      </c>
      <c r="D73" s="169"/>
      <c r="E73" s="126" t="s">
        <v>372</v>
      </c>
      <c r="F73" s="126"/>
      <c r="G73" s="126"/>
      <c r="H73" s="348" t="s">
        <v>392</v>
      </c>
      <c r="I73" s="419" t="str">
        <f t="shared" si="21"/>
        <v/>
      </c>
      <c r="J73" s="349"/>
      <c r="K73" s="111" t="str">
        <f t="shared" si="22"/>
        <v/>
      </c>
      <c r="L73" s="349"/>
      <c r="M73" s="111" t="str">
        <f t="shared" si="23"/>
        <v>date?</v>
      </c>
      <c r="N73" s="350"/>
      <c r="O73" s="341" t="str">
        <f t="shared" si="27"/>
        <v/>
      </c>
      <c r="P73" s="337" t="str">
        <f>IF(ISBLANK(N73),"",VLOOKUP(AC73,Dasha!$A$10:$L$827,4))</f>
        <v/>
      </c>
      <c r="Q73" s="337" t="str">
        <f>IF(ISBLANK(N73),"",VLOOKUP(AC73,Dasha!$A$10:$L$827,6))</f>
        <v/>
      </c>
      <c r="R73" s="337" t="str">
        <f>IF(ISBLANK(N73),"",VLOOKUP(AC73,Dasha!$A$10:$L$827,8))</f>
        <v/>
      </c>
      <c r="S73" s="337" t="str">
        <f t="shared" si="20"/>
        <v/>
      </c>
      <c r="T73" s="450" t="str">
        <f t="shared" si="24"/>
        <v/>
      </c>
      <c r="U73" s="448" t="str">
        <f t="shared" si="28"/>
        <v>A40D</v>
      </c>
      <c r="V73" s="448" t="str">
        <f t="shared" si="29"/>
        <v>0</v>
      </c>
      <c r="W73" s="448" t="str">
        <f t="shared" si="25"/>
        <v>0</v>
      </c>
      <c r="X73" s="448" t="str">
        <f t="shared" si="30"/>
        <v>-</v>
      </c>
      <c r="Y73" s="448" t="str">
        <f t="shared" si="31"/>
        <v>-</v>
      </c>
      <c r="Z73" s="448" t="str">
        <f t="shared" si="32"/>
        <v>-</v>
      </c>
      <c r="AA73" s="448"/>
      <c r="AB73" s="449" t="str">
        <f>IF(ISBLANK(N73),"",IF((N73&lt;=Dasha!$B$10),0,VLOOKUP(N73,Dasha!$B$10:$L$827,11)))</f>
        <v/>
      </c>
      <c r="AC73" s="449" t="str">
        <f t="shared" si="26"/>
        <v/>
      </c>
    </row>
    <row r="74" spans="1:29" s="13" customFormat="1">
      <c r="A74" s="340">
        <f t="shared" si="7"/>
        <v>68</v>
      </c>
      <c r="B74" s="143" t="s">
        <v>515</v>
      </c>
      <c r="C74" s="111" t="s">
        <v>441</v>
      </c>
      <c r="D74" s="169"/>
      <c r="E74" s="126" t="s">
        <v>359</v>
      </c>
      <c r="F74" s="126"/>
      <c r="G74" s="126"/>
      <c r="H74" s="348" t="s">
        <v>392</v>
      </c>
      <c r="I74" s="419" t="str">
        <f t="shared" si="21"/>
        <v/>
      </c>
      <c r="J74" s="349"/>
      <c r="K74" s="111" t="str">
        <f t="shared" si="22"/>
        <v/>
      </c>
      <c r="L74" s="349"/>
      <c r="M74" s="111" t="str">
        <f t="shared" si="23"/>
        <v>date?</v>
      </c>
      <c r="N74" s="350"/>
      <c r="O74" s="341" t="str">
        <f t="shared" si="27"/>
        <v/>
      </c>
      <c r="P74" s="337" t="str">
        <f>IF(ISBLANK(N74),"",VLOOKUP(AC74,Dasha!$A$10:$L$827,4))</f>
        <v/>
      </c>
      <c r="Q74" s="337" t="str">
        <f>IF(ISBLANK(N74),"",VLOOKUP(AC74,Dasha!$A$10:$L$827,6))</f>
        <v/>
      </c>
      <c r="R74" s="337" t="str">
        <f>IF(ISBLANK(N74),"",VLOOKUP(AC74,Dasha!$A$10:$L$827,8))</f>
        <v/>
      </c>
      <c r="S74" s="337" t="str">
        <f t="shared" si="20"/>
        <v/>
      </c>
      <c r="T74" s="450" t="str">
        <f t="shared" si="24"/>
        <v/>
      </c>
      <c r="U74" s="448" t="str">
        <f t="shared" si="28"/>
        <v>A50D</v>
      </c>
      <c r="V74" s="448" t="str">
        <f t="shared" si="29"/>
        <v>0</v>
      </c>
      <c r="W74" s="448" t="str">
        <f t="shared" si="25"/>
        <v>0</v>
      </c>
      <c r="X74" s="448" t="str">
        <f t="shared" si="30"/>
        <v>-</v>
      </c>
      <c r="Y74" s="448" t="str">
        <f t="shared" si="31"/>
        <v>-</v>
      </c>
      <c r="Z74" s="448" t="str">
        <f t="shared" si="32"/>
        <v>-</v>
      </c>
      <c r="AA74" s="448"/>
      <c r="AB74" s="449" t="str">
        <f>IF(ISBLANK(N74),"",IF((N74&lt;=Dasha!$B$10),0,VLOOKUP(N74,Dasha!$B$10:$L$827,11)))</f>
        <v/>
      </c>
      <c r="AC74" s="449" t="str">
        <f t="shared" si="26"/>
        <v/>
      </c>
    </row>
    <row r="75" spans="1:29" s="13" customFormat="1">
      <c r="A75" s="340">
        <f t="shared" si="7"/>
        <v>69</v>
      </c>
      <c r="B75" s="143" t="s">
        <v>516</v>
      </c>
      <c r="C75" s="111" t="s">
        <v>441</v>
      </c>
      <c r="D75" s="169"/>
      <c r="E75" s="126" t="s">
        <v>360</v>
      </c>
      <c r="F75" s="126"/>
      <c r="G75" s="126"/>
      <c r="H75" s="348" t="s">
        <v>392</v>
      </c>
      <c r="I75" s="419" t="str">
        <f t="shared" si="21"/>
        <v/>
      </c>
      <c r="J75" s="349"/>
      <c r="K75" s="111" t="str">
        <f t="shared" si="22"/>
        <v/>
      </c>
      <c r="L75" s="349"/>
      <c r="M75" s="111" t="str">
        <f t="shared" si="23"/>
        <v>date?</v>
      </c>
      <c r="N75" s="350"/>
      <c r="O75" s="341" t="str">
        <f t="shared" si="27"/>
        <v/>
      </c>
      <c r="P75" s="337" t="str">
        <f>IF(ISBLANK(N75),"",VLOOKUP(AC75,Dasha!$A$10:$L$827,4))</f>
        <v/>
      </c>
      <c r="Q75" s="337" t="str">
        <f>IF(ISBLANK(N75),"",VLOOKUP(AC75,Dasha!$A$10:$L$827,6))</f>
        <v/>
      </c>
      <c r="R75" s="337" t="str">
        <f>IF(ISBLANK(N75),"",VLOOKUP(AC75,Dasha!$A$10:$L$827,8))</f>
        <v/>
      </c>
      <c r="S75" s="337" t="str">
        <f t="shared" si="20"/>
        <v/>
      </c>
      <c r="T75" s="450" t="str">
        <f t="shared" si="24"/>
        <v/>
      </c>
      <c r="U75" s="448" t="str">
        <f t="shared" si="28"/>
        <v>A60D</v>
      </c>
      <c r="V75" s="448" t="str">
        <f t="shared" si="29"/>
        <v>0</v>
      </c>
      <c r="W75" s="448" t="str">
        <f t="shared" si="25"/>
        <v>0</v>
      </c>
      <c r="X75" s="448" t="str">
        <f t="shared" si="30"/>
        <v>-</v>
      </c>
      <c r="Y75" s="448" t="str">
        <f t="shared" si="31"/>
        <v>-</v>
      </c>
      <c r="Z75" s="448" t="str">
        <f t="shared" si="32"/>
        <v>-</v>
      </c>
      <c r="AA75" s="448"/>
      <c r="AB75" s="449" t="str">
        <f>IF(ISBLANK(N75),"",IF((N75&lt;=Dasha!$B$10),0,VLOOKUP(N75,Dasha!$B$10:$L$827,11)))</f>
        <v/>
      </c>
      <c r="AC75" s="449" t="str">
        <f t="shared" si="26"/>
        <v/>
      </c>
    </row>
    <row r="76" spans="1:29" s="13" customFormat="1">
      <c r="A76" s="340">
        <f t="shared" si="7"/>
        <v>70</v>
      </c>
      <c r="B76" s="143" t="s">
        <v>517</v>
      </c>
      <c r="C76" s="111" t="s">
        <v>441</v>
      </c>
      <c r="D76" s="169"/>
      <c r="E76" s="126" t="s">
        <v>442</v>
      </c>
      <c r="F76" s="126"/>
      <c r="G76" s="126"/>
      <c r="H76" s="348" t="s">
        <v>392</v>
      </c>
      <c r="I76" s="419" t="str">
        <f t="shared" si="21"/>
        <v/>
      </c>
      <c r="J76" s="349"/>
      <c r="K76" s="111" t="str">
        <f t="shared" si="22"/>
        <v/>
      </c>
      <c r="L76" s="349"/>
      <c r="M76" s="111" t="str">
        <f t="shared" si="23"/>
        <v>date?</v>
      </c>
      <c r="N76" s="350"/>
      <c r="O76" s="341" t="str">
        <f t="shared" si="27"/>
        <v/>
      </c>
      <c r="P76" s="337" t="str">
        <f>IF(ISBLANK(N76),"",VLOOKUP(AC76,Dasha!$A$10:$L$827,4))</f>
        <v/>
      </c>
      <c r="Q76" s="337" t="str">
        <f>IF(ISBLANK(N76),"",VLOOKUP(AC76,Dasha!$A$10:$L$827,6))</f>
        <v/>
      </c>
      <c r="R76" s="337" t="str">
        <f>IF(ISBLANK(N76),"",VLOOKUP(AC76,Dasha!$A$10:$L$827,8))</f>
        <v/>
      </c>
      <c r="S76" s="337" t="str">
        <f t="shared" ref="S76:S112" si="33">IF(ISBLANK(N76),"",FLOOR(YEARFRAC(N76,$H$4,1),1))</f>
        <v/>
      </c>
      <c r="T76" s="450" t="str">
        <f t="shared" si="24"/>
        <v/>
      </c>
      <c r="U76" s="448" t="str">
        <f t="shared" si="28"/>
        <v>A70D</v>
      </c>
      <c r="V76" s="448" t="str">
        <f t="shared" si="29"/>
        <v>0</v>
      </c>
      <c r="W76" s="448" t="str">
        <f t="shared" si="25"/>
        <v>0</v>
      </c>
      <c r="X76" s="448" t="str">
        <f t="shared" si="30"/>
        <v>-</v>
      </c>
      <c r="Y76" s="448" t="str">
        <f t="shared" si="31"/>
        <v>-</v>
      </c>
      <c r="Z76" s="448" t="str">
        <f t="shared" si="32"/>
        <v>-</v>
      </c>
      <c r="AA76" s="448"/>
      <c r="AB76" s="449" t="str">
        <f>IF(ISBLANK(N76),"",IF((N76&lt;=Dasha!$B$10),0,VLOOKUP(N76,Dasha!$B$10:$L$827,11)))</f>
        <v/>
      </c>
      <c r="AC76" s="449" t="str">
        <f t="shared" si="26"/>
        <v/>
      </c>
    </row>
    <row r="77" spans="1:29" s="13" customFormat="1">
      <c r="A77" s="340">
        <f t="shared" ref="A77:A112" si="34">ROW()-ROW($A$7)+1</f>
        <v>71</v>
      </c>
      <c r="B77" s="143" t="s">
        <v>518</v>
      </c>
      <c r="C77" s="111" t="s">
        <v>443</v>
      </c>
      <c r="D77" s="169"/>
      <c r="E77" s="126" t="s">
        <v>379</v>
      </c>
      <c r="F77" s="126"/>
      <c r="G77" s="126"/>
      <c r="H77" s="348" t="s">
        <v>392</v>
      </c>
      <c r="I77" s="419" t="str">
        <f t="shared" si="21"/>
        <v xml:space="preserve">X = </v>
      </c>
      <c r="J77" s="349"/>
      <c r="K77" s="111" t="str">
        <f t="shared" si="22"/>
        <v/>
      </c>
      <c r="L77" s="349"/>
      <c r="M77" s="111" t="str">
        <f t="shared" si="23"/>
        <v/>
      </c>
      <c r="N77" s="350"/>
      <c r="O77" s="341" t="str">
        <f t="shared" si="27"/>
        <v>no data</v>
      </c>
      <c r="P77" s="337" t="str">
        <f>IF(ISBLANK(N77),"",VLOOKUP(AC77,Dasha!$A$10:$L$827,4))</f>
        <v/>
      </c>
      <c r="Q77" s="337" t="str">
        <f>IF(ISBLANK(N77),"",VLOOKUP(AC77,Dasha!$A$10:$L$827,6))</f>
        <v/>
      </c>
      <c r="R77" s="337" t="str">
        <f>IF(ISBLANK(N77),"",VLOOKUP(AC77,Dasha!$A$10:$L$827,8))</f>
        <v/>
      </c>
      <c r="S77" s="337" t="str">
        <f t="shared" si="33"/>
        <v/>
      </c>
      <c r="T77" s="450" t="str">
        <f t="shared" si="24"/>
        <v/>
      </c>
      <c r="U77" s="448" t="str">
        <f t="shared" si="28"/>
        <v>B10B</v>
      </c>
      <c r="V77" s="448" t="str">
        <f t="shared" si="29"/>
        <v>0</v>
      </c>
      <c r="W77" s="448" t="str">
        <f t="shared" si="25"/>
        <v>0</v>
      </c>
      <c r="X77" s="448" t="str">
        <f t="shared" si="30"/>
        <v>-</v>
      </c>
      <c r="Y77" s="448" t="str">
        <f t="shared" si="31"/>
        <v>-</v>
      </c>
      <c r="Z77" s="448" t="str">
        <f t="shared" si="32"/>
        <v>-</v>
      </c>
      <c r="AA77" s="448"/>
      <c r="AB77" s="449" t="str">
        <f>IF(ISBLANK(N77),"",IF((N77&lt;=Dasha!$B$10),0,VLOOKUP(N77,Dasha!$B$10:$L$827,11)))</f>
        <v/>
      </c>
      <c r="AC77" s="449" t="str">
        <f t="shared" si="26"/>
        <v/>
      </c>
    </row>
    <row r="78" spans="1:29" s="13" customFormat="1">
      <c r="A78" s="340">
        <f t="shared" si="34"/>
        <v>72</v>
      </c>
      <c r="B78" s="143" t="s">
        <v>519</v>
      </c>
      <c r="C78" s="111" t="s">
        <v>443</v>
      </c>
      <c r="D78" s="169"/>
      <c r="E78" s="126" t="s">
        <v>361</v>
      </c>
      <c r="F78" s="126"/>
      <c r="G78" s="126"/>
      <c r="H78" s="348" t="s">
        <v>392</v>
      </c>
      <c r="I78" s="419" t="str">
        <f t="shared" si="21"/>
        <v/>
      </c>
      <c r="J78" s="349"/>
      <c r="K78" s="111" t="str">
        <f t="shared" si="22"/>
        <v/>
      </c>
      <c r="L78" s="349"/>
      <c r="M78" s="111" t="str">
        <f t="shared" si="23"/>
        <v>date?</v>
      </c>
      <c r="N78" s="350"/>
      <c r="O78" s="341" t="str">
        <f t="shared" si="27"/>
        <v/>
      </c>
      <c r="P78" s="337" t="str">
        <f>IF(ISBLANK(N78),"",VLOOKUP(AC78,Dasha!$A$10:$L$827,4))</f>
        <v/>
      </c>
      <c r="Q78" s="337" t="str">
        <f>IF(ISBLANK(N78),"",VLOOKUP(AC78,Dasha!$A$10:$L$827,6))</f>
        <v/>
      </c>
      <c r="R78" s="337" t="str">
        <f>IF(ISBLANK(N78),"",VLOOKUP(AC78,Dasha!$A$10:$L$827,8))</f>
        <v/>
      </c>
      <c r="S78" s="337" t="str">
        <f t="shared" si="33"/>
        <v/>
      </c>
      <c r="T78" s="450" t="str">
        <f t="shared" si="24"/>
        <v/>
      </c>
      <c r="U78" s="448" t="str">
        <f t="shared" si="28"/>
        <v>B20D</v>
      </c>
      <c r="V78" s="448" t="str">
        <f t="shared" si="29"/>
        <v>0</v>
      </c>
      <c r="W78" s="448" t="str">
        <f t="shared" si="25"/>
        <v>0</v>
      </c>
      <c r="X78" s="448" t="str">
        <f t="shared" si="30"/>
        <v>-</v>
      </c>
      <c r="Y78" s="448" t="str">
        <f t="shared" si="31"/>
        <v>-</v>
      </c>
      <c r="Z78" s="448" t="str">
        <f t="shared" si="32"/>
        <v>-</v>
      </c>
      <c r="AA78" s="448"/>
      <c r="AB78" s="449" t="str">
        <f>IF(ISBLANK(N78),"",IF((N78&lt;=Dasha!$B$10),0,VLOOKUP(N78,Dasha!$B$10:$L$827,11)))</f>
        <v/>
      </c>
      <c r="AC78" s="449" t="str">
        <f t="shared" si="26"/>
        <v/>
      </c>
    </row>
    <row r="79" spans="1:29" s="13" customFormat="1">
      <c r="A79" s="340">
        <f t="shared" si="34"/>
        <v>73</v>
      </c>
      <c r="B79" s="143" t="s">
        <v>520</v>
      </c>
      <c r="C79" s="111" t="s">
        <v>443</v>
      </c>
      <c r="D79" s="169"/>
      <c r="E79" s="126" t="s">
        <v>376</v>
      </c>
      <c r="F79" s="126"/>
      <c r="G79" s="126"/>
      <c r="H79" s="348" t="s">
        <v>392</v>
      </c>
      <c r="I79" s="419" t="str">
        <f t="shared" si="21"/>
        <v/>
      </c>
      <c r="J79" s="349"/>
      <c r="K79" s="111" t="str">
        <f t="shared" si="22"/>
        <v/>
      </c>
      <c r="L79" s="349"/>
      <c r="M79" s="111" t="str">
        <f t="shared" si="23"/>
        <v>date?</v>
      </c>
      <c r="N79" s="350"/>
      <c r="O79" s="341" t="str">
        <f t="shared" si="27"/>
        <v/>
      </c>
      <c r="P79" s="337" t="str">
        <f>IF(ISBLANK(N79),"",VLOOKUP(AC79,Dasha!$A$10:$L$827,4))</f>
        <v/>
      </c>
      <c r="Q79" s="337" t="str">
        <f>IF(ISBLANK(N79),"",VLOOKUP(AC79,Dasha!$A$10:$L$827,6))</f>
        <v/>
      </c>
      <c r="R79" s="337" t="str">
        <f>IF(ISBLANK(N79),"",VLOOKUP(AC79,Dasha!$A$10:$L$827,8))</f>
        <v/>
      </c>
      <c r="S79" s="337" t="str">
        <f t="shared" si="33"/>
        <v/>
      </c>
      <c r="T79" s="450" t="str">
        <f t="shared" si="24"/>
        <v/>
      </c>
      <c r="U79" s="448" t="str">
        <f t="shared" si="28"/>
        <v>B30D</v>
      </c>
      <c r="V79" s="448" t="str">
        <f t="shared" si="29"/>
        <v>0</v>
      </c>
      <c r="W79" s="448" t="str">
        <f t="shared" si="25"/>
        <v>0</v>
      </c>
      <c r="X79" s="448" t="str">
        <f t="shared" si="30"/>
        <v>-</v>
      </c>
      <c r="Y79" s="448" t="str">
        <f t="shared" si="31"/>
        <v>-</v>
      </c>
      <c r="Z79" s="448" t="str">
        <f t="shared" si="32"/>
        <v>-</v>
      </c>
      <c r="AA79" s="448"/>
      <c r="AB79" s="449" t="str">
        <f>IF(ISBLANK(N79),"",IF((N79&lt;=Dasha!$B$10),0,VLOOKUP(N79,Dasha!$B$10:$L$827,11)))</f>
        <v/>
      </c>
      <c r="AC79" s="449" t="str">
        <f t="shared" si="26"/>
        <v/>
      </c>
    </row>
    <row r="80" spans="1:29" s="13" customFormat="1">
      <c r="A80" s="340">
        <f t="shared" si="34"/>
        <v>74</v>
      </c>
      <c r="B80" s="143" t="s">
        <v>521</v>
      </c>
      <c r="C80" s="111" t="s">
        <v>443</v>
      </c>
      <c r="D80" s="169"/>
      <c r="E80" s="126" t="s">
        <v>362</v>
      </c>
      <c r="F80" s="126"/>
      <c r="G80" s="126"/>
      <c r="H80" s="348" t="s">
        <v>392</v>
      </c>
      <c r="I80" s="419" t="str">
        <f t="shared" si="21"/>
        <v/>
      </c>
      <c r="J80" s="349"/>
      <c r="K80" s="111" t="str">
        <f t="shared" si="22"/>
        <v/>
      </c>
      <c r="L80" s="349"/>
      <c r="M80" s="111" t="str">
        <f t="shared" si="23"/>
        <v>date?</v>
      </c>
      <c r="N80" s="350"/>
      <c r="O80" s="341" t="str">
        <f t="shared" si="27"/>
        <v/>
      </c>
      <c r="P80" s="337" t="str">
        <f>IF(ISBLANK(N80),"",VLOOKUP(AC80,Dasha!$A$10:$L$827,4))</f>
        <v/>
      </c>
      <c r="Q80" s="337" t="str">
        <f>IF(ISBLANK(N80),"",VLOOKUP(AC80,Dasha!$A$10:$L$827,6))</f>
        <v/>
      </c>
      <c r="R80" s="337" t="str">
        <f>IF(ISBLANK(N80),"",VLOOKUP(AC80,Dasha!$A$10:$L$827,8))</f>
        <v/>
      </c>
      <c r="S80" s="337" t="str">
        <f t="shared" si="33"/>
        <v/>
      </c>
      <c r="T80" s="450" t="str">
        <f t="shared" si="24"/>
        <v/>
      </c>
      <c r="U80" s="448" t="str">
        <f t="shared" si="28"/>
        <v>B40D</v>
      </c>
      <c r="V80" s="448" t="str">
        <f t="shared" si="29"/>
        <v>0</v>
      </c>
      <c r="W80" s="448" t="str">
        <f t="shared" si="25"/>
        <v>0</v>
      </c>
      <c r="X80" s="448" t="str">
        <f t="shared" si="30"/>
        <v>-</v>
      </c>
      <c r="Y80" s="448" t="str">
        <f t="shared" si="31"/>
        <v>-</v>
      </c>
      <c r="Z80" s="448" t="str">
        <f t="shared" si="32"/>
        <v>-</v>
      </c>
      <c r="AA80" s="448"/>
      <c r="AB80" s="449" t="str">
        <f>IF(ISBLANK(N80),"",IF((N80&lt;=Dasha!$B$10),0,VLOOKUP(N80,Dasha!$B$10:$L$827,11)))</f>
        <v/>
      </c>
      <c r="AC80" s="449" t="str">
        <f t="shared" si="26"/>
        <v/>
      </c>
    </row>
    <row r="81" spans="1:29" s="13" customFormat="1">
      <c r="A81" s="340">
        <f t="shared" si="34"/>
        <v>75</v>
      </c>
      <c r="B81" s="143" t="s">
        <v>522</v>
      </c>
      <c r="C81" s="111" t="s">
        <v>443</v>
      </c>
      <c r="D81" s="169"/>
      <c r="E81" s="126" t="s">
        <v>363</v>
      </c>
      <c r="F81" s="126"/>
      <c r="G81" s="126"/>
      <c r="H81" s="348" t="s">
        <v>392</v>
      </c>
      <c r="I81" s="419" t="str">
        <f t="shared" si="21"/>
        <v/>
      </c>
      <c r="J81" s="349"/>
      <c r="K81" s="111" t="str">
        <f t="shared" si="22"/>
        <v/>
      </c>
      <c r="L81" s="349"/>
      <c r="M81" s="111" t="str">
        <f t="shared" si="23"/>
        <v>date?</v>
      </c>
      <c r="N81" s="350"/>
      <c r="O81" s="341" t="str">
        <f t="shared" si="27"/>
        <v/>
      </c>
      <c r="P81" s="337" t="str">
        <f>IF(ISBLANK(N81),"",VLOOKUP(AC81,Dasha!$A$10:$L$827,4))</f>
        <v/>
      </c>
      <c r="Q81" s="337" t="str">
        <f>IF(ISBLANK(N81),"",VLOOKUP(AC81,Dasha!$A$10:$L$827,6))</f>
        <v/>
      </c>
      <c r="R81" s="337" t="str">
        <f>IF(ISBLANK(N81),"",VLOOKUP(AC81,Dasha!$A$10:$L$827,8))</f>
        <v/>
      </c>
      <c r="S81" s="337" t="str">
        <f t="shared" si="33"/>
        <v/>
      </c>
      <c r="T81" s="450" t="str">
        <f t="shared" si="24"/>
        <v/>
      </c>
      <c r="U81" s="448" t="str">
        <f t="shared" si="28"/>
        <v>B50D</v>
      </c>
      <c r="V81" s="448" t="str">
        <f t="shared" si="29"/>
        <v>0</v>
      </c>
      <c r="W81" s="448" t="str">
        <f t="shared" si="25"/>
        <v>0</v>
      </c>
      <c r="X81" s="448" t="str">
        <f t="shared" si="30"/>
        <v>-</v>
      </c>
      <c r="Y81" s="448" t="str">
        <f t="shared" si="31"/>
        <v>-</v>
      </c>
      <c r="Z81" s="448" t="str">
        <f t="shared" si="32"/>
        <v>-</v>
      </c>
      <c r="AA81" s="448"/>
      <c r="AB81" s="449" t="str">
        <f>IF(ISBLANK(N81),"",IF((N81&lt;=Dasha!$B$10),0,VLOOKUP(N81,Dasha!$B$10:$L$827,11)))</f>
        <v/>
      </c>
      <c r="AC81" s="449" t="str">
        <f t="shared" si="26"/>
        <v/>
      </c>
    </row>
    <row r="82" spans="1:29" s="13" customFormat="1">
      <c r="A82" s="340">
        <f t="shared" si="34"/>
        <v>76</v>
      </c>
      <c r="B82" s="143" t="s">
        <v>523</v>
      </c>
      <c r="C82" s="111" t="s">
        <v>443</v>
      </c>
      <c r="D82" s="169"/>
      <c r="E82" s="126" t="s">
        <v>364</v>
      </c>
      <c r="F82" s="126"/>
      <c r="G82" s="126"/>
      <c r="H82" s="348" t="s">
        <v>392</v>
      </c>
      <c r="I82" s="419" t="str">
        <f t="shared" si="21"/>
        <v/>
      </c>
      <c r="J82" s="349"/>
      <c r="K82" s="111" t="str">
        <f t="shared" si="22"/>
        <v/>
      </c>
      <c r="L82" s="349"/>
      <c r="M82" s="111" t="str">
        <f t="shared" si="23"/>
        <v>date?</v>
      </c>
      <c r="N82" s="350"/>
      <c r="O82" s="341" t="str">
        <f t="shared" si="27"/>
        <v/>
      </c>
      <c r="P82" s="337" t="str">
        <f>IF(ISBLANK(N82),"",VLOOKUP(AC82,Dasha!$A$10:$L$827,4))</f>
        <v/>
      </c>
      <c r="Q82" s="337" t="str">
        <f>IF(ISBLANK(N82),"",VLOOKUP(AC82,Dasha!$A$10:$L$827,6))</f>
        <v/>
      </c>
      <c r="R82" s="337" t="str">
        <f>IF(ISBLANK(N82),"",VLOOKUP(AC82,Dasha!$A$10:$L$827,8))</f>
        <v/>
      </c>
      <c r="S82" s="337" t="str">
        <f t="shared" si="33"/>
        <v/>
      </c>
      <c r="T82" s="450" t="str">
        <f t="shared" si="24"/>
        <v/>
      </c>
      <c r="U82" s="448" t="str">
        <f t="shared" si="28"/>
        <v>B60D</v>
      </c>
      <c r="V82" s="448" t="str">
        <f t="shared" si="29"/>
        <v>0</v>
      </c>
      <c r="W82" s="448" t="str">
        <f t="shared" si="25"/>
        <v>0</v>
      </c>
      <c r="X82" s="448" t="str">
        <f t="shared" si="30"/>
        <v>-</v>
      </c>
      <c r="Y82" s="448" t="str">
        <f t="shared" si="31"/>
        <v>-</v>
      </c>
      <c r="Z82" s="448" t="str">
        <f t="shared" si="32"/>
        <v>-</v>
      </c>
      <c r="AA82" s="448"/>
      <c r="AB82" s="449" t="str">
        <f>IF(ISBLANK(N82),"",IF((N82&lt;=Dasha!$B$10),0,VLOOKUP(N82,Dasha!$B$10:$L$827,11)))</f>
        <v/>
      </c>
      <c r="AC82" s="449" t="str">
        <f t="shared" si="26"/>
        <v/>
      </c>
    </row>
    <row r="83" spans="1:29" s="13" customFormat="1">
      <c r="A83" s="340">
        <f t="shared" si="34"/>
        <v>77</v>
      </c>
      <c r="B83" s="143" t="s">
        <v>524</v>
      </c>
      <c r="C83" s="111" t="s">
        <v>376</v>
      </c>
      <c r="D83" s="169"/>
      <c r="E83" s="126" t="s">
        <v>365</v>
      </c>
      <c r="F83" s="126"/>
      <c r="G83" s="126"/>
      <c r="H83" s="348" t="s">
        <v>392</v>
      </c>
      <c r="I83" s="419" t="str">
        <f t="shared" si="21"/>
        <v/>
      </c>
      <c r="J83" s="349"/>
      <c r="K83" s="111" t="str">
        <f t="shared" si="22"/>
        <v/>
      </c>
      <c r="L83" s="349"/>
      <c r="M83" s="111" t="str">
        <f t="shared" si="23"/>
        <v>date?</v>
      </c>
      <c r="N83" s="350"/>
      <c r="O83" s="341" t="str">
        <f t="shared" si="27"/>
        <v/>
      </c>
      <c r="P83" s="337" t="str">
        <f>IF(ISBLANK(N83),"",VLOOKUP(AC83,Dasha!$A$10:$L$827,4))</f>
        <v/>
      </c>
      <c r="Q83" s="337" t="str">
        <f>IF(ISBLANK(N83),"",VLOOKUP(AC83,Dasha!$A$10:$L$827,6))</f>
        <v/>
      </c>
      <c r="R83" s="337" t="str">
        <f>IF(ISBLANK(N83),"",VLOOKUP(AC83,Dasha!$A$10:$L$827,8))</f>
        <v/>
      </c>
      <c r="S83" s="337" t="str">
        <f t="shared" si="33"/>
        <v/>
      </c>
      <c r="T83" s="450" t="str">
        <f t="shared" si="24"/>
        <v/>
      </c>
      <c r="U83" s="448" t="str">
        <f t="shared" si="28"/>
        <v>C10D</v>
      </c>
      <c r="V83" s="448" t="str">
        <f t="shared" si="29"/>
        <v>0</v>
      </c>
      <c r="W83" s="448" t="str">
        <f t="shared" si="25"/>
        <v>0</v>
      </c>
      <c r="X83" s="448" t="str">
        <f t="shared" si="30"/>
        <v>-</v>
      </c>
      <c r="Y83" s="448" t="str">
        <f t="shared" si="31"/>
        <v>-</v>
      </c>
      <c r="Z83" s="448" t="str">
        <f t="shared" si="32"/>
        <v>-</v>
      </c>
      <c r="AA83" s="448"/>
      <c r="AB83" s="449" t="str">
        <f>IF(ISBLANK(N83),"",IF((N83&lt;=Dasha!$B$10),0,VLOOKUP(N83,Dasha!$B$10:$L$827,11)))</f>
        <v/>
      </c>
      <c r="AC83" s="449" t="str">
        <f t="shared" si="26"/>
        <v/>
      </c>
    </row>
    <row r="84" spans="1:29" s="13" customFormat="1">
      <c r="A84" s="340">
        <f t="shared" si="34"/>
        <v>78</v>
      </c>
      <c r="B84" s="143" t="s">
        <v>525</v>
      </c>
      <c r="C84" s="111" t="s">
        <v>376</v>
      </c>
      <c r="D84" s="169"/>
      <c r="E84" s="126" t="s">
        <v>366</v>
      </c>
      <c r="F84" s="126"/>
      <c r="G84" s="126"/>
      <c r="H84" s="348" t="s">
        <v>392</v>
      </c>
      <c r="I84" s="419" t="str">
        <f t="shared" si="21"/>
        <v/>
      </c>
      <c r="J84" s="349"/>
      <c r="K84" s="111" t="str">
        <f t="shared" si="22"/>
        <v/>
      </c>
      <c r="L84" s="349"/>
      <c r="M84" s="111" t="str">
        <f t="shared" si="23"/>
        <v>date?</v>
      </c>
      <c r="N84" s="350"/>
      <c r="O84" s="341" t="str">
        <f t="shared" si="27"/>
        <v/>
      </c>
      <c r="P84" s="337" t="str">
        <f>IF(ISBLANK(N84),"",VLOOKUP(AC84,Dasha!$A$10:$L$827,4))</f>
        <v/>
      </c>
      <c r="Q84" s="337" t="str">
        <f>IF(ISBLANK(N84),"",VLOOKUP(AC84,Dasha!$A$10:$L$827,6))</f>
        <v/>
      </c>
      <c r="R84" s="337" t="str">
        <f>IF(ISBLANK(N84),"",VLOOKUP(AC84,Dasha!$A$10:$L$827,8))</f>
        <v/>
      </c>
      <c r="S84" s="337" t="str">
        <f t="shared" si="33"/>
        <v/>
      </c>
      <c r="T84" s="450" t="str">
        <f t="shared" si="24"/>
        <v/>
      </c>
      <c r="U84" s="448" t="str">
        <f t="shared" si="28"/>
        <v>C20D</v>
      </c>
      <c r="V84" s="448" t="str">
        <f t="shared" si="29"/>
        <v>0</v>
      </c>
      <c r="W84" s="448" t="str">
        <f t="shared" si="25"/>
        <v>0</v>
      </c>
      <c r="X84" s="448" t="str">
        <f t="shared" si="30"/>
        <v>-</v>
      </c>
      <c r="Y84" s="448" t="str">
        <f t="shared" si="31"/>
        <v>-</v>
      </c>
      <c r="Z84" s="448" t="str">
        <f t="shared" si="32"/>
        <v>-</v>
      </c>
      <c r="AA84" s="448"/>
      <c r="AB84" s="449" t="str">
        <f>IF(ISBLANK(N84),"",IF((N84&lt;=Dasha!$B$10),0,VLOOKUP(N84,Dasha!$B$10:$L$827,11)))</f>
        <v/>
      </c>
      <c r="AC84" s="449" t="str">
        <f t="shared" si="26"/>
        <v/>
      </c>
    </row>
    <row r="85" spans="1:29" s="13" customFormat="1">
      <c r="A85" s="340">
        <f t="shared" si="34"/>
        <v>79</v>
      </c>
      <c r="B85" s="143" t="s">
        <v>526</v>
      </c>
      <c r="C85" s="111" t="s">
        <v>376</v>
      </c>
      <c r="D85" s="169"/>
      <c r="E85" s="126" t="s">
        <v>367</v>
      </c>
      <c r="F85" s="126"/>
      <c r="G85" s="126"/>
      <c r="H85" s="348" t="s">
        <v>392</v>
      </c>
      <c r="I85" s="419" t="str">
        <f t="shared" si="21"/>
        <v/>
      </c>
      <c r="J85" s="349"/>
      <c r="K85" s="111" t="str">
        <f t="shared" si="22"/>
        <v/>
      </c>
      <c r="L85" s="349"/>
      <c r="M85" s="111" t="str">
        <f t="shared" si="23"/>
        <v>date?</v>
      </c>
      <c r="N85" s="350"/>
      <c r="O85" s="341" t="str">
        <f t="shared" si="27"/>
        <v/>
      </c>
      <c r="P85" s="337" t="str">
        <f>IF(ISBLANK(N85),"",VLOOKUP(AC85,Dasha!$A$10:$L$827,4))</f>
        <v/>
      </c>
      <c r="Q85" s="337" t="str">
        <f>IF(ISBLANK(N85),"",VLOOKUP(AC85,Dasha!$A$10:$L$827,6))</f>
        <v/>
      </c>
      <c r="R85" s="337" t="str">
        <f>IF(ISBLANK(N85),"",VLOOKUP(AC85,Dasha!$A$10:$L$827,8))</f>
        <v/>
      </c>
      <c r="S85" s="337" t="str">
        <f t="shared" si="33"/>
        <v/>
      </c>
      <c r="T85" s="450" t="str">
        <f t="shared" si="24"/>
        <v/>
      </c>
      <c r="U85" s="448" t="str">
        <f t="shared" si="28"/>
        <v>C30D</v>
      </c>
      <c r="V85" s="448" t="str">
        <f t="shared" si="29"/>
        <v>0</v>
      </c>
      <c r="W85" s="448" t="str">
        <f t="shared" si="25"/>
        <v>0</v>
      </c>
      <c r="X85" s="448" t="str">
        <f t="shared" si="30"/>
        <v>-</v>
      </c>
      <c r="Y85" s="448" t="str">
        <f t="shared" si="31"/>
        <v>-</v>
      </c>
      <c r="Z85" s="448" t="str">
        <f t="shared" si="32"/>
        <v>-</v>
      </c>
      <c r="AA85" s="448"/>
      <c r="AB85" s="449" t="str">
        <f>IF(ISBLANK(N85),"",IF((N85&lt;=Dasha!$B$10),0,VLOOKUP(N85,Dasha!$B$10:$L$827,11)))</f>
        <v/>
      </c>
      <c r="AC85" s="449" t="str">
        <f t="shared" si="26"/>
        <v/>
      </c>
    </row>
    <row r="86" spans="1:29" s="13" customFormat="1">
      <c r="A86" s="340">
        <f t="shared" si="34"/>
        <v>80</v>
      </c>
      <c r="B86" s="143" t="s">
        <v>527</v>
      </c>
      <c r="C86" s="111" t="s">
        <v>376</v>
      </c>
      <c r="D86" s="169"/>
      <c r="E86" s="126" t="s">
        <v>368</v>
      </c>
      <c r="F86" s="126"/>
      <c r="G86" s="126"/>
      <c r="H86" s="348" t="s">
        <v>392</v>
      </c>
      <c r="I86" s="419" t="str">
        <f t="shared" si="21"/>
        <v/>
      </c>
      <c r="J86" s="349"/>
      <c r="K86" s="111" t="str">
        <f t="shared" si="22"/>
        <v/>
      </c>
      <c r="L86" s="349"/>
      <c r="M86" s="111" t="str">
        <f t="shared" si="23"/>
        <v>date?</v>
      </c>
      <c r="N86" s="350"/>
      <c r="O86" s="341" t="str">
        <f t="shared" si="27"/>
        <v/>
      </c>
      <c r="P86" s="337" t="str">
        <f>IF(ISBLANK(N86),"",VLOOKUP(AC86,Dasha!$A$10:$L$827,4))</f>
        <v/>
      </c>
      <c r="Q86" s="337" t="str">
        <f>IF(ISBLANK(N86),"",VLOOKUP(AC86,Dasha!$A$10:$L$827,6))</f>
        <v/>
      </c>
      <c r="R86" s="337" t="str">
        <f>IF(ISBLANK(N86),"",VLOOKUP(AC86,Dasha!$A$10:$L$827,8))</f>
        <v/>
      </c>
      <c r="S86" s="337" t="str">
        <f t="shared" si="33"/>
        <v/>
      </c>
      <c r="T86" s="450" t="str">
        <f t="shared" si="24"/>
        <v/>
      </c>
      <c r="U86" s="448" t="str">
        <f t="shared" si="28"/>
        <v>C40D</v>
      </c>
      <c r="V86" s="448" t="str">
        <f t="shared" si="29"/>
        <v>0</v>
      </c>
      <c r="W86" s="448" t="str">
        <f t="shared" si="25"/>
        <v>0</v>
      </c>
      <c r="X86" s="448" t="str">
        <f t="shared" si="30"/>
        <v>-</v>
      </c>
      <c r="Y86" s="448" t="str">
        <f t="shared" si="31"/>
        <v>-</v>
      </c>
      <c r="Z86" s="448" t="str">
        <f t="shared" si="32"/>
        <v>-</v>
      </c>
      <c r="AA86" s="448"/>
      <c r="AB86" s="449" t="str">
        <f>IF(ISBLANK(N86),"",IF((N86&lt;=Dasha!$B$10),0,VLOOKUP(N86,Dasha!$B$10:$L$827,11)))</f>
        <v/>
      </c>
      <c r="AC86" s="449" t="str">
        <f t="shared" si="26"/>
        <v/>
      </c>
    </row>
    <row r="87" spans="1:29" s="13" customFormat="1">
      <c r="A87" s="340">
        <f t="shared" si="34"/>
        <v>81</v>
      </c>
      <c r="B87" s="143" t="s">
        <v>528</v>
      </c>
      <c r="C87" s="111" t="s">
        <v>376</v>
      </c>
      <c r="D87" s="169"/>
      <c r="E87" s="126" t="s">
        <v>369</v>
      </c>
      <c r="F87" s="126"/>
      <c r="G87" s="126"/>
      <c r="H87" s="348" t="s">
        <v>392</v>
      </c>
      <c r="I87" s="419" t="str">
        <f t="shared" si="21"/>
        <v/>
      </c>
      <c r="J87" s="349"/>
      <c r="K87" s="111" t="str">
        <f t="shared" si="22"/>
        <v/>
      </c>
      <c r="L87" s="349"/>
      <c r="M87" s="111" t="str">
        <f t="shared" si="23"/>
        <v>date?</v>
      </c>
      <c r="N87" s="350"/>
      <c r="O87" s="341" t="str">
        <f t="shared" si="27"/>
        <v/>
      </c>
      <c r="P87" s="337" t="str">
        <f>IF(ISBLANK(N87),"",VLOOKUP(AC87,Dasha!$A$10:$L$827,4))</f>
        <v/>
      </c>
      <c r="Q87" s="337" t="str">
        <f>IF(ISBLANK(N87),"",VLOOKUP(AC87,Dasha!$A$10:$L$827,6))</f>
        <v/>
      </c>
      <c r="R87" s="337" t="str">
        <f>IF(ISBLANK(N87),"",VLOOKUP(AC87,Dasha!$A$10:$L$827,8))</f>
        <v/>
      </c>
      <c r="S87" s="337" t="str">
        <f t="shared" si="33"/>
        <v/>
      </c>
      <c r="T87" s="450" t="str">
        <f t="shared" si="24"/>
        <v/>
      </c>
      <c r="U87" s="448" t="str">
        <f t="shared" si="28"/>
        <v>C50D</v>
      </c>
      <c r="V87" s="448" t="str">
        <f t="shared" si="29"/>
        <v>0</v>
      </c>
      <c r="W87" s="448" t="str">
        <f t="shared" si="25"/>
        <v>0</v>
      </c>
      <c r="X87" s="448" t="str">
        <f t="shared" si="30"/>
        <v>-</v>
      </c>
      <c r="Y87" s="448" t="str">
        <f t="shared" si="31"/>
        <v>-</v>
      </c>
      <c r="Z87" s="448" t="str">
        <f t="shared" si="32"/>
        <v>-</v>
      </c>
      <c r="AA87" s="448"/>
      <c r="AB87" s="449" t="str">
        <f>IF(ISBLANK(N87),"",IF((N87&lt;=Dasha!$B$10),0,VLOOKUP(N87,Dasha!$B$10:$L$827,11)))</f>
        <v/>
      </c>
      <c r="AC87" s="449" t="str">
        <f t="shared" si="26"/>
        <v/>
      </c>
    </row>
    <row r="88" spans="1:29" s="13" customFormat="1">
      <c r="A88" s="340">
        <f t="shared" si="34"/>
        <v>82</v>
      </c>
      <c r="B88" s="143" t="s">
        <v>529</v>
      </c>
      <c r="C88" s="111" t="s">
        <v>376</v>
      </c>
      <c r="D88" s="169"/>
      <c r="E88" s="126" t="s">
        <v>370</v>
      </c>
      <c r="F88" s="126"/>
      <c r="G88" s="126"/>
      <c r="H88" s="348" t="s">
        <v>392</v>
      </c>
      <c r="I88" s="419" t="str">
        <f t="shared" si="21"/>
        <v/>
      </c>
      <c r="J88" s="349"/>
      <c r="K88" s="111" t="str">
        <f t="shared" si="22"/>
        <v/>
      </c>
      <c r="L88" s="349"/>
      <c r="M88" s="111" t="str">
        <f t="shared" si="23"/>
        <v>date?</v>
      </c>
      <c r="N88" s="350"/>
      <c r="O88" s="341" t="str">
        <f t="shared" si="27"/>
        <v/>
      </c>
      <c r="P88" s="337" t="str">
        <f>IF(ISBLANK(N88),"",VLOOKUP(AC88,Dasha!$A$10:$L$827,4))</f>
        <v/>
      </c>
      <c r="Q88" s="337" t="str">
        <f>IF(ISBLANK(N88),"",VLOOKUP(AC88,Dasha!$A$10:$L$827,6))</f>
        <v/>
      </c>
      <c r="R88" s="337" t="str">
        <f>IF(ISBLANK(N88),"",VLOOKUP(AC88,Dasha!$A$10:$L$827,8))</f>
        <v/>
      </c>
      <c r="S88" s="337" t="str">
        <f t="shared" si="33"/>
        <v/>
      </c>
      <c r="T88" s="450" t="str">
        <f t="shared" si="24"/>
        <v/>
      </c>
      <c r="U88" s="448" t="str">
        <f t="shared" si="28"/>
        <v>C60D</v>
      </c>
      <c r="V88" s="448" t="str">
        <f t="shared" si="29"/>
        <v>0</v>
      </c>
      <c r="W88" s="448" t="str">
        <f t="shared" si="25"/>
        <v>0</v>
      </c>
      <c r="X88" s="448" t="str">
        <f t="shared" si="30"/>
        <v>-</v>
      </c>
      <c r="Y88" s="448" t="str">
        <f t="shared" si="31"/>
        <v>-</v>
      </c>
      <c r="Z88" s="448" t="str">
        <f t="shared" si="32"/>
        <v>-</v>
      </c>
      <c r="AA88" s="448"/>
      <c r="AB88" s="449" t="str">
        <f>IF(ISBLANK(N88),"",IF((N88&lt;=Dasha!$B$10),0,VLOOKUP(N88,Dasha!$B$10:$L$827,11)))</f>
        <v/>
      </c>
      <c r="AC88" s="449" t="str">
        <f t="shared" si="26"/>
        <v/>
      </c>
    </row>
    <row r="89" spans="1:29" s="13" customFormat="1">
      <c r="A89" s="340">
        <f t="shared" si="34"/>
        <v>83</v>
      </c>
      <c r="B89" s="143" t="s">
        <v>530</v>
      </c>
      <c r="C89" s="111" t="s">
        <v>376</v>
      </c>
      <c r="D89" s="169"/>
      <c r="E89" s="126" t="s">
        <v>364</v>
      </c>
      <c r="F89" s="126"/>
      <c r="G89" s="126"/>
      <c r="H89" s="348" t="s">
        <v>392</v>
      </c>
      <c r="I89" s="419" t="str">
        <f t="shared" si="21"/>
        <v/>
      </c>
      <c r="J89" s="349"/>
      <c r="K89" s="111" t="str">
        <f t="shared" si="22"/>
        <v/>
      </c>
      <c r="L89" s="349"/>
      <c r="M89" s="111" t="str">
        <f t="shared" si="23"/>
        <v>date?</v>
      </c>
      <c r="N89" s="350"/>
      <c r="O89" s="341" t="str">
        <f t="shared" si="27"/>
        <v/>
      </c>
      <c r="P89" s="337" t="str">
        <f>IF(ISBLANK(N89),"",VLOOKUP(AC89,Dasha!$A$10:$L$827,4))</f>
        <v/>
      </c>
      <c r="Q89" s="337" t="str">
        <f>IF(ISBLANK(N89),"",VLOOKUP(AC89,Dasha!$A$10:$L$827,6))</f>
        <v/>
      </c>
      <c r="R89" s="337" t="str">
        <f>IF(ISBLANK(N89),"",VLOOKUP(AC89,Dasha!$A$10:$L$827,8))</f>
        <v/>
      </c>
      <c r="S89" s="337" t="str">
        <f t="shared" si="33"/>
        <v/>
      </c>
      <c r="T89" s="450" t="str">
        <f t="shared" si="24"/>
        <v/>
      </c>
      <c r="U89" s="448" t="str">
        <f t="shared" si="28"/>
        <v>C70D</v>
      </c>
      <c r="V89" s="448" t="str">
        <f t="shared" si="29"/>
        <v>0</v>
      </c>
      <c r="W89" s="448" t="str">
        <f t="shared" si="25"/>
        <v>0</v>
      </c>
      <c r="X89" s="448" t="str">
        <f t="shared" si="30"/>
        <v>-</v>
      </c>
      <c r="Y89" s="448" t="str">
        <f t="shared" si="31"/>
        <v>-</v>
      </c>
      <c r="Z89" s="448" t="str">
        <f t="shared" si="32"/>
        <v>-</v>
      </c>
      <c r="AA89" s="448"/>
      <c r="AB89" s="449" t="str">
        <f>IF(ISBLANK(N89),"",IF((N89&lt;=Dasha!$B$10),0,VLOOKUP(N89,Dasha!$B$10:$L$827,11)))</f>
        <v/>
      </c>
      <c r="AC89" s="449" t="str">
        <f t="shared" si="26"/>
        <v/>
      </c>
    </row>
    <row r="90" spans="1:29" s="13" customFormat="1">
      <c r="A90" s="340">
        <f t="shared" si="34"/>
        <v>84</v>
      </c>
      <c r="B90" s="143" t="s">
        <v>531</v>
      </c>
      <c r="C90" s="111" t="s">
        <v>377</v>
      </c>
      <c r="D90" s="169"/>
      <c r="E90" s="126" t="s">
        <v>444</v>
      </c>
      <c r="F90" s="126"/>
      <c r="G90" s="126"/>
      <c r="H90" s="348" t="s">
        <v>392</v>
      </c>
      <c r="I90" s="419" t="str">
        <f t="shared" si="21"/>
        <v/>
      </c>
      <c r="J90" s="349"/>
      <c r="K90" s="111" t="str">
        <f t="shared" si="22"/>
        <v/>
      </c>
      <c r="L90" s="349"/>
      <c r="M90" s="111" t="str">
        <f t="shared" si="23"/>
        <v/>
      </c>
      <c r="N90" s="350"/>
      <c r="O90" s="341" t="str">
        <f t="shared" si="27"/>
        <v/>
      </c>
      <c r="P90" s="337" t="str">
        <f>IF(ISBLANK(N90),"",VLOOKUP(AC90,Dasha!$A$10:$L$827,4))</f>
        <v/>
      </c>
      <c r="Q90" s="337" t="str">
        <f>IF(ISBLANK(N90),"",VLOOKUP(AC90,Dasha!$A$10:$L$827,6))</f>
        <v/>
      </c>
      <c r="R90" s="337" t="str">
        <f>IF(ISBLANK(N90),"",VLOOKUP(AC90,Dasha!$A$10:$L$827,8))</f>
        <v/>
      </c>
      <c r="S90" s="337" t="str">
        <f t="shared" si="33"/>
        <v/>
      </c>
      <c r="T90" s="450" t="str">
        <f t="shared" si="24"/>
        <v/>
      </c>
      <c r="U90" s="448" t="str">
        <f t="shared" si="28"/>
        <v>D10A</v>
      </c>
      <c r="V90" s="448" t="str">
        <f t="shared" si="29"/>
        <v>0</v>
      </c>
      <c r="W90" s="448" t="str">
        <f t="shared" si="25"/>
        <v>0</v>
      </c>
      <c r="X90" s="448" t="str">
        <f t="shared" si="30"/>
        <v>-</v>
      </c>
      <c r="Y90" s="448" t="str">
        <f t="shared" si="31"/>
        <v>-</v>
      </c>
      <c r="Z90" s="448" t="str">
        <f t="shared" si="32"/>
        <v>-</v>
      </c>
      <c r="AA90" s="448"/>
      <c r="AB90" s="449" t="str">
        <f>IF(ISBLANK(N90),"",IF((N90&lt;=Dasha!$B$10),0,VLOOKUP(N90,Dasha!$B$10:$L$827,11)))</f>
        <v/>
      </c>
      <c r="AC90" s="449" t="str">
        <f t="shared" si="26"/>
        <v/>
      </c>
    </row>
    <row r="91" spans="1:29" s="13" customFormat="1">
      <c r="A91" s="340">
        <f t="shared" si="34"/>
        <v>85</v>
      </c>
      <c r="B91" s="143" t="s">
        <v>532</v>
      </c>
      <c r="C91" s="111" t="s">
        <v>377</v>
      </c>
      <c r="D91" s="169"/>
      <c r="E91" s="126" t="s">
        <v>444</v>
      </c>
      <c r="F91" s="126"/>
      <c r="G91" s="126"/>
      <c r="H91" s="348" t="s">
        <v>392</v>
      </c>
      <c r="I91" s="419" t="str">
        <f t="shared" si="21"/>
        <v/>
      </c>
      <c r="J91" s="349"/>
      <c r="K91" s="111" t="str">
        <f t="shared" si="22"/>
        <v/>
      </c>
      <c r="L91" s="349"/>
      <c r="M91" s="111" t="str">
        <f t="shared" si="23"/>
        <v/>
      </c>
      <c r="N91" s="350"/>
      <c r="O91" s="341" t="str">
        <f t="shared" si="27"/>
        <v/>
      </c>
      <c r="P91" s="337" t="str">
        <f>IF(ISBLANK(N91),"",VLOOKUP(AC91,Dasha!$A$10:$L$827,4))</f>
        <v/>
      </c>
      <c r="Q91" s="337" t="str">
        <f>IF(ISBLANK(N91),"",VLOOKUP(AC91,Dasha!$A$10:$L$827,6))</f>
        <v/>
      </c>
      <c r="R91" s="337" t="str">
        <f>IF(ISBLANK(N91),"",VLOOKUP(AC91,Dasha!$A$10:$L$827,8))</f>
        <v/>
      </c>
      <c r="S91" s="337" t="str">
        <f t="shared" si="33"/>
        <v/>
      </c>
      <c r="T91" s="450" t="str">
        <f t="shared" si="24"/>
        <v/>
      </c>
      <c r="U91" s="448" t="str">
        <f t="shared" si="28"/>
        <v>D20A</v>
      </c>
      <c r="V91" s="448" t="str">
        <f t="shared" si="29"/>
        <v>0</v>
      </c>
      <c r="W91" s="448" t="str">
        <f t="shared" si="25"/>
        <v>0</v>
      </c>
      <c r="X91" s="448" t="str">
        <f t="shared" si="30"/>
        <v>-</v>
      </c>
      <c r="Y91" s="448" t="str">
        <f t="shared" si="31"/>
        <v>-</v>
      </c>
      <c r="Z91" s="448" t="str">
        <f t="shared" si="32"/>
        <v>-</v>
      </c>
      <c r="AA91" s="448"/>
      <c r="AB91" s="449" t="str">
        <f>IF(ISBLANK(N91),"",IF((N91&lt;=Dasha!$B$10),0,VLOOKUP(N91,Dasha!$B$10:$L$827,11)))</f>
        <v/>
      </c>
      <c r="AC91" s="449" t="str">
        <f t="shared" si="26"/>
        <v/>
      </c>
    </row>
    <row r="92" spans="1:29" s="13" customFormat="1">
      <c r="A92" s="340">
        <f t="shared" si="34"/>
        <v>86</v>
      </c>
      <c r="B92" s="143" t="s">
        <v>533</v>
      </c>
      <c r="C92" s="111" t="s">
        <v>377</v>
      </c>
      <c r="D92" s="169"/>
      <c r="E92" s="126" t="s">
        <v>444</v>
      </c>
      <c r="F92" s="126"/>
      <c r="G92" s="126"/>
      <c r="H92" s="348" t="s">
        <v>392</v>
      </c>
      <c r="I92" s="419" t="str">
        <f t="shared" si="21"/>
        <v/>
      </c>
      <c r="J92" s="349"/>
      <c r="K92" s="111" t="str">
        <f t="shared" si="22"/>
        <v/>
      </c>
      <c r="L92" s="349"/>
      <c r="M92" s="111" t="str">
        <f t="shared" si="23"/>
        <v/>
      </c>
      <c r="N92" s="350"/>
      <c r="O92" s="341" t="str">
        <f t="shared" si="27"/>
        <v/>
      </c>
      <c r="P92" s="337" t="str">
        <f>IF(ISBLANK(N92),"",VLOOKUP(AC92,Dasha!$A$10:$L$827,4))</f>
        <v/>
      </c>
      <c r="Q92" s="337" t="str">
        <f>IF(ISBLANK(N92),"",VLOOKUP(AC92,Dasha!$A$10:$L$827,6))</f>
        <v/>
      </c>
      <c r="R92" s="337" t="str">
        <f>IF(ISBLANK(N92),"",VLOOKUP(AC92,Dasha!$A$10:$L$827,8))</f>
        <v/>
      </c>
      <c r="S92" s="337" t="str">
        <f t="shared" si="33"/>
        <v/>
      </c>
      <c r="T92" s="450" t="str">
        <f t="shared" si="24"/>
        <v/>
      </c>
      <c r="U92" s="448" t="str">
        <f t="shared" si="28"/>
        <v>D30A</v>
      </c>
      <c r="V92" s="448" t="str">
        <f t="shared" si="29"/>
        <v>0</v>
      </c>
      <c r="W92" s="448" t="str">
        <f t="shared" si="25"/>
        <v>0</v>
      </c>
      <c r="X92" s="448" t="str">
        <f t="shared" si="30"/>
        <v>-</v>
      </c>
      <c r="Y92" s="448" t="str">
        <f t="shared" si="31"/>
        <v>-</v>
      </c>
      <c r="Z92" s="448" t="str">
        <f t="shared" si="32"/>
        <v>-</v>
      </c>
      <c r="AA92" s="448"/>
      <c r="AB92" s="449" t="str">
        <f>IF(ISBLANK(N92),"",IF((N92&lt;=Dasha!$B$10),0,VLOOKUP(N92,Dasha!$B$10:$L$827,11)))</f>
        <v/>
      </c>
      <c r="AC92" s="449" t="str">
        <f t="shared" si="26"/>
        <v/>
      </c>
    </row>
    <row r="93" spans="1:29" s="13" customFormat="1">
      <c r="A93" s="340">
        <f t="shared" si="34"/>
        <v>87</v>
      </c>
      <c r="B93" s="143" t="s">
        <v>534</v>
      </c>
      <c r="C93" s="111" t="s">
        <v>377</v>
      </c>
      <c r="D93" s="169"/>
      <c r="E93" s="126" t="s">
        <v>444</v>
      </c>
      <c r="F93" s="126"/>
      <c r="G93" s="126"/>
      <c r="H93" s="348" t="s">
        <v>392</v>
      </c>
      <c r="I93" s="419" t="str">
        <f t="shared" si="21"/>
        <v/>
      </c>
      <c r="J93" s="349"/>
      <c r="K93" s="111" t="str">
        <f t="shared" si="22"/>
        <v/>
      </c>
      <c r="L93" s="349"/>
      <c r="M93" s="111" t="str">
        <f t="shared" si="23"/>
        <v/>
      </c>
      <c r="N93" s="350"/>
      <c r="O93" s="341" t="str">
        <f t="shared" si="27"/>
        <v/>
      </c>
      <c r="P93" s="337" t="str">
        <f>IF(ISBLANK(N93),"",VLOOKUP(AC93,Dasha!$A$10:$L$827,4))</f>
        <v/>
      </c>
      <c r="Q93" s="337" t="str">
        <f>IF(ISBLANK(N93),"",VLOOKUP(AC93,Dasha!$A$10:$L$827,6))</f>
        <v/>
      </c>
      <c r="R93" s="337" t="str">
        <f>IF(ISBLANK(N93),"",VLOOKUP(AC93,Dasha!$A$10:$L$827,8))</f>
        <v/>
      </c>
      <c r="S93" s="337" t="str">
        <f t="shared" si="33"/>
        <v/>
      </c>
      <c r="T93" s="450" t="str">
        <f t="shared" si="24"/>
        <v/>
      </c>
      <c r="U93" s="448" t="str">
        <f t="shared" si="28"/>
        <v>D40A</v>
      </c>
      <c r="V93" s="448" t="str">
        <f t="shared" si="29"/>
        <v>0</v>
      </c>
      <c r="W93" s="448" t="str">
        <f t="shared" si="25"/>
        <v>0</v>
      </c>
      <c r="X93" s="448" t="str">
        <f t="shared" si="30"/>
        <v>-</v>
      </c>
      <c r="Y93" s="448" t="str">
        <f t="shared" si="31"/>
        <v>-</v>
      </c>
      <c r="Z93" s="448" t="str">
        <f t="shared" si="32"/>
        <v>-</v>
      </c>
      <c r="AA93" s="448"/>
      <c r="AB93" s="449" t="str">
        <f>IF(ISBLANK(N93),"",IF((N93&lt;=Dasha!$B$10),0,VLOOKUP(N93,Dasha!$B$10:$L$827,11)))</f>
        <v/>
      </c>
      <c r="AC93" s="449" t="str">
        <f t="shared" si="26"/>
        <v/>
      </c>
    </row>
    <row r="94" spans="1:29" s="13" customFormat="1">
      <c r="A94" s="340">
        <f t="shared" si="34"/>
        <v>88</v>
      </c>
      <c r="B94" s="143" t="s">
        <v>535</v>
      </c>
      <c r="C94" s="111" t="s">
        <v>377</v>
      </c>
      <c r="D94" s="169"/>
      <c r="E94" s="126" t="s">
        <v>444</v>
      </c>
      <c r="F94" s="126"/>
      <c r="G94" s="126"/>
      <c r="H94" s="348" t="s">
        <v>392</v>
      </c>
      <c r="I94" s="419" t="str">
        <f t="shared" si="21"/>
        <v/>
      </c>
      <c r="J94" s="349"/>
      <c r="K94" s="111" t="str">
        <f t="shared" si="22"/>
        <v/>
      </c>
      <c r="L94" s="349"/>
      <c r="M94" s="111" t="str">
        <f t="shared" si="23"/>
        <v/>
      </c>
      <c r="N94" s="350"/>
      <c r="O94" s="341" t="str">
        <f t="shared" si="27"/>
        <v/>
      </c>
      <c r="P94" s="337" t="str">
        <f>IF(ISBLANK(N94),"",VLOOKUP(AC94,Dasha!$A$10:$L$827,4))</f>
        <v/>
      </c>
      <c r="Q94" s="337" t="str">
        <f>IF(ISBLANK(N94),"",VLOOKUP(AC94,Dasha!$A$10:$L$827,6))</f>
        <v/>
      </c>
      <c r="R94" s="337" t="str">
        <f>IF(ISBLANK(N94),"",VLOOKUP(AC94,Dasha!$A$10:$L$827,8))</f>
        <v/>
      </c>
      <c r="S94" s="337" t="str">
        <f t="shared" si="33"/>
        <v/>
      </c>
      <c r="T94" s="450" t="str">
        <f t="shared" si="24"/>
        <v/>
      </c>
      <c r="U94" s="448" t="str">
        <f t="shared" si="28"/>
        <v>D50A</v>
      </c>
      <c r="V94" s="448" t="str">
        <f t="shared" si="29"/>
        <v>0</v>
      </c>
      <c r="W94" s="448" t="str">
        <f t="shared" si="25"/>
        <v>0</v>
      </c>
      <c r="X94" s="448" t="str">
        <f t="shared" si="30"/>
        <v>-</v>
      </c>
      <c r="Y94" s="448" t="str">
        <f t="shared" si="31"/>
        <v>-</v>
      </c>
      <c r="Z94" s="448" t="str">
        <f t="shared" si="32"/>
        <v>-</v>
      </c>
      <c r="AA94" s="448"/>
      <c r="AB94" s="449" t="str">
        <f>IF(ISBLANK(N94),"",IF((N94&lt;=Dasha!$B$10),0,VLOOKUP(N94,Dasha!$B$10:$L$827,11)))</f>
        <v/>
      </c>
      <c r="AC94" s="449" t="str">
        <f t="shared" si="26"/>
        <v/>
      </c>
    </row>
    <row r="95" spans="1:29" s="13" customFormat="1">
      <c r="A95" s="340">
        <f t="shared" si="34"/>
        <v>89</v>
      </c>
      <c r="B95" s="143" t="s">
        <v>536</v>
      </c>
      <c r="C95" s="111" t="s">
        <v>445</v>
      </c>
      <c r="D95" s="169"/>
      <c r="E95" s="126" t="s">
        <v>380</v>
      </c>
      <c r="F95" s="126"/>
      <c r="G95" s="126"/>
      <c r="H95" s="348" t="s">
        <v>392</v>
      </c>
      <c r="I95" s="419" t="str">
        <f t="shared" si="21"/>
        <v xml:space="preserve">X = </v>
      </c>
      <c r="J95" s="349"/>
      <c r="K95" s="111" t="str">
        <f t="shared" si="22"/>
        <v/>
      </c>
      <c r="L95" s="349"/>
      <c r="M95" s="111" t="str">
        <f t="shared" si="23"/>
        <v/>
      </c>
      <c r="N95" s="350"/>
      <c r="O95" s="341" t="str">
        <f t="shared" si="27"/>
        <v>no data</v>
      </c>
      <c r="P95" s="337" t="str">
        <f>IF(ISBLANK(N95),"",VLOOKUP(AC95,Dasha!$A$10:$L$827,4))</f>
        <v/>
      </c>
      <c r="Q95" s="337" t="str">
        <f>IF(ISBLANK(N95),"",VLOOKUP(AC95,Dasha!$A$10:$L$827,6))</f>
        <v/>
      </c>
      <c r="R95" s="337" t="str">
        <f>IF(ISBLANK(N95),"",VLOOKUP(AC95,Dasha!$A$10:$L$827,8))</f>
        <v/>
      </c>
      <c r="S95" s="337" t="str">
        <f t="shared" si="33"/>
        <v/>
      </c>
      <c r="T95" s="450" t="str">
        <f t="shared" si="24"/>
        <v/>
      </c>
      <c r="U95" s="448" t="str">
        <f t="shared" si="28"/>
        <v>E10B</v>
      </c>
      <c r="V95" s="448" t="str">
        <f t="shared" si="29"/>
        <v>0</v>
      </c>
      <c r="W95" s="448" t="str">
        <f t="shared" si="25"/>
        <v>0</v>
      </c>
      <c r="X95" s="448" t="str">
        <f t="shared" si="30"/>
        <v>-</v>
      </c>
      <c r="Y95" s="448" t="str">
        <f t="shared" si="31"/>
        <v>-</v>
      </c>
      <c r="Z95" s="448" t="str">
        <f t="shared" si="32"/>
        <v>-</v>
      </c>
      <c r="AA95" s="448"/>
      <c r="AB95" s="449" t="str">
        <f>IF(ISBLANK(N95),"",IF((N95&lt;=Dasha!$B$10),0,VLOOKUP(N95,Dasha!$B$10:$L$827,11)))</f>
        <v/>
      </c>
      <c r="AC95" s="449" t="str">
        <f t="shared" si="26"/>
        <v/>
      </c>
    </row>
    <row r="96" spans="1:29" s="13" customFormat="1">
      <c r="A96" s="340">
        <f t="shared" si="34"/>
        <v>90</v>
      </c>
      <c r="B96" s="143" t="s">
        <v>537</v>
      </c>
      <c r="C96" s="111" t="s">
        <v>445</v>
      </c>
      <c r="D96" s="169"/>
      <c r="E96" s="126" t="s">
        <v>427</v>
      </c>
      <c r="F96" s="126"/>
      <c r="G96" s="126"/>
      <c r="H96" s="348" t="s">
        <v>392</v>
      </c>
      <c r="I96" s="419" t="str">
        <f t="shared" si="21"/>
        <v xml:space="preserve">X = </v>
      </c>
      <c r="J96" s="349"/>
      <c r="K96" s="111" t="str">
        <f t="shared" si="22"/>
        <v/>
      </c>
      <c r="L96" s="349"/>
      <c r="M96" s="111" t="str">
        <f t="shared" si="23"/>
        <v/>
      </c>
      <c r="N96" s="350"/>
      <c r="O96" s="341" t="str">
        <f t="shared" si="27"/>
        <v>no data</v>
      </c>
      <c r="P96" s="337" t="str">
        <f>IF(ISBLANK(N96),"",VLOOKUP(AC96,Dasha!$A$10:$L$827,4))</f>
        <v/>
      </c>
      <c r="Q96" s="337" t="str">
        <f>IF(ISBLANK(N96),"",VLOOKUP(AC96,Dasha!$A$10:$L$827,6))</f>
        <v/>
      </c>
      <c r="R96" s="337" t="str">
        <f>IF(ISBLANK(N96),"",VLOOKUP(AC96,Dasha!$A$10:$L$827,8))</f>
        <v/>
      </c>
      <c r="S96" s="337" t="str">
        <f t="shared" si="33"/>
        <v/>
      </c>
      <c r="T96" s="450" t="str">
        <f t="shared" si="24"/>
        <v/>
      </c>
      <c r="U96" s="448" t="str">
        <f t="shared" si="28"/>
        <v>E20B</v>
      </c>
      <c r="V96" s="448" t="str">
        <f t="shared" si="29"/>
        <v>0</v>
      </c>
      <c r="W96" s="448" t="str">
        <f t="shared" si="25"/>
        <v>0</v>
      </c>
      <c r="X96" s="448" t="str">
        <f t="shared" si="30"/>
        <v>-</v>
      </c>
      <c r="Y96" s="448" t="str">
        <f t="shared" si="31"/>
        <v>-</v>
      </c>
      <c r="Z96" s="448" t="str">
        <f t="shared" si="32"/>
        <v>-</v>
      </c>
      <c r="AA96" s="448"/>
      <c r="AB96" s="449" t="str">
        <f>IF(ISBLANK(N96),"",IF((N96&lt;=Dasha!$B$10),0,VLOOKUP(N96,Dasha!$B$10:$L$827,11)))</f>
        <v/>
      </c>
      <c r="AC96" s="449" t="str">
        <f t="shared" si="26"/>
        <v/>
      </c>
    </row>
    <row r="97" spans="1:31" s="13" customFormat="1">
      <c r="A97" s="340">
        <f t="shared" si="34"/>
        <v>91</v>
      </c>
      <c r="B97" s="143" t="s">
        <v>538</v>
      </c>
      <c r="C97" s="111" t="s">
        <v>446</v>
      </c>
      <c r="D97" s="169"/>
      <c r="E97" s="126" t="s">
        <v>447</v>
      </c>
      <c r="F97" s="126"/>
      <c r="G97" s="126"/>
      <c r="H97" s="348" t="s">
        <v>392</v>
      </c>
      <c r="I97" s="419" t="str">
        <f t="shared" si="21"/>
        <v/>
      </c>
      <c r="J97" s="349"/>
      <c r="K97" s="111" t="str">
        <f t="shared" si="22"/>
        <v/>
      </c>
      <c r="L97" s="349"/>
      <c r="M97" s="111" t="str">
        <f t="shared" si="23"/>
        <v>date?</v>
      </c>
      <c r="N97" s="350"/>
      <c r="O97" s="341" t="str">
        <f t="shared" si="27"/>
        <v/>
      </c>
      <c r="P97" s="337" t="str">
        <f>IF(ISBLANK(N97),"",VLOOKUP(AC97,Dasha!$A$10:$L$827,4))</f>
        <v/>
      </c>
      <c r="Q97" s="337" t="str">
        <f>IF(ISBLANK(N97),"",VLOOKUP(AC97,Dasha!$A$10:$L$827,6))</f>
        <v/>
      </c>
      <c r="R97" s="337" t="str">
        <f>IF(ISBLANK(N97),"",VLOOKUP(AC97,Dasha!$A$10:$L$827,8))</f>
        <v/>
      </c>
      <c r="S97" s="337" t="str">
        <f t="shared" si="33"/>
        <v/>
      </c>
      <c r="T97" s="450" t="str">
        <f t="shared" si="24"/>
        <v/>
      </c>
      <c r="U97" s="448" t="str">
        <f t="shared" si="28"/>
        <v>F10D</v>
      </c>
      <c r="V97" s="448" t="str">
        <f t="shared" si="29"/>
        <v>0</v>
      </c>
      <c r="W97" s="448" t="str">
        <f t="shared" si="25"/>
        <v>0</v>
      </c>
      <c r="X97" s="448" t="str">
        <f t="shared" si="30"/>
        <v>-</v>
      </c>
      <c r="Y97" s="448" t="str">
        <f t="shared" si="31"/>
        <v>-</v>
      </c>
      <c r="Z97" s="448" t="str">
        <f t="shared" si="32"/>
        <v>-</v>
      </c>
      <c r="AA97" s="448"/>
      <c r="AB97" s="449" t="str">
        <f>IF(ISBLANK(N97),"",IF((N97&lt;=Dasha!$B$10),0,VLOOKUP(N97,Dasha!$B$10:$L$827,11)))</f>
        <v/>
      </c>
      <c r="AC97" s="449" t="str">
        <f t="shared" si="26"/>
        <v/>
      </c>
    </row>
    <row r="98" spans="1:31" s="13" customFormat="1">
      <c r="A98" s="340">
        <f t="shared" si="34"/>
        <v>92</v>
      </c>
      <c r="B98" s="143" t="s">
        <v>539</v>
      </c>
      <c r="C98" s="111" t="s">
        <v>446</v>
      </c>
      <c r="D98" s="169"/>
      <c r="E98" s="126" t="s">
        <v>448</v>
      </c>
      <c r="F98" s="126"/>
      <c r="G98" s="126"/>
      <c r="H98" s="348" t="s">
        <v>392</v>
      </c>
      <c r="I98" s="419" t="str">
        <f t="shared" si="21"/>
        <v/>
      </c>
      <c r="J98" s="349"/>
      <c r="K98" s="111" t="str">
        <f t="shared" si="22"/>
        <v/>
      </c>
      <c r="L98" s="349"/>
      <c r="M98" s="111" t="str">
        <f t="shared" si="23"/>
        <v>date?</v>
      </c>
      <c r="N98" s="350"/>
      <c r="O98" s="341" t="str">
        <f t="shared" si="27"/>
        <v/>
      </c>
      <c r="P98" s="337" t="str">
        <f>IF(ISBLANK(N98),"",VLOOKUP(AC98,Dasha!$A$10:$L$827,4))</f>
        <v/>
      </c>
      <c r="Q98" s="337" t="str">
        <f>IF(ISBLANK(N98),"",VLOOKUP(AC98,Dasha!$A$10:$L$827,6))</f>
        <v/>
      </c>
      <c r="R98" s="337" t="str">
        <f>IF(ISBLANK(N98),"",VLOOKUP(AC98,Dasha!$A$10:$L$827,8))</f>
        <v/>
      </c>
      <c r="S98" s="337" t="str">
        <f t="shared" si="33"/>
        <v/>
      </c>
      <c r="T98" s="450" t="str">
        <f t="shared" si="24"/>
        <v/>
      </c>
      <c r="U98" s="448" t="str">
        <f t="shared" si="28"/>
        <v>F20D</v>
      </c>
      <c r="V98" s="448" t="str">
        <f t="shared" si="29"/>
        <v>0</v>
      </c>
      <c r="W98" s="448" t="str">
        <f t="shared" si="25"/>
        <v>0</v>
      </c>
      <c r="X98" s="448" t="str">
        <f t="shared" si="30"/>
        <v>-</v>
      </c>
      <c r="Y98" s="448" t="str">
        <f t="shared" si="31"/>
        <v>-</v>
      </c>
      <c r="Z98" s="448" t="str">
        <f t="shared" si="32"/>
        <v>-</v>
      </c>
      <c r="AA98" s="448"/>
      <c r="AB98" s="449" t="str">
        <f>IF(ISBLANK(N98),"",IF((N98&lt;=Dasha!$B$10),0,VLOOKUP(N98,Dasha!$B$10:$L$827,11)))</f>
        <v/>
      </c>
      <c r="AC98" s="449" t="str">
        <f t="shared" si="26"/>
        <v/>
      </c>
    </row>
    <row r="99" spans="1:31" s="13" customFormat="1">
      <c r="A99" s="340">
        <f t="shared" si="34"/>
        <v>93</v>
      </c>
      <c r="B99" s="143" t="s">
        <v>540</v>
      </c>
      <c r="C99" s="111" t="s">
        <v>446</v>
      </c>
      <c r="D99" s="169"/>
      <c r="E99" s="126" t="s">
        <v>449</v>
      </c>
      <c r="F99" s="126"/>
      <c r="G99" s="126"/>
      <c r="H99" s="348" t="s">
        <v>392</v>
      </c>
      <c r="I99" s="419" t="str">
        <f t="shared" si="21"/>
        <v/>
      </c>
      <c r="J99" s="349"/>
      <c r="K99" s="111" t="str">
        <f t="shared" si="22"/>
        <v/>
      </c>
      <c r="L99" s="349"/>
      <c r="M99" s="111" t="str">
        <f t="shared" si="23"/>
        <v>date?</v>
      </c>
      <c r="N99" s="350"/>
      <c r="O99" s="341" t="str">
        <f t="shared" si="27"/>
        <v/>
      </c>
      <c r="P99" s="337" t="str">
        <f>IF(ISBLANK(N99),"",VLOOKUP(AC99,Dasha!$A$10:$L$827,4))</f>
        <v/>
      </c>
      <c r="Q99" s="337" t="str">
        <f>IF(ISBLANK(N99),"",VLOOKUP(AC99,Dasha!$A$10:$L$827,6))</f>
        <v/>
      </c>
      <c r="R99" s="337" t="str">
        <f>IF(ISBLANK(N99),"",VLOOKUP(AC99,Dasha!$A$10:$L$827,8))</f>
        <v/>
      </c>
      <c r="S99" s="337" t="str">
        <f t="shared" si="33"/>
        <v/>
      </c>
      <c r="T99" s="450" t="str">
        <f t="shared" si="24"/>
        <v/>
      </c>
      <c r="U99" s="448" t="str">
        <f t="shared" si="28"/>
        <v>F30D</v>
      </c>
      <c r="V99" s="448" t="str">
        <f t="shared" si="29"/>
        <v>0</v>
      </c>
      <c r="W99" s="448" t="str">
        <f t="shared" si="25"/>
        <v>0</v>
      </c>
      <c r="X99" s="448" t="str">
        <f t="shared" si="30"/>
        <v>-</v>
      </c>
      <c r="Y99" s="448" t="str">
        <f t="shared" si="31"/>
        <v>-</v>
      </c>
      <c r="Z99" s="448" t="str">
        <f t="shared" si="32"/>
        <v>-</v>
      </c>
      <c r="AA99" s="448"/>
      <c r="AB99" s="449" t="str">
        <f>IF(ISBLANK(N99),"",IF((N99&lt;=Dasha!$B$10),0,VLOOKUP(N99,Dasha!$B$10:$L$827,11)))</f>
        <v/>
      </c>
      <c r="AC99" s="449" t="str">
        <f t="shared" si="26"/>
        <v/>
      </c>
    </row>
    <row r="100" spans="1:31" s="13" customFormat="1">
      <c r="A100" s="340">
        <f t="shared" si="34"/>
        <v>94</v>
      </c>
      <c r="B100" s="143" t="s">
        <v>541</v>
      </c>
      <c r="C100" s="111" t="s">
        <v>446</v>
      </c>
      <c r="D100" s="169"/>
      <c r="E100" s="126" t="s">
        <v>450</v>
      </c>
      <c r="F100" s="126"/>
      <c r="G100" s="126"/>
      <c r="H100" s="348" t="s">
        <v>392</v>
      </c>
      <c r="I100" s="419" t="str">
        <f t="shared" si="21"/>
        <v/>
      </c>
      <c r="J100" s="349"/>
      <c r="K100" s="111" t="str">
        <f t="shared" si="22"/>
        <v/>
      </c>
      <c r="L100" s="349"/>
      <c r="M100" s="111" t="str">
        <f t="shared" si="23"/>
        <v>date?</v>
      </c>
      <c r="N100" s="350"/>
      <c r="O100" s="341" t="str">
        <f t="shared" si="27"/>
        <v/>
      </c>
      <c r="P100" s="337" t="str">
        <f>IF(ISBLANK(N100),"",VLOOKUP(AC100,Dasha!$A$10:$L$827,4))</f>
        <v/>
      </c>
      <c r="Q100" s="337" t="str">
        <f>IF(ISBLANK(N100),"",VLOOKUP(AC100,Dasha!$A$10:$L$827,6))</f>
        <v/>
      </c>
      <c r="R100" s="337" t="str">
        <f>IF(ISBLANK(N100),"",VLOOKUP(AC100,Dasha!$A$10:$L$827,8))</f>
        <v/>
      </c>
      <c r="S100" s="337" t="str">
        <f t="shared" si="33"/>
        <v/>
      </c>
      <c r="T100" s="450" t="str">
        <f t="shared" si="24"/>
        <v/>
      </c>
      <c r="U100" s="448" t="str">
        <f t="shared" si="28"/>
        <v>F40D</v>
      </c>
      <c r="V100" s="448" t="str">
        <f t="shared" si="29"/>
        <v>0</v>
      </c>
      <c r="W100" s="448" t="str">
        <f t="shared" si="25"/>
        <v>0</v>
      </c>
      <c r="X100" s="448" t="str">
        <f t="shared" si="30"/>
        <v>-</v>
      </c>
      <c r="Y100" s="448" t="str">
        <f t="shared" si="31"/>
        <v>-</v>
      </c>
      <c r="Z100" s="448" t="str">
        <f t="shared" si="32"/>
        <v>-</v>
      </c>
      <c r="AA100" s="448"/>
      <c r="AB100" s="449" t="str">
        <f>IF(ISBLANK(N100),"",IF((N100&lt;=Dasha!$B$10),0,VLOOKUP(N100,Dasha!$B$10:$L$827,11)))</f>
        <v/>
      </c>
      <c r="AC100" s="449" t="str">
        <f t="shared" si="26"/>
        <v/>
      </c>
    </row>
    <row r="101" spans="1:31" s="13" customFormat="1">
      <c r="A101" s="340">
        <f t="shared" si="34"/>
        <v>95</v>
      </c>
      <c r="B101" s="143" t="s">
        <v>542</v>
      </c>
      <c r="C101" s="111" t="s">
        <v>446</v>
      </c>
      <c r="D101" s="169"/>
      <c r="E101" s="126" t="s">
        <v>387</v>
      </c>
      <c r="F101" s="126"/>
      <c r="G101" s="126"/>
      <c r="H101" s="348" t="s">
        <v>392</v>
      </c>
      <c r="I101" s="419" t="str">
        <f t="shared" si="21"/>
        <v/>
      </c>
      <c r="J101" s="349"/>
      <c r="K101" s="111" t="str">
        <f t="shared" si="22"/>
        <v/>
      </c>
      <c r="L101" s="349"/>
      <c r="M101" s="111" t="str">
        <f t="shared" si="23"/>
        <v/>
      </c>
      <c r="N101" s="350"/>
      <c r="O101" s="341" t="str">
        <f t="shared" si="27"/>
        <v/>
      </c>
      <c r="P101" s="337" t="str">
        <f>IF(ISBLANK(N101),"",VLOOKUP(AC101,Dasha!$A$10:$L$827,4))</f>
        <v/>
      </c>
      <c r="Q101" s="337" t="str">
        <f>IF(ISBLANK(N101),"",VLOOKUP(AC101,Dasha!$A$10:$L$827,6))</f>
        <v/>
      </c>
      <c r="R101" s="337" t="str">
        <f>IF(ISBLANK(N101),"",VLOOKUP(AC101,Dasha!$A$10:$L$827,8))</f>
        <v/>
      </c>
      <c r="S101" s="337" t="str">
        <f t="shared" si="33"/>
        <v/>
      </c>
      <c r="T101" s="450" t="str">
        <f t="shared" si="24"/>
        <v/>
      </c>
      <c r="U101" s="448" t="str">
        <f t="shared" si="28"/>
        <v>F50A</v>
      </c>
      <c r="V101" s="448" t="str">
        <f t="shared" si="29"/>
        <v>0</v>
      </c>
      <c r="W101" s="448" t="str">
        <f t="shared" si="25"/>
        <v>0</v>
      </c>
      <c r="X101" s="448" t="str">
        <f t="shared" si="30"/>
        <v>-</v>
      </c>
      <c r="Y101" s="448" t="str">
        <f t="shared" si="31"/>
        <v>-</v>
      </c>
      <c r="Z101" s="448" t="str">
        <f t="shared" si="32"/>
        <v>-</v>
      </c>
      <c r="AA101" s="448"/>
      <c r="AB101" s="449" t="str">
        <f>IF(ISBLANK(N101),"",IF((N101&lt;=Dasha!$B$10),0,VLOOKUP(N101,Dasha!$B$10:$L$827,11)))</f>
        <v/>
      </c>
      <c r="AC101" s="449" t="str">
        <f t="shared" si="26"/>
        <v/>
      </c>
    </row>
    <row r="102" spans="1:31" s="13" customFormat="1">
      <c r="A102" s="340">
        <f t="shared" si="34"/>
        <v>96</v>
      </c>
      <c r="B102" s="143" t="s">
        <v>543</v>
      </c>
      <c r="C102" s="111" t="s">
        <v>350</v>
      </c>
      <c r="D102" s="169"/>
      <c r="E102" s="126" t="s">
        <v>451</v>
      </c>
      <c r="F102" s="126"/>
      <c r="G102" s="126"/>
      <c r="H102" s="348" t="s">
        <v>392</v>
      </c>
      <c r="I102" s="419" t="str">
        <f t="shared" si="21"/>
        <v/>
      </c>
      <c r="J102" s="349"/>
      <c r="K102" s="111" t="str">
        <f t="shared" si="22"/>
        <v/>
      </c>
      <c r="L102" s="349"/>
      <c r="M102" s="111" t="str">
        <f t="shared" si="23"/>
        <v/>
      </c>
      <c r="N102" s="350"/>
      <c r="O102" s="341" t="str">
        <f t="shared" si="27"/>
        <v/>
      </c>
      <c r="P102" s="337" t="str">
        <f>IF(ISBLANK(N102),"",VLOOKUP(AC102,Dasha!$A$10:$L$827,4))</f>
        <v/>
      </c>
      <c r="Q102" s="337" t="str">
        <f>IF(ISBLANK(N102),"",VLOOKUP(AC102,Dasha!$A$10:$L$827,6))</f>
        <v/>
      </c>
      <c r="R102" s="337" t="str">
        <f>IF(ISBLANK(N102),"",VLOOKUP(AC102,Dasha!$A$10:$L$827,8))</f>
        <v/>
      </c>
      <c r="S102" s="337" t="str">
        <f t="shared" si="33"/>
        <v/>
      </c>
      <c r="T102" s="450" t="str">
        <f t="shared" si="24"/>
        <v/>
      </c>
      <c r="U102" s="448" t="str">
        <f t="shared" si="28"/>
        <v>G10A</v>
      </c>
      <c r="V102" s="448" t="str">
        <f t="shared" si="29"/>
        <v>0</v>
      </c>
      <c r="W102" s="448" t="str">
        <f t="shared" si="25"/>
        <v>0</v>
      </c>
      <c r="X102" s="448" t="str">
        <f t="shared" si="30"/>
        <v>-</v>
      </c>
      <c r="Y102" s="448" t="str">
        <f t="shared" si="31"/>
        <v>-</v>
      </c>
      <c r="Z102" s="448" t="str">
        <f t="shared" si="32"/>
        <v>-</v>
      </c>
      <c r="AA102" s="448"/>
      <c r="AB102" s="449" t="str">
        <f>IF(ISBLANK(N102),"",IF((N102&lt;=Dasha!$B$10),0,VLOOKUP(N102,Dasha!$B$10:$L$827,11)))</f>
        <v/>
      </c>
      <c r="AC102" s="449" t="str">
        <f t="shared" si="26"/>
        <v/>
      </c>
    </row>
    <row r="103" spans="1:31" s="13" customFormat="1">
      <c r="A103" s="340">
        <f t="shared" si="34"/>
        <v>97</v>
      </c>
      <c r="B103" s="143" t="s">
        <v>544</v>
      </c>
      <c r="C103" s="111" t="s">
        <v>350</v>
      </c>
      <c r="D103" s="169"/>
      <c r="E103" s="126" t="s">
        <v>242</v>
      </c>
      <c r="F103" s="126"/>
      <c r="G103" s="126"/>
      <c r="H103" s="348" t="s">
        <v>392</v>
      </c>
      <c r="I103" s="419" t="str">
        <f t="shared" ref="I103:I112" si="35">IF(OR(MID(B103,4,1)="B",MID(B103,4,1)="C"),"X = ","")</f>
        <v/>
      </c>
      <c r="J103" s="349"/>
      <c r="K103" s="111" t="str">
        <f t="shared" ref="K103:K112" si="36">IF(MID(B103,4,1)="C","Y = ","")</f>
        <v/>
      </c>
      <c r="L103" s="349"/>
      <c r="M103" s="111" t="str">
        <f t="shared" ref="M103:M112" si="37">IF(MID(B103,4,1)="D","date?","")</f>
        <v/>
      </c>
      <c r="N103" s="350"/>
      <c r="O103" s="341" t="str">
        <f t="shared" si="27"/>
        <v/>
      </c>
      <c r="P103" s="337" t="str">
        <f>IF(ISBLANK(N103),"",VLOOKUP(AC103,Dasha!$A$10:$L$827,4))</f>
        <v/>
      </c>
      <c r="Q103" s="337" t="str">
        <f>IF(ISBLANK(N103),"",VLOOKUP(AC103,Dasha!$A$10:$L$827,6))</f>
        <v/>
      </c>
      <c r="R103" s="337" t="str">
        <f>IF(ISBLANK(N103),"",VLOOKUP(AC103,Dasha!$A$10:$L$827,8))</f>
        <v/>
      </c>
      <c r="S103" s="337" t="str">
        <f t="shared" si="33"/>
        <v/>
      </c>
      <c r="T103" s="450" t="str">
        <f t="shared" ref="T103:T112" si="38">IF(H103="Y",CONCATENATE($T$119,$C$4,$T$120,U103,$T$121,V103,$T$122,W103,$T$124,X103,$T$120,Y103,$T$120,Z103,$T$123),"")</f>
        <v/>
      </c>
      <c r="U103" s="448" t="str">
        <f t="shared" si="28"/>
        <v>G20A</v>
      </c>
      <c r="V103" s="448" t="str">
        <f t="shared" si="29"/>
        <v>0</v>
      </c>
      <c r="W103" s="448" t="str">
        <f t="shared" ref="W103:W112" si="39">IF(MID(B103,4,1)="A","0",(IF(MID(B103,4,1)="B","0",(IF(MID(B103,4,1)="C",(IF(ISBLANK(L103),"0",L103)),(IF(MID(B103,4,1)="D",(IF(ISBLANK(N103),"0",S103)),"0")))))))</f>
        <v>0</v>
      </c>
      <c r="X103" s="448" t="str">
        <f t="shared" si="30"/>
        <v>-</v>
      </c>
      <c r="Y103" s="448" t="str">
        <f t="shared" si="31"/>
        <v>-</v>
      </c>
      <c r="Z103" s="448" t="str">
        <f t="shared" si="32"/>
        <v>-</v>
      </c>
      <c r="AA103" s="448"/>
      <c r="AB103" s="449" t="str">
        <f>IF(ISBLANK(N103),"",IF((N103&lt;=Dasha!$B$10),0,VLOOKUP(N103,Dasha!$B$10:$L$827,11)))</f>
        <v/>
      </c>
      <c r="AC103" s="449" t="str">
        <f t="shared" ref="AC103:AC113" si="40">IF(ISBLANK(N103),"",AB103+1)</f>
        <v/>
      </c>
    </row>
    <row r="104" spans="1:31" s="13" customFormat="1">
      <c r="A104" s="340">
        <f t="shared" si="34"/>
        <v>98</v>
      </c>
      <c r="B104" s="143" t="s">
        <v>545</v>
      </c>
      <c r="C104" s="111" t="s">
        <v>350</v>
      </c>
      <c r="D104" s="169"/>
      <c r="E104" s="126" t="s">
        <v>243</v>
      </c>
      <c r="F104" s="126"/>
      <c r="G104" s="126"/>
      <c r="H104" s="348" t="s">
        <v>392</v>
      </c>
      <c r="I104" s="419" t="str">
        <f t="shared" si="35"/>
        <v/>
      </c>
      <c r="J104" s="349"/>
      <c r="K104" s="111" t="str">
        <f t="shared" si="36"/>
        <v/>
      </c>
      <c r="L104" s="349"/>
      <c r="M104" s="111" t="str">
        <f t="shared" si="37"/>
        <v/>
      </c>
      <c r="N104" s="350"/>
      <c r="O104" s="341" t="str">
        <f t="shared" si="27"/>
        <v/>
      </c>
      <c r="P104" s="337" t="str">
        <f>IF(ISBLANK(N104),"",VLOOKUP(AC104,Dasha!$A$10:$L$827,4))</f>
        <v/>
      </c>
      <c r="Q104" s="337" t="str">
        <f>IF(ISBLANK(N104),"",VLOOKUP(AC104,Dasha!$A$10:$L$827,6))</f>
        <v/>
      </c>
      <c r="R104" s="337" t="str">
        <f>IF(ISBLANK(N104),"",VLOOKUP(AC104,Dasha!$A$10:$L$827,8))</f>
        <v/>
      </c>
      <c r="S104" s="337" t="str">
        <f t="shared" si="33"/>
        <v/>
      </c>
      <c r="T104" s="450" t="str">
        <f t="shared" si="38"/>
        <v/>
      </c>
      <c r="U104" s="448" t="str">
        <f t="shared" si="28"/>
        <v>G30A</v>
      </c>
      <c r="V104" s="448" t="str">
        <f t="shared" si="29"/>
        <v>0</v>
      </c>
      <c r="W104" s="448" t="str">
        <f t="shared" si="39"/>
        <v>0</v>
      </c>
      <c r="X104" s="448" t="str">
        <f t="shared" si="30"/>
        <v>-</v>
      </c>
      <c r="Y104" s="448" t="str">
        <f t="shared" si="31"/>
        <v>-</v>
      </c>
      <c r="Z104" s="448" t="str">
        <f t="shared" si="32"/>
        <v>-</v>
      </c>
      <c r="AA104" s="448"/>
      <c r="AB104" s="449" t="str">
        <f>IF(ISBLANK(N104),"",IF((N104&lt;=Dasha!$B$10),0,VLOOKUP(N104,Dasha!$B$10:$L$827,11)))</f>
        <v/>
      </c>
      <c r="AC104" s="449" t="str">
        <f t="shared" si="40"/>
        <v/>
      </c>
    </row>
    <row r="105" spans="1:31" s="13" customFormat="1">
      <c r="A105" s="340">
        <f t="shared" si="34"/>
        <v>99</v>
      </c>
      <c r="B105" s="143" t="s">
        <v>546</v>
      </c>
      <c r="C105" s="111" t="s">
        <v>350</v>
      </c>
      <c r="D105" s="169"/>
      <c r="E105" s="126" t="s">
        <v>237</v>
      </c>
      <c r="F105" s="126"/>
      <c r="G105" s="126"/>
      <c r="H105" s="348" t="s">
        <v>392</v>
      </c>
      <c r="I105" s="419" t="str">
        <f t="shared" si="35"/>
        <v/>
      </c>
      <c r="J105" s="349"/>
      <c r="K105" s="111" t="str">
        <f t="shared" si="36"/>
        <v/>
      </c>
      <c r="L105" s="349"/>
      <c r="M105" s="111" t="str">
        <f t="shared" si="37"/>
        <v/>
      </c>
      <c r="N105" s="350"/>
      <c r="O105" s="341" t="str">
        <f t="shared" si="27"/>
        <v/>
      </c>
      <c r="P105" s="337" t="str">
        <f>IF(ISBLANK(N105),"",VLOOKUP(AC105,Dasha!$A$10:$L$827,4))</f>
        <v/>
      </c>
      <c r="Q105" s="337" t="str">
        <f>IF(ISBLANK(N105),"",VLOOKUP(AC105,Dasha!$A$10:$L$827,6))</f>
        <v/>
      </c>
      <c r="R105" s="337" t="str">
        <f>IF(ISBLANK(N105),"",VLOOKUP(AC105,Dasha!$A$10:$L$827,8))</f>
        <v/>
      </c>
      <c r="S105" s="337" t="str">
        <f t="shared" si="33"/>
        <v/>
      </c>
      <c r="T105" s="450" t="str">
        <f t="shared" si="38"/>
        <v/>
      </c>
      <c r="U105" s="448" t="str">
        <f t="shared" si="28"/>
        <v>G40A</v>
      </c>
      <c r="V105" s="448" t="str">
        <f t="shared" si="29"/>
        <v>0</v>
      </c>
      <c r="W105" s="448" t="str">
        <f t="shared" si="39"/>
        <v>0</v>
      </c>
      <c r="X105" s="448" t="str">
        <f t="shared" si="30"/>
        <v>-</v>
      </c>
      <c r="Y105" s="448" t="str">
        <f t="shared" si="31"/>
        <v>-</v>
      </c>
      <c r="Z105" s="448" t="str">
        <f t="shared" si="32"/>
        <v>-</v>
      </c>
      <c r="AA105" s="448"/>
      <c r="AB105" s="449" t="str">
        <f>IF(ISBLANK(N105),"",IF((N105&lt;=Dasha!$B$10),0,VLOOKUP(N105,Dasha!$B$10:$L$827,11)))</f>
        <v/>
      </c>
      <c r="AC105" s="449" t="str">
        <f t="shared" si="40"/>
        <v/>
      </c>
    </row>
    <row r="106" spans="1:31" s="13" customFormat="1">
      <c r="A106" s="340">
        <f t="shared" si="34"/>
        <v>100</v>
      </c>
      <c r="B106" s="143" t="s">
        <v>547</v>
      </c>
      <c r="C106" s="111" t="s">
        <v>350</v>
      </c>
      <c r="D106" s="169"/>
      <c r="E106" s="126" t="s">
        <v>238</v>
      </c>
      <c r="F106" s="126"/>
      <c r="G106" s="126"/>
      <c r="H106" s="348" t="s">
        <v>392</v>
      </c>
      <c r="I106" s="419" t="str">
        <f t="shared" si="35"/>
        <v/>
      </c>
      <c r="J106" s="349"/>
      <c r="K106" s="111" t="str">
        <f t="shared" si="36"/>
        <v/>
      </c>
      <c r="L106" s="349"/>
      <c r="M106" s="111" t="str">
        <f t="shared" si="37"/>
        <v/>
      </c>
      <c r="N106" s="350"/>
      <c r="O106" s="341" t="str">
        <f t="shared" si="27"/>
        <v/>
      </c>
      <c r="P106" s="337" t="str">
        <f>IF(ISBLANK(N106),"",VLOOKUP(AC106,Dasha!$A$10:$L$827,4))</f>
        <v/>
      </c>
      <c r="Q106" s="337" t="str">
        <f>IF(ISBLANK(N106),"",VLOOKUP(AC106,Dasha!$A$10:$L$827,6))</f>
        <v/>
      </c>
      <c r="R106" s="337" t="str">
        <f>IF(ISBLANK(N106),"",VLOOKUP(AC106,Dasha!$A$10:$L$827,8))</f>
        <v/>
      </c>
      <c r="S106" s="337" t="str">
        <f t="shared" si="33"/>
        <v/>
      </c>
      <c r="T106" s="450" t="str">
        <f t="shared" si="38"/>
        <v/>
      </c>
      <c r="U106" s="448" t="str">
        <f t="shared" si="28"/>
        <v>G50A</v>
      </c>
      <c r="V106" s="448" t="str">
        <f t="shared" si="29"/>
        <v>0</v>
      </c>
      <c r="W106" s="448" t="str">
        <f t="shared" si="39"/>
        <v>0</v>
      </c>
      <c r="X106" s="448" t="str">
        <f t="shared" si="30"/>
        <v>-</v>
      </c>
      <c r="Y106" s="448" t="str">
        <f t="shared" si="31"/>
        <v>-</v>
      </c>
      <c r="Z106" s="448" t="str">
        <f t="shared" si="32"/>
        <v>-</v>
      </c>
      <c r="AA106" s="448"/>
      <c r="AB106" s="449" t="str">
        <f>IF(ISBLANK(N106),"",IF((N106&lt;=Dasha!$B$10),0,VLOOKUP(N106,Dasha!$B$10:$L$827,11)))</f>
        <v/>
      </c>
      <c r="AC106" s="449" t="str">
        <f t="shared" si="40"/>
        <v/>
      </c>
    </row>
    <row r="107" spans="1:31" s="13" customFormat="1">
      <c r="A107" s="340">
        <f t="shared" si="34"/>
        <v>101</v>
      </c>
      <c r="B107" s="143" t="s">
        <v>548</v>
      </c>
      <c r="C107" s="111" t="s">
        <v>386</v>
      </c>
      <c r="D107" s="169"/>
      <c r="E107" s="126" t="s">
        <v>387</v>
      </c>
      <c r="F107" s="126"/>
      <c r="G107" s="126"/>
      <c r="H107" s="348" t="s">
        <v>392</v>
      </c>
      <c r="I107" s="419" t="str">
        <f t="shared" si="35"/>
        <v/>
      </c>
      <c r="J107" s="349"/>
      <c r="K107" s="111" t="str">
        <f t="shared" si="36"/>
        <v/>
      </c>
      <c r="L107" s="349"/>
      <c r="M107" s="111" t="str">
        <f t="shared" si="37"/>
        <v/>
      </c>
      <c r="N107" s="350"/>
      <c r="O107" s="341" t="str">
        <f t="shared" si="27"/>
        <v/>
      </c>
      <c r="P107" s="337" t="str">
        <f>IF(ISBLANK(N107),"",VLOOKUP(AC107,Dasha!$A$10:$L$827,4))</f>
        <v/>
      </c>
      <c r="Q107" s="337" t="str">
        <f>IF(ISBLANK(N107),"",VLOOKUP(AC107,Dasha!$A$10:$L$827,6))</f>
        <v/>
      </c>
      <c r="R107" s="337" t="str">
        <f>IF(ISBLANK(N107),"",VLOOKUP(AC107,Dasha!$A$10:$L$827,8))</f>
        <v/>
      </c>
      <c r="S107" s="337" t="str">
        <f t="shared" si="33"/>
        <v/>
      </c>
      <c r="T107" s="450" t="str">
        <f t="shared" si="38"/>
        <v/>
      </c>
      <c r="U107" s="448" t="str">
        <f t="shared" si="28"/>
        <v>pq0A</v>
      </c>
      <c r="V107" s="448" t="str">
        <f t="shared" si="29"/>
        <v>0</v>
      </c>
      <c r="W107" s="448" t="str">
        <f t="shared" si="39"/>
        <v>0</v>
      </c>
      <c r="X107" s="448" t="str">
        <f t="shared" si="30"/>
        <v>-</v>
      </c>
      <c r="Y107" s="448" t="str">
        <f t="shared" si="31"/>
        <v>-</v>
      </c>
      <c r="Z107" s="448" t="str">
        <f t="shared" si="32"/>
        <v>-</v>
      </c>
      <c r="AA107" s="448"/>
      <c r="AB107" s="449" t="str">
        <f>IF(ISBLANK(N107),"",IF((N107&lt;=Dasha!$B$10),0,VLOOKUP(N107,Dasha!$B$10:$L$827,11)))</f>
        <v/>
      </c>
      <c r="AC107" s="449" t="str">
        <f t="shared" si="40"/>
        <v/>
      </c>
    </row>
    <row r="108" spans="1:31" s="13" customFormat="1">
      <c r="A108" s="340">
        <f t="shared" si="34"/>
        <v>102</v>
      </c>
      <c r="B108" s="143" t="s">
        <v>549</v>
      </c>
      <c r="C108" s="111" t="s">
        <v>452</v>
      </c>
      <c r="D108" s="169"/>
      <c r="E108" s="126" t="s">
        <v>453</v>
      </c>
      <c r="F108" s="126"/>
      <c r="G108" s="126"/>
      <c r="H108" s="348" t="s">
        <v>303</v>
      </c>
      <c r="I108" s="419" t="str">
        <f t="shared" si="35"/>
        <v/>
      </c>
      <c r="J108" s="349"/>
      <c r="K108" s="111" t="str">
        <f t="shared" si="36"/>
        <v/>
      </c>
      <c r="L108" s="349"/>
      <c r="M108" s="111" t="str">
        <f t="shared" si="37"/>
        <v/>
      </c>
      <c r="N108" s="350"/>
      <c r="O108" s="341" t="str">
        <f t="shared" si="27"/>
        <v/>
      </c>
      <c r="P108" s="337" t="str">
        <f>IF(ISBLANK(N108),"",VLOOKUP(AC108,Dasha!$A$10:$L$827,4))</f>
        <v/>
      </c>
      <c r="Q108" s="337" t="str">
        <f>IF(ISBLANK(N108),"",VLOOKUP(AC108,Dasha!$A$10:$L$827,6))</f>
        <v/>
      </c>
      <c r="R108" s="337" t="str">
        <f>IF(ISBLANK(N108),"",VLOOKUP(AC108,Dasha!$A$10:$L$827,8))</f>
        <v/>
      </c>
      <c r="S108" s="337" t="str">
        <f t="shared" si="33"/>
        <v/>
      </c>
      <c r="T108" s="450" t="str">
        <f t="shared" si="38"/>
        <v>insert into events values ("NDM179934000","Z10A",0,0,"-","-","-");</v>
      </c>
      <c r="U108" s="448" t="str">
        <f t="shared" si="28"/>
        <v>Z10A</v>
      </c>
      <c r="V108" s="448" t="str">
        <f t="shared" si="29"/>
        <v>0</v>
      </c>
      <c r="W108" s="448" t="str">
        <f t="shared" si="39"/>
        <v>0</v>
      </c>
      <c r="X108" s="448" t="str">
        <f t="shared" si="30"/>
        <v>-</v>
      </c>
      <c r="Y108" s="448" t="str">
        <f t="shared" si="31"/>
        <v>-</v>
      </c>
      <c r="Z108" s="448" t="str">
        <f t="shared" si="32"/>
        <v>-</v>
      </c>
      <c r="AA108" s="448"/>
      <c r="AB108" s="449" t="str">
        <f>IF(ISBLANK(N108),"",IF((N108&lt;=Dasha!$B$10),0,VLOOKUP(N108,Dasha!$B$10:$L$827,11)))</f>
        <v/>
      </c>
      <c r="AC108" s="449" t="str">
        <f t="shared" si="40"/>
        <v/>
      </c>
    </row>
    <row r="109" spans="1:31" s="13" customFormat="1">
      <c r="A109" s="340">
        <f t="shared" si="34"/>
        <v>103</v>
      </c>
      <c r="B109" s="143" t="s">
        <v>550</v>
      </c>
      <c r="C109" s="111" t="s">
        <v>452</v>
      </c>
      <c r="D109" s="169"/>
      <c r="E109" s="126" t="s">
        <v>453</v>
      </c>
      <c r="F109" s="126"/>
      <c r="G109" s="126"/>
      <c r="H109" s="348" t="s">
        <v>303</v>
      </c>
      <c r="I109" s="419" t="str">
        <f t="shared" si="35"/>
        <v xml:space="preserve">X = </v>
      </c>
      <c r="J109" s="349">
        <v>4</v>
      </c>
      <c r="K109" s="111" t="str">
        <f t="shared" si="36"/>
        <v/>
      </c>
      <c r="L109" s="349"/>
      <c r="M109" s="111" t="str">
        <f t="shared" si="37"/>
        <v/>
      </c>
      <c r="N109" s="350"/>
      <c r="O109" s="341" t="str">
        <f t="shared" si="27"/>
        <v/>
      </c>
      <c r="P109" s="337" t="str">
        <f>IF(ISBLANK(N109),"",VLOOKUP(AC109,Dasha!$A$10:$L$827,4))</f>
        <v/>
      </c>
      <c r="Q109" s="337" t="str">
        <f>IF(ISBLANK(N109),"",VLOOKUP(AC109,Dasha!$A$10:$L$827,6))</f>
        <v/>
      </c>
      <c r="R109" s="337" t="str">
        <f>IF(ISBLANK(N109),"",VLOOKUP(AC109,Dasha!$A$10:$L$827,8))</f>
        <v/>
      </c>
      <c r="S109" s="337" t="str">
        <f t="shared" si="33"/>
        <v/>
      </c>
      <c r="T109" s="450" t="str">
        <f t="shared" si="38"/>
        <v>insert into events values ("NDM179934000","Z20B",4,0,"-","-","-");</v>
      </c>
      <c r="U109" s="448" t="str">
        <f t="shared" si="28"/>
        <v>Z20B</v>
      </c>
      <c r="V109" s="448">
        <f t="shared" si="29"/>
        <v>4</v>
      </c>
      <c r="W109" s="448" t="str">
        <f t="shared" si="39"/>
        <v>0</v>
      </c>
      <c r="X109" s="448" t="str">
        <f t="shared" si="30"/>
        <v>-</v>
      </c>
      <c r="Y109" s="448" t="str">
        <f t="shared" si="31"/>
        <v>-</v>
      </c>
      <c r="Z109" s="448" t="str">
        <f t="shared" si="32"/>
        <v>-</v>
      </c>
      <c r="AA109" s="448"/>
      <c r="AB109" s="449" t="str">
        <f>IF(ISBLANK(N109),"",IF((N109&lt;=Dasha!$B$10),0,VLOOKUP(N109,Dasha!$B$10:$L$827,11)))</f>
        <v/>
      </c>
      <c r="AC109" s="449" t="str">
        <f t="shared" si="40"/>
        <v/>
      </c>
    </row>
    <row r="110" spans="1:31" s="13" customFormat="1">
      <c r="A110" s="340">
        <f t="shared" si="34"/>
        <v>104</v>
      </c>
      <c r="B110" s="143" t="s">
        <v>551</v>
      </c>
      <c r="C110" s="111" t="s">
        <v>452</v>
      </c>
      <c r="D110" s="169"/>
      <c r="E110" s="126" t="s">
        <v>453</v>
      </c>
      <c r="F110" s="126"/>
      <c r="G110" s="126"/>
      <c r="H110" s="348" t="s">
        <v>303</v>
      </c>
      <c r="I110" s="419" t="str">
        <f t="shared" si="35"/>
        <v xml:space="preserve">X = </v>
      </c>
      <c r="J110" s="349">
        <v>5</v>
      </c>
      <c r="K110" s="111" t="str">
        <f t="shared" si="36"/>
        <v xml:space="preserve">Y = </v>
      </c>
      <c r="L110" s="349">
        <v>6</v>
      </c>
      <c r="M110" s="111" t="str">
        <f t="shared" si="37"/>
        <v/>
      </c>
      <c r="N110" s="350"/>
      <c r="O110" s="341" t="str">
        <f t="shared" si="27"/>
        <v/>
      </c>
      <c r="P110" s="337" t="str">
        <f>IF(ISBLANK(N110),"",VLOOKUP(AC110,Dasha!$A$10:$L$827,4))</f>
        <v/>
      </c>
      <c r="Q110" s="337" t="str">
        <f>IF(ISBLANK(N110),"",VLOOKUP(AC110,Dasha!$A$10:$L$827,6))</f>
        <v/>
      </c>
      <c r="R110" s="337" t="str">
        <f>IF(ISBLANK(N110),"",VLOOKUP(AC110,Dasha!$A$10:$L$827,8))</f>
        <v/>
      </c>
      <c r="S110" s="337" t="str">
        <f t="shared" si="33"/>
        <v/>
      </c>
      <c r="T110" s="450" t="str">
        <f t="shared" si="38"/>
        <v>insert into events values ("NDM179934000","Z30C",5,6,"-","-","-");</v>
      </c>
      <c r="U110" s="448" t="str">
        <f t="shared" si="28"/>
        <v>Z30C</v>
      </c>
      <c r="V110" s="448">
        <f t="shared" si="29"/>
        <v>5</v>
      </c>
      <c r="W110" s="448">
        <f t="shared" si="39"/>
        <v>6</v>
      </c>
      <c r="X110" s="448" t="str">
        <f t="shared" si="30"/>
        <v>-</v>
      </c>
      <c r="Y110" s="448" t="str">
        <f t="shared" si="31"/>
        <v>-</v>
      </c>
      <c r="Z110" s="448" t="str">
        <f t="shared" si="32"/>
        <v>-</v>
      </c>
      <c r="AA110" s="448"/>
      <c r="AB110" s="449" t="str">
        <f>IF(ISBLANK(N110),"",IF((N110&lt;=Dasha!$B$10),0,VLOOKUP(N110,Dasha!$B$10:$L$827,11)))</f>
        <v/>
      </c>
      <c r="AC110" s="449" t="str">
        <f t="shared" si="40"/>
        <v/>
      </c>
    </row>
    <row r="111" spans="1:31" s="13" customFormat="1">
      <c r="A111" s="340">
        <f t="shared" si="34"/>
        <v>105</v>
      </c>
      <c r="B111" s="143" t="s">
        <v>552</v>
      </c>
      <c r="C111" s="111" t="s">
        <v>452</v>
      </c>
      <c r="D111" s="169"/>
      <c r="E111" s="126" t="s">
        <v>453</v>
      </c>
      <c r="F111" s="126"/>
      <c r="G111" s="126"/>
      <c r="H111" s="348" t="s">
        <v>303</v>
      </c>
      <c r="I111" s="419" t="str">
        <f t="shared" si="35"/>
        <v/>
      </c>
      <c r="J111" s="349"/>
      <c r="K111" s="111" t="str">
        <f t="shared" si="36"/>
        <v/>
      </c>
      <c r="L111" s="349"/>
      <c r="M111" s="111" t="str">
        <f t="shared" si="37"/>
        <v>date?</v>
      </c>
      <c r="N111" s="350">
        <v>36303</v>
      </c>
      <c r="O111" s="341" t="str">
        <f t="shared" si="27"/>
        <v/>
      </c>
      <c r="P111" s="337" t="str">
        <f>IF(ISBLANK(N111),"",VLOOKUP(AC111,Dasha!$A$10:$L$827,4))</f>
        <v>venus</v>
      </c>
      <c r="Q111" s="337" t="str">
        <f>IF(ISBLANK(N111),"",VLOOKUP(AC111,Dasha!$A$10:$L$827,6))</f>
        <v>jupiter</v>
      </c>
      <c r="R111" s="337" t="str">
        <f>IF(ISBLANK(N111),"",VLOOKUP(AC111,Dasha!$A$10:$L$827,8))</f>
        <v>mars</v>
      </c>
      <c r="S111" s="337">
        <f t="shared" si="33"/>
        <v>48</v>
      </c>
      <c r="T111" s="450" t="str">
        <f t="shared" si="38"/>
        <v>insert into events values ("NDM179934000","Z40D",0,48,"ven","jup","mar");</v>
      </c>
      <c r="U111" s="448" t="str">
        <f t="shared" si="28"/>
        <v>Z40D</v>
      </c>
      <c r="V111" s="448" t="str">
        <f t="shared" si="29"/>
        <v>0</v>
      </c>
      <c r="W111" s="448">
        <f t="shared" si="39"/>
        <v>48</v>
      </c>
      <c r="X111" s="448" t="str">
        <f t="shared" si="30"/>
        <v>ven</v>
      </c>
      <c r="Y111" s="448" t="str">
        <f t="shared" si="31"/>
        <v>jup</v>
      </c>
      <c r="Z111" s="448" t="str">
        <f t="shared" si="32"/>
        <v>mar</v>
      </c>
      <c r="AA111" s="448"/>
      <c r="AB111" s="449">
        <f>IF(ISBLANK(N111),"",IF((N111&lt;=Dasha!$B$10),0,VLOOKUP(N111,Dasha!$B$10:$L$827,11)))</f>
        <v>295</v>
      </c>
      <c r="AC111" s="449">
        <f t="shared" si="40"/>
        <v>296</v>
      </c>
    </row>
    <row r="112" spans="1:31" s="13" customFormat="1" ht="13.8" thickBot="1">
      <c r="A112" s="422">
        <f t="shared" si="34"/>
        <v>106</v>
      </c>
      <c r="B112" s="423" t="s">
        <v>577</v>
      </c>
      <c r="C112" s="111" t="s">
        <v>386</v>
      </c>
      <c r="D112" s="424"/>
      <c r="E112" s="126" t="s">
        <v>387</v>
      </c>
      <c r="F112" s="425"/>
      <c r="G112" s="126"/>
      <c r="H112" s="426" t="s">
        <v>303</v>
      </c>
      <c r="I112" s="419" t="str">
        <f t="shared" si="35"/>
        <v/>
      </c>
      <c r="J112" s="349"/>
      <c r="K112" s="111" t="str">
        <f t="shared" si="36"/>
        <v/>
      </c>
      <c r="L112" s="349"/>
      <c r="M112" s="111" t="str">
        <f t="shared" si="37"/>
        <v>date?</v>
      </c>
      <c r="N112" s="350"/>
      <c r="O112" s="341" t="str">
        <f t="shared" si="27"/>
        <v/>
      </c>
      <c r="P112" s="427" t="str">
        <f>IF(ISBLANK(N112),"",VLOOKUP(AC112,Dasha!$A$10:$L$827,4))</f>
        <v/>
      </c>
      <c r="Q112" s="427" t="str">
        <f>IF(ISBLANK(N112),"",VLOOKUP(AC112,Dasha!$A$10:$L$827,6))</f>
        <v/>
      </c>
      <c r="R112" s="427" t="str">
        <f>IF(ISBLANK(N112),"",VLOOKUP(AC112,Dasha!$A$10:$L$827,8))</f>
        <v/>
      </c>
      <c r="S112" s="427" t="str">
        <f t="shared" si="33"/>
        <v/>
      </c>
      <c r="T112" s="450" t="str">
        <f t="shared" si="38"/>
        <v>insert into events values ("NDM179934000","pq0D",0,0,"-","-","-");</v>
      </c>
      <c r="U112" s="448" t="str">
        <f t="shared" si="28"/>
        <v>pq0D</v>
      </c>
      <c r="V112" s="448" t="str">
        <f t="shared" si="29"/>
        <v>0</v>
      </c>
      <c r="W112" s="448" t="str">
        <f t="shared" si="39"/>
        <v>0</v>
      </c>
      <c r="X112" s="448" t="str">
        <f t="shared" si="30"/>
        <v>-</v>
      </c>
      <c r="Y112" s="448" t="str">
        <f t="shared" si="31"/>
        <v>-</v>
      </c>
      <c r="Z112" s="448" t="str">
        <f t="shared" si="32"/>
        <v>-</v>
      </c>
      <c r="AA112" s="448"/>
      <c r="AB112" s="449" t="str">
        <f>IF(ISBLANK(N112),"",IF((N112&lt;=Dasha!$B$10),0,VLOOKUP(N112,Dasha!$B$10:$L$827,11)))</f>
        <v/>
      </c>
      <c r="AC112" s="449" t="str">
        <f t="shared" si="40"/>
        <v/>
      </c>
      <c r="AD112" s="428"/>
      <c r="AE112" s="428"/>
    </row>
    <row r="113" spans="1:29" s="13" customFormat="1" ht="13.8" thickTop="1">
      <c r="B113" s="123"/>
      <c r="C113" s="111"/>
      <c r="D113" s="111"/>
      <c r="E113" s="125"/>
      <c r="F113" s="125"/>
      <c r="G113" s="125"/>
      <c r="H113" s="125"/>
      <c r="I113" s="419"/>
      <c r="J113" s="349"/>
      <c r="K113" s="111"/>
      <c r="L113" s="349"/>
      <c r="M113" s="111"/>
      <c r="N113" s="350"/>
      <c r="O113" s="341" t="str">
        <f>CONCATENATE((IF(AND((MID(B113,4,1)="B"),(V113="0")),"no data","")),(IF(AND((MID(B113,4,1)="C"),OR((V113="0"),W113="0")),"no data","")))</f>
        <v/>
      </c>
      <c r="P113" s="337"/>
      <c r="Q113" s="337"/>
      <c r="R113" s="433"/>
      <c r="S113" s="337"/>
      <c r="T113" s="317"/>
      <c r="U113" s="342">
        <f>B113</f>
        <v>0</v>
      </c>
      <c r="V113" s="342" t="str">
        <f>IF(MID(B113,4,1)="A","0",(IF(OR(MID(B113,4,1)="B",MID(B113,4,1)="C"),(IF(ISBLANK(J113),"0",J113)),(IF(MID(B113,4,1)="D",(IF(ISBLANK(N113),"0",#REF!)),"0")))))</f>
        <v>0</v>
      </c>
      <c r="W113" s="342" t="str">
        <f>IF(MID(B113,4,1)="A","0",(IF(MID(B113,4,1)="B","0",(IF(MID(B113,4,1)="C",(IF(ISBLANK(L113),"0",L113)),(IF(MID(B113,4,1)="D",(IF(ISBLANK(N113),"0",#REF!)),"0")))))))</f>
        <v>0</v>
      </c>
      <c r="X113" s="342" t="str">
        <f>IF(MID(B113,4,1)="D",(IF(ISBLANK(N113),"0",#REF!)),"0")</f>
        <v>0</v>
      </c>
      <c r="Y113" s="342" t="str">
        <f>IF(MID(B113,4,1)="D",(IF(ISBLANK(N113),"0",S113)),"0")</f>
        <v>0</v>
      </c>
      <c r="Z113" s="342"/>
      <c r="AA113" s="123"/>
      <c r="AB113" s="338" t="str">
        <f>IF(ISBLANK(N113),"",IF((N113&lt;=Dasha!$B$10),0,VLOOKUP(N113,Dasha!$B$10:$L$827,11)))</f>
        <v/>
      </c>
      <c r="AC113" s="338" t="str">
        <f t="shared" si="40"/>
        <v/>
      </c>
    </row>
    <row r="114" spans="1:29" ht="13.8" thickBot="1">
      <c r="A114" s="345"/>
      <c r="B114" s="346"/>
      <c r="C114" s="343"/>
      <c r="D114" s="343"/>
      <c r="E114" s="343"/>
      <c r="F114" s="343"/>
      <c r="G114" s="343"/>
      <c r="H114" s="344"/>
      <c r="I114" s="420"/>
      <c r="J114" s="345"/>
      <c r="K114" s="345"/>
      <c r="L114" s="345"/>
      <c r="M114" s="345"/>
      <c r="N114" s="345"/>
      <c r="O114" s="345"/>
      <c r="P114" s="344"/>
      <c r="Q114" s="344"/>
      <c r="R114" s="344"/>
      <c r="S114" s="343"/>
      <c r="T114" s="346"/>
      <c r="U114" s="346"/>
      <c r="V114" s="346"/>
      <c r="W114" s="346"/>
      <c r="X114" s="347"/>
      <c r="Y114" s="347"/>
      <c r="Z114" s="347"/>
      <c r="AA114" s="15"/>
      <c r="AC114" s="1"/>
    </row>
    <row r="115" spans="1:29" ht="13.8" thickTop="1">
      <c r="I115" s="421"/>
      <c r="J115" s="100" t="s">
        <v>388</v>
      </c>
      <c r="L115" s="100" t="s">
        <v>389</v>
      </c>
      <c r="N115" s="100" t="s">
        <v>390</v>
      </c>
      <c r="O115" s="100"/>
      <c r="U115" s="142" t="s">
        <v>391</v>
      </c>
      <c r="V115" s="142" t="s">
        <v>388</v>
      </c>
      <c r="W115" s="142" t="s">
        <v>389</v>
      </c>
      <c r="X115" s="142" t="s">
        <v>390</v>
      </c>
      <c r="Y115" s="142" t="s">
        <v>556</v>
      </c>
      <c r="Z115" s="142"/>
      <c r="AA115" s="147"/>
    </row>
    <row r="116" spans="1:29">
      <c r="B116" s="143"/>
      <c r="C116" s="111"/>
      <c r="D116" s="169"/>
      <c r="E116" s="126"/>
      <c r="F116" s="126"/>
      <c r="G116" s="126"/>
      <c r="H116" s="126"/>
      <c r="I116" s="419"/>
      <c r="J116" s="111"/>
      <c r="K116" s="111"/>
      <c r="L116" s="111"/>
      <c r="M116" s="111"/>
      <c r="N116" s="341"/>
      <c r="O116" s="341"/>
      <c r="P116" s="337"/>
      <c r="Q116" s="337"/>
      <c r="R116" s="337"/>
      <c r="S116" s="337"/>
      <c r="T116" s="317"/>
      <c r="U116" s="342"/>
      <c r="V116" s="342"/>
      <c r="W116" s="342"/>
      <c r="X116" s="342"/>
      <c r="Y116" s="342"/>
      <c r="Z116" s="342"/>
      <c r="AA116" s="123"/>
      <c r="AB116" s="338"/>
      <c r="AC116" s="338"/>
    </row>
    <row r="119" spans="1:29">
      <c r="H119" s="146" t="s">
        <v>303</v>
      </c>
      <c r="I119" s="100" t="s">
        <v>17</v>
      </c>
      <c r="J119" s="1">
        <v>1</v>
      </c>
      <c r="T119" s="146" t="s">
        <v>393</v>
      </c>
    </row>
    <row r="120" spans="1:29">
      <c r="H120" s="146" t="s">
        <v>392</v>
      </c>
      <c r="I120" s="100" t="s">
        <v>18</v>
      </c>
      <c r="J120" s="1">
        <v>2</v>
      </c>
      <c r="T120" s="146" t="s">
        <v>394</v>
      </c>
    </row>
    <row r="121" spans="1:29">
      <c r="I121" s="100" t="s">
        <v>19</v>
      </c>
      <c r="J121" s="1">
        <v>3</v>
      </c>
      <c r="T121" s="146" t="s">
        <v>576</v>
      </c>
    </row>
    <row r="122" spans="1:29">
      <c r="I122" s="100" t="s">
        <v>20</v>
      </c>
      <c r="J122" s="1">
        <v>4</v>
      </c>
      <c r="T122" s="146" t="s">
        <v>575</v>
      </c>
    </row>
    <row r="123" spans="1:29">
      <c r="I123" s="100" t="s">
        <v>21</v>
      </c>
      <c r="J123" s="1">
        <v>5</v>
      </c>
      <c r="T123" s="146" t="s">
        <v>580</v>
      </c>
    </row>
    <row r="124" spans="1:29">
      <c r="I124" s="100" t="s">
        <v>22</v>
      </c>
      <c r="J124" s="1">
        <v>6</v>
      </c>
      <c r="T124" s="146" t="s">
        <v>579</v>
      </c>
    </row>
    <row r="125" spans="1:29">
      <c r="I125" s="100" t="s">
        <v>23</v>
      </c>
      <c r="J125" s="1">
        <v>7</v>
      </c>
    </row>
    <row r="126" spans="1:29">
      <c r="I126" s="100" t="s">
        <v>24</v>
      </c>
      <c r="J126" s="1">
        <v>8</v>
      </c>
    </row>
    <row r="127" spans="1:29">
      <c r="I127" s="100" t="s">
        <v>25</v>
      </c>
      <c r="J127" s="1">
        <v>9</v>
      </c>
    </row>
  </sheetData>
  <sheetProtection password="9C47" sheet="1"/>
  <mergeCells count="2">
    <mergeCell ref="H4:I4"/>
    <mergeCell ref="E2:G2"/>
  </mergeCells>
  <phoneticPr fontId="55" type="noConversion"/>
  <conditionalFormatting sqref="E116:F116">
    <cfRule type="expression" dxfId="30" priority="1858" stopIfTrue="1">
      <formula>H116="Y"</formula>
    </cfRule>
  </conditionalFormatting>
  <conditionalFormatting sqref="C116">
    <cfRule type="expression" dxfId="29" priority="1874" stopIfTrue="1">
      <formula>H116="Y"</formula>
    </cfRule>
  </conditionalFormatting>
  <conditionalFormatting sqref="O116">
    <cfRule type="expression" dxfId="28" priority="1236" stopIfTrue="1">
      <formula>AND(($O$116="no data"),($H$116="Y"))</formula>
    </cfRule>
  </conditionalFormatting>
  <conditionalFormatting sqref="H116 H7:H112">
    <cfRule type="expression" dxfId="27" priority="1235" stopIfTrue="1">
      <formula>H7="Y"</formula>
    </cfRule>
  </conditionalFormatting>
  <conditionalFormatting sqref="O7">
    <cfRule type="expression" dxfId="26" priority="1189" stopIfTrue="1">
      <formula>AND((O7="no data"),(H7="Y"))</formula>
    </cfRule>
  </conditionalFormatting>
  <conditionalFormatting sqref="I116">
    <cfRule type="expression" dxfId="25" priority="1875" stopIfTrue="1">
      <formula>OR(MID(B116,3,1)="B",MID(B116,3,1)="C")</formula>
    </cfRule>
  </conditionalFormatting>
  <conditionalFormatting sqref="L116">
    <cfRule type="expression" dxfId="24" priority="1878" stopIfTrue="1">
      <formula>(MID(B116,3,1)="C")</formula>
    </cfRule>
  </conditionalFormatting>
  <conditionalFormatting sqref="M116">
    <cfRule type="expression" dxfId="23" priority="1879" stopIfTrue="1">
      <formula>MID(B116,3,1)="D"</formula>
    </cfRule>
  </conditionalFormatting>
  <conditionalFormatting sqref="N116">
    <cfRule type="expression" dxfId="22" priority="1880" stopIfTrue="1">
      <formula>MID(B116,3,1)="D"</formula>
    </cfRule>
  </conditionalFormatting>
  <conditionalFormatting sqref="D116">
    <cfRule type="expression" dxfId="21" priority="1881" stopIfTrue="1">
      <formula>B116="Y"</formula>
    </cfRule>
  </conditionalFormatting>
  <conditionalFormatting sqref="G116">
    <cfRule type="expression" dxfId="20" priority="1883" stopIfTrue="1">
      <formula>B116="Y"</formula>
    </cfRule>
  </conditionalFormatting>
  <conditionalFormatting sqref="I7">
    <cfRule type="expression" dxfId="19" priority="1889" stopIfTrue="1">
      <formula>OR(MID(B7,4,1)="B",MID(B7,4,1)="C")</formula>
    </cfRule>
  </conditionalFormatting>
  <conditionalFormatting sqref="K7:K112">
    <cfRule type="expression" dxfId="18" priority="1891" stopIfTrue="1">
      <formula>(MID(B7,4,1)="C")</formula>
    </cfRule>
  </conditionalFormatting>
  <conditionalFormatting sqref="L7:L111">
    <cfRule type="expression" dxfId="17" priority="1892" stopIfTrue="1">
      <formula>(MID(B7,4,1)="C")</formula>
    </cfRule>
  </conditionalFormatting>
  <conditionalFormatting sqref="M7">
    <cfRule type="expression" dxfId="16" priority="1893" stopIfTrue="1">
      <formula>MID(B7,4,1)="D"</formula>
    </cfRule>
  </conditionalFormatting>
  <conditionalFormatting sqref="N7">
    <cfRule type="expression" dxfId="15" priority="1894" stopIfTrue="1">
      <formula>MID(B7,4,1)="D"</formula>
    </cfRule>
  </conditionalFormatting>
  <conditionalFormatting sqref="J7">
    <cfRule type="expression" dxfId="14" priority="1899" stopIfTrue="1">
      <formula>OR(MID(B7,4,1)="B",MID(B7,4,1)="C")</formula>
    </cfRule>
  </conditionalFormatting>
  <conditionalFormatting sqref="I8:I111">
    <cfRule type="expression" dxfId="13" priority="15" stopIfTrue="1">
      <formula>OR(MID(B8,4,1)="B",MID(B8,4,1)="C")</formula>
    </cfRule>
  </conditionalFormatting>
  <conditionalFormatting sqref="J8:J112">
    <cfRule type="expression" dxfId="12" priority="14" stopIfTrue="1">
      <formula>OR(MID(B8,4,1)="B",MID(B8,4,1)="C")</formula>
    </cfRule>
  </conditionalFormatting>
  <conditionalFormatting sqref="M8:M112">
    <cfRule type="expression" dxfId="11" priority="13" stopIfTrue="1">
      <formula>MID(B8,4,1)="D"</formula>
    </cfRule>
  </conditionalFormatting>
  <conditionalFormatting sqref="N8:N112">
    <cfRule type="expression" dxfId="10" priority="12" stopIfTrue="1">
      <formula>MID(B8,4,1)="D"</formula>
    </cfRule>
  </conditionalFormatting>
  <conditionalFormatting sqref="C7">
    <cfRule type="expression" dxfId="9" priority="10" stopIfTrue="1">
      <formula>H7="Y"</formula>
    </cfRule>
  </conditionalFormatting>
  <conditionalFormatting sqref="C8:C112">
    <cfRule type="expression" dxfId="8" priority="9" stopIfTrue="1">
      <formula>H8="Y"</formula>
    </cfRule>
  </conditionalFormatting>
  <conditionalFormatting sqref="E7">
    <cfRule type="expression" dxfId="7" priority="8" stopIfTrue="1">
      <formula>H7="Y"</formula>
    </cfRule>
  </conditionalFormatting>
  <conditionalFormatting sqref="E8:E112">
    <cfRule type="expression" dxfId="6" priority="7" stopIfTrue="1">
      <formula>H8="Y"</formula>
    </cfRule>
  </conditionalFormatting>
  <conditionalFormatting sqref="G7">
    <cfRule type="expression" dxfId="5" priority="6" stopIfTrue="1">
      <formula>H7="Y"</formula>
    </cfRule>
  </conditionalFormatting>
  <conditionalFormatting sqref="G8:G112">
    <cfRule type="expression" dxfId="4" priority="5" stopIfTrue="1">
      <formula>H8="Y"</formula>
    </cfRule>
  </conditionalFormatting>
  <conditionalFormatting sqref="O113">
    <cfRule type="expression" dxfId="3" priority="3" stopIfTrue="1">
      <formula>AND((O113="no data"),(H113="Y"))</formula>
    </cfRule>
  </conditionalFormatting>
  <conditionalFormatting sqref="O8:O112">
    <cfRule type="expression" dxfId="2" priority="1" stopIfTrue="1">
      <formula>AND((O8="no data"),(H8="Y"))</formula>
    </cfRule>
  </conditionalFormatting>
  <dataValidations count="1">
    <dataValidation type="list" allowBlank="1" showInputMessage="1" showErrorMessage="1" sqref="H116 H7:H113">
      <formula1>$H$119:$H$120</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99"/>
  <sheetViews>
    <sheetView workbookViewId="0">
      <selection activeCell="AC13" sqref="AC13"/>
    </sheetView>
  </sheetViews>
  <sheetFormatPr defaultColWidth="9.109375" defaultRowHeight="13.2"/>
  <cols>
    <col min="1" max="1" width="3" style="1" customWidth="1"/>
    <col min="2" max="2" width="4.6640625" style="1" customWidth="1"/>
    <col min="3" max="3" width="10" style="1" customWidth="1"/>
    <col min="4" max="4" width="15.109375" style="1" customWidth="1"/>
    <col min="5" max="14" width="3.33203125" style="1" customWidth="1"/>
    <col min="15" max="15" width="2.33203125" style="1" customWidth="1"/>
    <col min="16" max="27" width="3.33203125" style="1" customWidth="1"/>
    <col min="28" max="28" width="3" style="1" customWidth="1"/>
    <col min="29" max="40" width="3.33203125" style="1" customWidth="1"/>
    <col min="41" max="16384" width="9.109375" style="1"/>
  </cols>
  <sheetData>
    <row r="1" spans="1:44" ht="17.399999999999999">
      <c r="B1" s="283"/>
      <c r="C1" s="283"/>
      <c r="D1" s="283"/>
      <c r="E1" s="284"/>
      <c r="F1" s="10"/>
      <c r="G1" s="10"/>
      <c r="H1" s="10"/>
      <c r="I1" s="10"/>
      <c r="J1" s="10"/>
      <c r="K1" s="10"/>
      <c r="L1" s="10"/>
      <c r="M1" s="10"/>
      <c r="N1" s="10"/>
      <c r="O1" s="10"/>
      <c r="P1" s="10"/>
      <c r="Q1" s="551" t="s">
        <v>385</v>
      </c>
      <c r="R1" s="551"/>
      <c r="S1" s="551"/>
      <c r="T1" s="551"/>
      <c r="U1" s="551"/>
      <c r="V1" s="551"/>
      <c r="W1" s="551"/>
      <c r="X1" s="551"/>
      <c r="Y1" s="551"/>
      <c r="Z1" s="551"/>
      <c r="AA1" s="551"/>
      <c r="AB1" s="551"/>
      <c r="AC1" s="10"/>
      <c r="AD1" s="10"/>
      <c r="AE1" s="10"/>
      <c r="AF1" s="10"/>
      <c r="AG1" s="10"/>
      <c r="AH1" s="10"/>
      <c r="AI1" s="10"/>
      <c r="AJ1" s="10"/>
      <c r="AK1" s="10"/>
      <c r="AL1" s="11"/>
      <c r="AM1" s="11"/>
      <c r="AN1" s="11"/>
      <c r="AO1" s="12"/>
      <c r="AP1" s="75"/>
      <c r="AQ1" s="75"/>
      <c r="AR1" s="75"/>
    </row>
    <row r="2" spans="1:44">
      <c r="B2" s="61"/>
      <c r="C2" s="73"/>
      <c r="D2" s="73"/>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75"/>
      <c r="AP2" s="75"/>
      <c r="AQ2" s="75"/>
      <c r="AR2" s="75"/>
    </row>
    <row r="3" spans="1:44">
      <c r="B3" s="61"/>
      <c r="C3" s="76"/>
      <c r="D3" s="73" t="s">
        <v>208</v>
      </c>
      <c r="E3" s="14"/>
      <c r="F3" s="552" t="s">
        <v>20</v>
      </c>
      <c r="G3" s="553"/>
      <c r="H3" s="553"/>
      <c r="I3" s="553"/>
      <c r="J3" s="554" t="s">
        <v>142</v>
      </c>
      <c r="K3" s="554"/>
      <c r="L3" s="554"/>
      <c r="M3" s="555" t="s">
        <v>17</v>
      </c>
      <c r="N3" s="556"/>
      <c r="O3" s="556"/>
      <c r="P3" s="556"/>
      <c r="Q3" s="77"/>
      <c r="R3" s="78" t="str">
        <f>CONCATENATE($AO$78,HLOOKUP(F3,$E$5:$AN$6,2,FALSE),VLOOKUP(CONCATENATE(J3,M3),$A$9:$B$95,2,FALSE),$AO$79)</f>
        <v>select chartid from pac2 where kause = 'X14Y51'</v>
      </c>
      <c r="S3" s="74"/>
      <c r="T3" s="74"/>
      <c r="U3" s="74"/>
      <c r="V3" s="74"/>
      <c r="W3" s="74"/>
      <c r="X3" s="74"/>
      <c r="Y3" s="74"/>
      <c r="Z3" s="74"/>
      <c r="AA3" s="74"/>
      <c r="AB3" s="74"/>
      <c r="AC3" s="74"/>
      <c r="AD3" s="74"/>
      <c r="AE3" s="74"/>
      <c r="AF3" s="74"/>
      <c r="AG3" s="74"/>
      <c r="AH3" s="74"/>
      <c r="AI3" s="74"/>
      <c r="AJ3" s="74"/>
      <c r="AK3" s="74"/>
      <c r="AL3" s="74"/>
      <c r="AM3" s="74"/>
      <c r="AN3" s="74"/>
      <c r="AO3" s="75"/>
      <c r="AP3" s="75"/>
      <c r="AQ3" s="75"/>
      <c r="AR3" s="75"/>
    </row>
    <row r="4" spans="1:44">
      <c r="B4" s="61"/>
      <c r="C4" s="73"/>
      <c r="D4" s="73"/>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6"/>
      <c r="AO4" s="75"/>
      <c r="AP4" s="75"/>
      <c r="AQ4" s="75"/>
      <c r="AR4" s="75"/>
    </row>
    <row r="5" spans="1:44" ht="72.75" customHeight="1">
      <c r="B5" s="18" t="s">
        <v>15</v>
      </c>
      <c r="C5" s="3"/>
      <c r="D5" s="4"/>
      <c r="E5" s="19" t="str">
        <f>PAC!D23</f>
        <v>lagna</v>
      </c>
      <c r="F5" s="19" t="str">
        <f>PAC!E23</f>
        <v>sun</v>
      </c>
      <c r="G5" s="19" t="str">
        <f>PAC!F23</f>
        <v>moon</v>
      </c>
      <c r="H5" s="19" t="str">
        <f>PAC!G23</f>
        <v>mercury</v>
      </c>
      <c r="I5" s="19" t="str">
        <f>PAC!H23</f>
        <v>venus</v>
      </c>
      <c r="J5" s="19" t="str">
        <f>PAC!I23</f>
        <v>mars</v>
      </c>
      <c r="K5" s="19" t="str">
        <f>PAC!J23</f>
        <v>jupiter</v>
      </c>
      <c r="L5" s="19" t="str">
        <f>PAC!K23</f>
        <v>saturn</v>
      </c>
      <c r="M5" s="19" t="str">
        <f>PAC!L23</f>
        <v>rahu</v>
      </c>
      <c r="N5" s="19" t="str">
        <f>PAC!M23</f>
        <v>ketu</v>
      </c>
      <c r="O5" s="274" t="str">
        <f>GenPAC!D23</f>
        <v>natal moon</v>
      </c>
      <c r="P5" s="19" t="str">
        <f>PAC!O23</f>
        <v>first lord</v>
      </c>
      <c r="Q5" s="19" t="str">
        <f>PAC!P23</f>
        <v>second lord</v>
      </c>
      <c r="R5" s="19" t="str">
        <f>PAC!Q23</f>
        <v>third lord</v>
      </c>
      <c r="S5" s="19" t="str">
        <f>PAC!R23</f>
        <v>fourth lord</v>
      </c>
      <c r="T5" s="19" t="str">
        <f>PAC!S23</f>
        <v>fifth lord</v>
      </c>
      <c r="U5" s="19" t="str">
        <f>PAC!T23</f>
        <v>sixth lord</v>
      </c>
      <c r="V5" s="19" t="str">
        <f>PAC!U23</f>
        <v>seventh lord</v>
      </c>
      <c r="W5" s="19" t="str">
        <f>PAC!V23</f>
        <v>eighth lord</v>
      </c>
      <c r="X5" s="19" t="str">
        <f>PAC!W23</f>
        <v>ninth lord</v>
      </c>
      <c r="Y5" s="19" t="str">
        <f>PAC!X23</f>
        <v>tenth lord</v>
      </c>
      <c r="Z5" s="19" t="str">
        <f>PAC!Y23</f>
        <v>eleventh lord</v>
      </c>
      <c r="AA5" s="19" t="str">
        <f>PAC!Z23</f>
        <v>twelveth lord</v>
      </c>
      <c r="AB5" s="15"/>
      <c r="AC5" s="19" t="str">
        <f>PAC!AB23</f>
        <v>first bhava</v>
      </c>
      <c r="AD5" s="19" t="str">
        <f>PAC!AC23</f>
        <v>second bhava</v>
      </c>
      <c r="AE5" s="19" t="str">
        <f>PAC!AD23</f>
        <v>third bhava</v>
      </c>
      <c r="AF5" s="19" t="str">
        <f>PAC!AE23</f>
        <v>fourth bhava</v>
      </c>
      <c r="AG5" s="19" t="str">
        <f>PAC!AF23</f>
        <v>fifth bhava</v>
      </c>
      <c r="AH5" s="19" t="str">
        <f>PAC!AG23</f>
        <v>sixth bhava</v>
      </c>
      <c r="AI5" s="19" t="str">
        <f>PAC!AH23</f>
        <v>seventh bhava</v>
      </c>
      <c r="AJ5" s="19" t="str">
        <f>PAC!AI23</f>
        <v>eighth bhava</v>
      </c>
      <c r="AK5" s="19" t="str">
        <f>PAC!AJ23</f>
        <v>ninth bhava</v>
      </c>
      <c r="AL5" s="19" t="str">
        <f>PAC!AK23</f>
        <v>tenth bhava</v>
      </c>
      <c r="AM5" s="19" t="str">
        <f>PAC!AL23</f>
        <v>eleventh bhava</v>
      </c>
      <c r="AN5" s="19" t="str">
        <f>PAC!AM23</f>
        <v>twelveth bhava</v>
      </c>
      <c r="AO5" s="75"/>
      <c r="AP5" s="75"/>
      <c r="AQ5" s="75"/>
      <c r="AR5" s="75"/>
    </row>
    <row r="6" spans="1:44" s="275" customFormat="1" ht="9.6">
      <c r="B6" s="276" t="s">
        <v>50</v>
      </c>
      <c r="C6" s="277" t="s">
        <v>51</v>
      </c>
      <c r="D6" s="25"/>
      <c r="E6" s="25" t="str">
        <f>PAC!D24</f>
        <v>X00</v>
      </c>
      <c r="F6" s="25" t="str">
        <f>PAC!E24</f>
        <v>X11</v>
      </c>
      <c r="G6" s="25" t="str">
        <f>PAC!F24</f>
        <v>X12</v>
      </c>
      <c r="H6" s="25" t="str">
        <f>PAC!G24</f>
        <v>X13</v>
      </c>
      <c r="I6" s="25" t="str">
        <f>PAC!H24</f>
        <v>X14</v>
      </c>
      <c r="J6" s="25" t="str">
        <f>PAC!I24</f>
        <v>X15</v>
      </c>
      <c r="K6" s="25" t="str">
        <f>PAC!J24</f>
        <v>X16</v>
      </c>
      <c r="L6" s="25" t="str">
        <f>PAC!K24</f>
        <v>X17</v>
      </c>
      <c r="M6" s="25" t="str">
        <f>PAC!L24</f>
        <v>X18</v>
      </c>
      <c r="N6" s="25" t="str">
        <f>PAC!M24</f>
        <v>X19</v>
      </c>
      <c r="O6" s="278" t="str">
        <f>GenPAC!D24</f>
        <v>X99</v>
      </c>
      <c r="P6" s="25" t="str">
        <f>PAC!O24</f>
        <v>X21</v>
      </c>
      <c r="Q6" s="25" t="str">
        <f>PAC!P24</f>
        <v>X22</v>
      </c>
      <c r="R6" s="25" t="str">
        <f>PAC!Q24</f>
        <v>X23</v>
      </c>
      <c r="S6" s="25" t="str">
        <f>PAC!R24</f>
        <v>X24</v>
      </c>
      <c r="T6" s="25" t="str">
        <f>PAC!S24</f>
        <v>X25</v>
      </c>
      <c r="U6" s="25" t="str">
        <f>PAC!T24</f>
        <v>X26</v>
      </c>
      <c r="V6" s="25" t="str">
        <f>PAC!U24</f>
        <v>X27</v>
      </c>
      <c r="W6" s="25" t="str">
        <f>PAC!V24</f>
        <v>X28</v>
      </c>
      <c r="X6" s="25" t="str">
        <f>PAC!W24</f>
        <v>X29</v>
      </c>
      <c r="Y6" s="25" t="str">
        <f>PAC!X24</f>
        <v>X30</v>
      </c>
      <c r="Z6" s="25" t="str">
        <f>PAC!Y24</f>
        <v>X31</v>
      </c>
      <c r="AA6" s="25" t="str">
        <f>PAC!Z24</f>
        <v>X32</v>
      </c>
      <c r="AB6" s="279"/>
      <c r="AC6" s="25" t="str">
        <f>PAC!AB24</f>
        <v>X41</v>
      </c>
      <c r="AD6" s="25" t="str">
        <f>PAC!AC24</f>
        <v>X42</v>
      </c>
      <c r="AE6" s="25" t="str">
        <f>PAC!AD24</f>
        <v>X43</v>
      </c>
      <c r="AF6" s="25" t="str">
        <f>PAC!AE24</f>
        <v>X44</v>
      </c>
      <c r="AG6" s="25" t="str">
        <f>PAC!AF24</f>
        <v>X43</v>
      </c>
      <c r="AH6" s="25" t="str">
        <f>PAC!AG24</f>
        <v>X46</v>
      </c>
      <c r="AI6" s="25" t="str">
        <f>PAC!AH24</f>
        <v>X47</v>
      </c>
      <c r="AJ6" s="25" t="str">
        <f>PAC!AI24</f>
        <v>X48</v>
      </c>
      <c r="AK6" s="25" t="str">
        <f>PAC!AJ24</f>
        <v>X49</v>
      </c>
      <c r="AL6" s="25" t="str">
        <f>PAC!AK24</f>
        <v>X50</v>
      </c>
      <c r="AM6" s="25" t="str">
        <f>PAC!AL24</f>
        <v>X51</v>
      </c>
      <c r="AN6" s="25" t="str">
        <f>PAC!AM24</f>
        <v>X52</v>
      </c>
      <c r="AO6" s="280"/>
      <c r="AP6" s="280"/>
      <c r="AQ6" s="280"/>
      <c r="AR6" s="280"/>
    </row>
    <row r="7" spans="1:44" ht="16.2" thickBot="1">
      <c r="B7" s="25"/>
      <c r="C7" s="50" t="s">
        <v>1</v>
      </c>
      <c r="D7" s="51"/>
      <c r="E7" s="14"/>
      <c r="F7" s="549" t="s">
        <v>209</v>
      </c>
      <c r="G7" s="550"/>
      <c r="H7" s="550"/>
      <c r="I7" s="550"/>
      <c r="J7" s="550"/>
      <c r="K7" s="550"/>
      <c r="L7" s="550"/>
      <c r="M7" s="550"/>
      <c r="N7" s="550"/>
      <c r="O7" s="550"/>
      <c r="P7" s="550"/>
      <c r="Q7" s="55"/>
      <c r="R7" s="55"/>
      <c r="S7" s="55"/>
      <c r="T7" s="55"/>
      <c r="U7" s="55"/>
      <c r="V7" s="55"/>
      <c r="W7" s="55"/>
      <c r="X7" s="55"/>
      <c r="Y7" s="55"/>
      <c r="Z7" s="55"/>
      <c r="AA7" s="55"/>
      <c r="AB7" s="14"/>
      <c r="AC7" s="14"/>
      <c r="AD7" s="14"/>
      <c r="AE7" s="14"/>
      <c r="AF7" s="14"/>
      <c r="AG7" s="14"/>
      <c r="AH7" s="14"/>
      <c r="AI7" s="14"/>
      <c r="AJ7" s="14"/>
      <c r="AK7" s="14"/>
      <c r="AL7" s="14"/>
      <c r="AM7" s="14"/>
      <c r="AN7" s="14"/>
      <c r="AO7" s="75"/>
      <c r="AP7" s="75"/>
      <c r="AQ7" s="75"/>
      <c r="AR7" s="75"/>
    </row>
    <row r="8" spans="1:44" ht="13.8" thickBot="1">
      <c r="B8" s="25"/>
      <c r="C8" s="3"/>
      <c r="D8" s="6"/>
      <c r="E8" s="79">
        <f>SUM(E9:E20)</f>
        <v>1</v>
      </c>
      <c r="F8" s="562" t="s">
        <v>210</v>
      </c>
      <c r="G8" s="563"/>
      <c r="H8" s="563"/>
      <c r="I8" s="563"/>
      <c r="J8" s="564" t="s">
        <v>211</v>
      </c>
      <c r="K8" s="564"/>
      <c r="L8" s="564"/>
      <c r="M8" s="564"/>
      <c r="N8" s="564"/>
      <c r="O8" s="564"/>
      <c r="P8" s="564"/>
      <c r="Q8" s="53"/>
      <c r="R8" s="53"/>
      <c r="S8" s="53"/>
      <c r="T8" s="53"/>
      <c r="U8" s="53"/>
      <c r="V8" s="53"/>
      <c r="W8" s="53"/>
      <c r="X8" s="53"/>
      <c r="Y8" s="53"/>
      <c r="Z8" s="53"/>
      <c r="AA8" s="53"/>
      <c r="AB8" s="53"/>
      <c r="AC8" s="53"/>
      <c r="AD8" s="53"/>
      <c r="AE8" s="53"/>
      <c r="AF8" s="53"/>
      <c r="AG8" s="53"/>
      <c r="AH8" s="53"/>
      <c r="AI8" s="53"/>
      <c r="AJ8" s="53"/>
      <c r="AK8" s="53"/>
      <c r="AL8" s="53"/>
      <c r="AM8" s="53"/>
      <c r="AN8" s="80" t="s">
        <v>212</v>
      </c>
      <c r="AO8" s="2" t="s">
        <v>101</v>
      </c>
      <c r="AP8" s="75"/>
      <c r="AR8" s="75"/>
    </row>
    <row r="9" spans="1:44">
      <c r="A9" s="1" t="str">
        <f>CONCATENATE(C9,D9)</f>
        <v>isexalted</v>
      </c>
      <c r="B9" s="25" t="str">
        <f>PAC!A38</f>
        <v>Y11</v>
      </c>
      <c r="C9" s="81" t="str">
        <f>PAC!B38</f>
        <v>is</v>
      </c>
      <c r="D9" s="82" t="str">
        <f>PAC!C38</f>
        <v>exalted</v>
      </c>
      <c r="E9" s="335">
        <v>1</v>
      </c>
      <c r="F9" s="174" t="s">
        <v>19</v>
      </c>
      <c r="G9" s="333"/>
      <c r="H9" s="333"/>
      <c r="I9" s="333"/>
      <c r="J9" s="174" t="s">
        <v>142</v>
      </c>
      <c r="K9" s="174"/>
      <c r="L9" s="174"/>
      <c r="M9" s="174" t="s">
        <v>17</v>
      </c>
      <c r="N9" s="333"/>
      <c r="O9" s="333"/>
      <c r="P9" s="333"/>
      <c r="Q9" s="333"/>
      <c r="R9" s="333" t="s">
        <v>581</v>
      </c>
      <c r="S9" s="174"/>
      <c r="T9" s="174"/>
      <c r="U9" s="174"/>
      <c r="V9" s="174"/>
      <c r="W9" s="174"/>
      <c r="X9" s="174"/>
      <c r="Y9" s="174"/>
      <c r="Z9" s="174"/>
      <c r="AA9" s="174"/>
      <c r="AB9" s="174"/>
      <c r="AC9" s="174"/>
      <c r="AD9" s="174"/>
      <c r="AE9" s="174"/>
      <c r="AF9" s="74"/>
      <c r="AG9" s="74"/>
      <c r="AH9" s="74"/>
      <c r="AI9" s="74"/>
      <c r="AJ9" s="74"/>
      <c r="AK9" s="74"/>
      <c r="AL9" s="74"/>
      <c r="AM9" s="74"/>
      <c r="AN9" s="74"/>
      <c r="AO9" s="2" t="s">
        <v>119</v>
      </c>
      <c r="AP9" s="75"/>
      <c r="AR9" s="75"/>
    </row>
    <row r="10" spans="1:44">
      <c r="A10" s="1" t="str">
        <f t="shared" ref="A10:A73" si="0">CONCATENATE(C10,D10)</f>
        <v>isdebilitated</v>
      </c>
      <c r="B10" s="25" t="str">
        <f>PAC!A39</f>
        <v>Y12</v>
      </c>
      <c r="C10" s="81" t="str">
        <f>PAC!B39</f>
        <v>is</v>
      </c>
      <c r="D10" s="82" t="str">
        <f>PAC!C39</f>
        <v>debilitated</v>
      </c>
      <c r="E10" s="335"/>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74"/>
      <c r="AG10" s="74"/>
      <c r="AH10" s="74"/>
      <c r="AI10" s="74"/>
      <c r="AJ10" s="74"/>
      <c r="AK10" s="74"/>
      <c r="AL10" s="74"/>
      <c r="AM10" s="74"/>
      <c r="AN10" s="74"/>
      <c r="AO10" s="2" t="s">
        <v>142</v>
      </c>
      <c r="AP10" s="75"/>
      <c r="AR10" s="75"/>
    </row>
    <row r="11" spans="1:44">
      <c r="A11" s="1" t="str">
        <f t="shared" si="0"/>
        <v>isat moolatrikona</v>
      </c>
      <c r="B11" s="25" t="str">
        <f>PAC!A40</f>
        <v>Y13</v>
      </c>
      <c r="C11" s="81" t="str">
        <f>PAC!B40</f>
        <v>is</v>
      </c>
      <c r="D11" s="82" t="str">
        <f>PAC!C40</f>
        <v>at moolatrikona</v>
      </c>
      <c r="E11" s="335"/>
      <c r="F11" s="174"/>
      <c r="G11" s="333"/>
      <c r="H11" s="333"/>
      <c r="I11" s="333"/>
      <c r="J11" s="174"/>
      <c r="K11" s="174"/>
      <c r="L11" s="174"/>
      <c r="M11" s="174"/>
      <c r="N11" s="333"/>
      <c r="O11" s="333"/>
      <c r="P11" s="333"/>
      <c r="Q11" s="333"/>
      <c r="R11" s="333"/>
      <c r="S11" s="174"/>
      <c r="T11" s="174"/>
      <c r="U11" s="174"/>
      <c r="V11" s="174"/>
      <c r="W11" s="174"/>
      <c r="X11" s="174"/>
      <c r="Y11" s="174"/>
      <c r="Z11" s="174"/>
      <c r="AA11" s="174"/>
      <c r="AB11" s="174"/>
      <c r="AC11" s="174"/>
      <c r="AD11" s="174"/>
      <c r="AE11" s="174"/>
      <c r="AF11" s="74"/>
      <c r="AG11" s="74"/>
      <c r="AH11" s="74"/>
      <c r="AI11" s="74"/>
      <c r="AJ11" s="74"/>
      <c r="AK11" s="74"/>
      <c r="AL11" s="74"/>
      <c r="AM11" s="74"/>
      <c r="AN11" s="74"/>
      <c r="AO11" s="54" t="s">
        <v>166</v>
      </c>
      <c r="AP11" s="75"/>
      <c r="AR11" s="75"/>
    </row>
    <row r="12" spans="1:44">
      <c r="A12" s="1" t="str">
        <f t="shared" si="0"/>
        <v xml:space="preserve">isin own house </v>
      </c>
      <c r="B12" s="25" t="str">
        <f>PAC!A41</f>
        <v>Y14</v>
      </c>
      <c r="C12" s="81" t="str">
        <f>PAC!B41</f>
        <v>is</v>
      </c>
      <c r="D12" s="82" t="str">
        <f>PAC!C41</f>
        <v xml:space="preserve">in own house </v>
      </c>
      <c r="E12" s="335"/>
      <c r="F12" s="174"/>
      <c r="G12" s="174"/>
      <c r="H12" s="174"/>
      <c r="I12" s="174"/>
      <c r="J12" s="174"/>
      <c r="K12" s="174"/>
      <c r="L12" s="174"/>
      <c r="M12" s="174"/>
      <c r="N12" s="174"/>
      <c r="O12" s="174"/>
      <c r="P12" s="174"/>
      <c r="Q12" s="174"/>
      <c r="R12" s="174"/>
      <c r="S12" s="174"/>
      <c r="T12" s="174"/>
      <c r="U12" s="174"/>
      <c r="V12" s="174"/>
      <c r="W12" s="174"/>
      <c r="X12" s="174"/>
      <c r="Y12" s="174"/>
      <c r="Z12" s="174"/>
      <c r="AA12" s="174"/>
      <c r="AB12" s="174"/>
      <c r="AC12" s="174"/>
      <c r="AD12" s="174"/>
      <c r="AE12" s="174"/>
      <c r="AF12" s="74"/>
      <c r="AG12" s="74"/>
      <c r="AH12" s="74"/>
      <c r="AI12" s="74"/>
      <c r="AJ12" s="74"/>
      <c r="AK12" s="74"/>
      <c r="AL12" s="74"/>
      <c r="AM12" s="74"/>
      <c r="AN12" s="74"/>
      <c r="AO12" s="75"/>
      <c r="AP12" s="75"/>
      <c r="AR12" s="75"/>
    </row>
    <row r="13" spans="1:44">
      <c r="A13" s="1" t="str">
        <f t="shared" si="0"/>
        <v>isin friendly house</v>
      </c>
      <c r="B13" s="25" t="str">
        <f>PAC!A42</f>
        <v>Y15</v>
      </c>
      <c r="C13" s="81" t="str">
        <f>PAC!B42</f>
        <v>is</v>
      </c>
      <c r="D13" s="82" t="str">
        <f>PAC!C42</f>
        <v>in friendly house</v>
      </c>
      <c r="E13" s="335"/>
      <c r="F13" s="174"/>
      <c r="G13" s="333"/>
      <c r="H13" s="333"/>
      <c r="I13" s="333"/>
      <c r="J13" s="174"/>
      <c r="K13" s="174"/>
      <c r="L13" s="174"/>
      <c r="M13" s="174"/>
      <c r="N13" s="333"/>
      <c r="O13" s="333"/>
      <c r="P13" s="333"/>
      <c r="Q13" s="333"/>
      <c r="R13" s="333"/>
      <c r="S13" s="174"/>
      <c r="T13" s="174"/>
      <c r="U13" s="174"/>
      <c r="V13" s="174"/>
      <c r="W13" s="174"/>
      <c r="X13" s="174"/>
      <c r="Y13" s="174"/>
      <c r="Z13" s="174"/>
      <c r="AA13" s="174"/>
      <c r="AB13" s="174"/>
      <c r="AC13" s="174"/>
      <c r="AD13" s="174"/>
      <c r="AE13" s="174"/>
      <c r="AF13" s="74"/>
      <c r="AG13" s="74"/>
      <c r="AH13" s="74"/>
      <c r="AI13" s="74"/>
      <c r="AJ13" s="74"/>
      <c r="AK13" s="74"/>
      <c r="AL13" s="74"/>
      <c r="AM13" s="74"/>
      <c r="AN13" s="74"/>
      <c r="AO13" s="75"/>
      <c r="AP13" s="75"/>
      <c r="AR13" s="75"/>
    </row>
    <row r="14" spans="1:44">
      <c r="A14" s="1" t="str">
        <f t="shared" si="0"/>
        <v>isin hostile house</v>
      </c>
      <c r="B14" s="25" t="str">
        <f>PAC!A43</f>
        <v>Y16</v>
      </c>
      <c r="C14" s="81" t="str">
        <f>PAC!B43</f>
        <v>is</v>
      </c>
      <c r="D14" s="82" t="str">
        <f>PAC!C43</f>
        <v>in hostile house</v>
      </c>
      <c r="E14" s="335"/>
      <c r="F14" s="174"/>
      <c r="G14" s="174"/>
      <c r="H14" s="174"/>
      <c r="I14" s="174"/>
      <c r="J14" s="174"/>
      <c r="K14" s="174"/>
      <c r="L14" s="174"/>
      <c r="M14" s="174"/>
      <c r="N14" s="174"/>
      <c r="O14" s="174"/>
      <c r="P14" s="174"/>
      <c r="Q14" s="174"/>
      <c r="R14" s="174"/>
      <c r="S14" s="174"/>
      <c r="T14" s="174"/>
      <c r="U14" s="174"/>
      <c r="V14" s="174"/>
      <c r="W14" s="174"/>
      <c r="X14" s="174"/>
      <c r="Y14" s="174"/>
      <c r="Z14" s="174"/>
      <c r="AA14" s="174"/>
      <c r="AB14" s="174"/>
      <c r="AC14" s="174"/>
      <c r="AD14" s="174"/>
      <c r="AE14" s="174"/>
      <c r="AF14" s="74"/>
      <c r="AG14" s="74"/>
      <c r="AH14" s="74"/>
      <c r="AI14" s="74"/>
      <c r="AJ14" s="74"/>
      <c r="AK14" s="74"/>
      <c r="AL14" s="74"/>
      <c r="AM14" s="74"/>
      <c r="AN14" s="74"/>
      <c r="AO14" s="5" t="str">
        <f>D9</f>
        <v>exalted</v>
      </c>
      <c r="AP14" s="75"/>
      <c r="AR14" s="75"/>
    </row>
    <row r="15" spans="1:44">
      <c r="A15" s="1" t="str">
        <f t="shared" si="0"/>
        <v>isin neutral house</v>
      </c>
      <c r="B15" s="25" t="str">
        <f>PAC!A44</f>
        <v>Y17</v>
      </c>
      <c r="C15" s="81" t="str">
        <f>PAC!B44</f>
        <v>is</v>
      </c>
      <c r="D15" s="82" t="str">
        <f>PAC!C44</f>
        <v>in neutral house</v>
      </c>
      <c r="E15" s="335"/>
      <c r="F15" s="174"/>
      <c r="G15" s="333"/>
      <c r="H15" s="333"/>
      <c r="I15" s="333"/>
      <c r="J15" s="174"/>
      <c r="K15" s="174"/>
      <c r="L15" s="174"/>
      <c r="M15" s="174"/>
      <c r="N15" s="333"/>
      <c r="O15" s="333"/>
      <c r="P15" s="333"/>
      <c r="Q15" s="333"/>
      <c r="R15" s="333"/>
      <c r="S15" s="174"/>
      <c r="T15" s="174"/>
      <c r="U15" s="174"/>
      <c r="V15" s="174"/>
      <c r="W15" s="174"/>
      <c r="X15" s="174"/>
      <c r="Y15" s="174"/>
      <c r="Z15" s="174"/>
      <c r="AA15" s="174"/>
      <c r="AB15" s="174"/>
      <c r="AC15" s="174"/>
      <c r="AD15" s="174"/>
      <c r="AE15" s="174"/>
      <c r="AF15" s="74"/>
      <c r="AG15" s="74"/>
      <c r="AH15" s="74"/>
      <c r="AI15" s="74"/>
      <c r="AJ15" s="74"/>
      <c r="AK15" s="74"/>
      <c r="AL15" s="74"/>
      <c r="AM15" s="74"/>
      <c r="AN15" s="74"/>
      <c r="AO15" s="5" t="str">
        <f t="shared" ref="AO15:AO23" si="1">D10</f>
        <v>debilitated</v>
      </c>
      <c r="AP15" s="75"/>
      <c r="AR15" s="75"/>
    </row>
    <row r="16" spans="1:44">
      <c r="A16" s="1" t="str">
        <f t="shared" si="0"/>
        <v>isretrograde</v>
      </c>
      <c r="B16" s="25" t="str">
        <f>PAC!A45</f>
        <v>Y18</v>
      </c>
      <c r="C16" s="81" t="str">
        <f>PAC!B45</f>
        <v>is</v>
      </c>
      <c r="D16" s="82" t="str">
        <f>PAC!C45</f>
        <v>retrograde</v>
      </c>
      <c r="E16" s="335"/>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74"/>
      <c r="AG16" s="74"/>
      <c r="AH16" s="74"/>
      <c r="AI16" s="74"/>
      <c r="AJ16" s="74"/>
      <c r="AK16" s="74"/>
      <c r="AL16" s="74"/>
      <c r="AM16" s="74"/>
      <c r="AN16" s="74"/>
      <c r="AO16" s="5" t="str">
        <f t="shared" si="1"/>
        <v>at moolatrikona</v>
      </c>
      <c r="AP16" s="75"/>
      <c r="AR16" s="75"/>
    </row>
    <row r="17" spans="1:44">
      <c r="A17" s="1" t="str">
        <f t="shared" si="0"/>
        <v>ismalefic</v>
      </c>
      <c r="B17" s="25" t="str">
        <f>PAC!A46</f>
        <v>Y19</v>
      </c>
      <c r="C17" s="81" t="str">
        <f>PAC!B46</f>
        <v>is</v>
      </c>
      <c r="D17" s="82" t="str">
        <f>PAC!C46</f>
        <v>malefic</v>
      </c>
      <c r="E17" s="335"/>
      <c r="F17" s="174"/>
      <c r="G17" s="174"/>
      <c r="H17" s="174"/>
      <c r="I17" s="174"/>
      <c r="J17" s="174"/>
      <c r="K17" s="174"/>
      <c r="L17" s="174"/>
      <c r="M17" s="174"/>
      <c r="N17" s="174"/>
      <c r="O17" s="174"/>
      <c r="P17" s="174"/>
      <c r="Q17" s="174"/>
      <c r="R17" s="174"/>
      <c r="S17" s="174"/>
      <c r="T17" s="174"/>
      <c r="U17" s="174"/>
      <c r="V17" s="174"/>
      <c r="W17" s="174"/>
      <c r="X17" s="174"/>
      <c r="Y17" s="174"/>
      <c r="Z17" s="174"/>
      <c r="AA17" s="174"/>
      <c r="AB17" s="174"/>
      <c r="AC17" s="174"/>
      <c r="AD17" s="174"/>
      <c r="AE17" s="174"/>
      <c r="AF17" s="74"/>
      <c r="AG17" s="74"/>
      <c r="AH17" s="74"/>
      <c r="AI17" s="74"/>
      <c r="AJ17" s="74"/>
      <c r="AK17" s="74"/>
      <c r="AL17" s="74"/>
      <c r="AM17" s="74"/>
      <c r="AN17" s="74"/>
      <c r="AO17" s="5" t="str">
        <f t="shared" si="1"/>
        <v xml:space="preserve">in own house </v>
      </c>
      <c r="AP17" s="75"/>
      <c r="AR17" s="75"/>
    </row>
    <row r="18" spans="1:44">
      <c r="A18" s="1" t="str">
        <f t="shared" si="0"/>
        <v>isbenefic</v>
      </c>
      <c r="B18" s="25" t="str">
        <f>PAC!A47</f>
        <v>Y20</v>
      </c>
      <c r="C18" s="81" t="str">
        <f>PAC!B47</f>
        <v>is</v>
      </c>
      <c r="D18" s="82" t="str">
        <f>PAC!C47</f>
        <v>benefic</v>
      </c>
      <c r="E18" s="335"/>
      <c r="F18" s="174"/>
      <c r="G18" s="174"/>
      <c r="H18" s="174"/>
      <c r="I18" s="174"/>
      <c r="J18" s="174"/>
      <c r="K18" s="174"/>
      <c r="L18" s="174"/>
      <c r="M18" s="174"/>
      <c r="N18" s="174"/>
      <c r="O18" s="174"/>
      <c r="P18" s="174"/>
      <c r="Q18" s="174"/>
      <c r="R18" s="174"/>
      <c r="S18" s="174"/>
      <c r="T18" s="174"/>
      <c r="U18" s="174"/>
      <c r="V18" s="174"/>
      <c r="W18" s="174"/>
      <c r="X18" s="174"/>
      <c r="Y18" s="174"/>
      <c r="Z18" s="174"/>
      <c r="AA18" s="174"/>
      <c r="AB18" s="174"/>
      <c r="AC18" s="174"/>
      <c r="AD18" s="174"/>
      <c r="AE18" s="174"/>
      <c r="AF18" s="74"/>
      <c r="AG18" s="74"/>
      <c r="AH18" s="74"/>
      <c r="AI18" s="74"/>
      <c r="AJ18" s="74"/>
      <c r="AK18" s="74"/>
      <c r="AL18" s="74"/>
      <c r="AM18" s="74"/>
      <c r="AN18" s="74"/>
      <c r="AO18" s="5" t="str">
        <f t="shared" si="1"/>
        <v>in friendly house</v>
      </c>
      <c r="AP18" s="75"/>
      <c r="AQ18" s="75"/>
      <c r="AR18" s="75"/>
    </row>
    <row r="19" spans="1:44" ht="16.2" thickBot="1">
      <c r="A19" s="1" t="str">
        <f t="shared" si="0"/>
        <v>Aspects</v>
      </c>
      <c r="B19" s="25"/>
      <c r="C19" s="56" t="s">
        <v>117</v>
      </c>
      <c r="D19" s="51"/>
      <c r="E19" s="335"/>
      <c r="F19" s="174"/>
      <c r="G19" s="174"/>
      <c r="H19" s="174"/>
      <c r="I19" s="174"/>
      <c r="J19" s="174"/>
      <c r="K19" s="174"/>
      <c r="L19" s="174"/>
      <c r="M19" s="174"/>
      <c r="N19" s="174"/>
      <c r="O19" s="174"/>
      <c r="P19" s="174"/>
      <c r="Q19" s="174"/>
      <c r="R19" s="174"/>
      <c r="S19" s="174"/>
      <c r="T19" s="174"/>
      <c r="U19" s="174"/>
      <c r="V19" s="174"/>
      <c r="W19" s="174"/>
      <c r="X19" s="174"/>
      <c r="Y19" s="174"/>
      <c r="Z19" s="174"/>
      <c r="AA19" s="174"/>
      <c r="AB19" s="174"/>
      <c r="AC19" s="174"/>
      <c r="AD19" s="174"/>
      <c r="AE19" s="174"/>
      <c r="AF19" s="74"/>
      <c r="AG19" s="74"/>
      <c r="AH19" s="74"/>
      <c r="AI19" s="74"/>
      <c r="AJ19" s="74"/>
      <c r="AK19" s="74"/>
      <c r="AL19" s="74"/>
      <c r="AM19" s="74"/>
      <c r="AN19" s="74"/>
      <c r="AO19" s="5" t="str">
        <f t="shared" si="1"/>
        <v>in hostile house</v>
      </c>
      <c r="AP19" s="75"/>
      <c r="AQ19" s="75"/>
      <c r="AR19" s="75"/>
    </row>
    <row r="20" spans="1:44" ht="13.8" thickBot="1">
      <c r="A20" s="1" t="str">
        <f t="shared" si="0"/>
        <v>aspected bysun</v>
      </c>
      <c r="B20" s="25" t="str">
        <f>PAC!A49</f>
        <v>Y21</v>
      </c>
      <c r="C20" s="81" t="str">
        <f>PAC!B49</f>
        <v>aspected by</v>
      </c>
      <c r="D20" s="82" t="str">
        <f>PAC!C49</f>
        <v>sun</v>
      </c>
      <c r="E20" s="336"/>
      <c r="F20" s="334"/>
      <c r="G20" s="334"/>
      <c r="H20" s="334"/>
      <c r="I20" s="334"/>
      <c r="J20" s="334"/>
      <c r="K20" s="334"/>
      <c r="L20" s="334"/>
      <c r="M20" s="334"/>
      <c r="N20" s="334"/>
      <c r="O20" s="334"/>
      <c r="P20" s="334"/>
      <c r="Q20" s="334"/>
      <c r="R20" s="334"/>
      <c r="S20" s="334"/>
      <c r="T20" s="334"/>
      <c r="U20" s="334"/>
      <c r="V20" s="334"/>
      <c r="W20" s="334"/>
      <c r="X20" s="334"/>
      <c r="Y20" s="334"/>
      <c r="Z20" s="334"/>
      <c r="AA20" s="334"/>
      <c r="AB20" s="334"/>
      <c r="AC20" s="334"/>
      <c r="AD20" s="334"/>
      <c r="AE20" s="334"/>
      <c r="AF20" s="84"/>
      <c r="AG20" s="84"/>
      <c r="AH20" s="84"/>
      <c r="AI20" s="84"/>
      <c r="AJ20" s="84"/>
      <c r="AK20" s="84"/>
      <c r="AL20" s="84"/>
      <c r="AM20" s="84"/>
      <c r="AN20" s="84"/>
      <c r="AO20" s="5" t="str">
        <f t="shared" si="1"/>
        <v>in neutral house</v>
      </c>
      <c r="AP20" s="75"/>
      <c r="AQ20" s="75"/>
      <c r="AR20" s="75"/>
    </row>
    <row r="21" spans="1:44">
      <c r="A21" s="1" t="str">
        <f t="shared" si="0"/>
        <v>aspected bymoon</v>
      </c>
      <c r="B21" s="25" t="str">
        <f>PAC!A50</f>
        <v>Y22</v>
      </c>
      <c r="C21" s="81" t="str">
        <f>PAC!B50</f>
        <v>aspected by</v>
      </c>
      <c r="D21" s="82" t="str">
        <f>PAC!C50</f>
        <v>moon</v>
      </c>
      <c r="E21" s="83"/>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85" t="s">
        <v>213</v>
      </c>
      <c r="AO21" s="5" t="str">
        <f t="shared" si="1"/>
        <v>retrograde</v>
      </c>
      <c r="AP21" s="75"/>
      <c r="AQ21" s="75"/>
      <c r="AR21" s="75"/>
    </row>
    <row r="22" spans="1:44">
      <c r="A22" s="1" t="str">
        <f t="shared" si="0"/>
        <v>aspected bymercury</v>
      </c>
      <c r="B22" s="25" t="str">
        <f>PAC!A51</f>
        <v>Y23</v>
      </c>
      <c r="C22" s="81" t="str">
        <f>PAC!B51</f>
        <v>aspected by</v>
      </c>
      <c r="D22" s="82" t="str">
        <f>PAC!C51</f>
        <v>mercury</v>
      </c>
      <c r="E22" s="14"/>
      <c r="F22" s="14"/>
      <c r="G22" s="14"/>
      <c r="H22" s="14"/>
      <c r="I22" s="14"/>
      <c r="J22" s="14"/>
      <c r="K22" s="14"/>
      <c r="L22" s="14"/>
      <c r="M22" s="14"/>
      <c r="N22" s="14"/>
      <c r="O22" s="14"/>
      <c r="P22" s="55"/>
      <c r="Q22" s="55"/>
      <c r="R22" s="55"/>
      <c r="S22" s="55"/>
      <c r="T22" s="55"/>
      <c r="U22" s="55"/>
      <c r="V22" s="55"/>
      <c r="W22" s="55"/>
      <c r="X22" s="55"/>
      <c r="Y22" s="55"/>
      <c r="Z22" s="55"/>
      <c r="AA22" s="55"/>
      <c r="AB22" s="14"/>
      <c r="AC22" s="14"/>
      <c r="AD22" s="14"/>
      <c r="AE22" s="14"/>
      <c r="AF22" s="14"/>
      <c r="AG22" s="14"/>
      <c r="AH22" s="14"/>
      <c r="AI22" s="14"/>
      <c r="AJ22" s="14"/>
      <c r="AK22" s="14"/>
      <c r="AL22" s="14"/>
      <c r="AM22" s="14"/>
      <c r="AN22" s="14"/>
      <c r="AO22" s="5" t="str">
        <f t="shared" si="1"/>
        <v>malefic</v>
      </c>
      <c r="AQ22" s="75"/>
      <c r="AR22" s="75"/>
    </row>
    <row r="23" spans="1:44">
      <c r="A23" s="1" t="str">
        <f t="shared" si="0"/>
        <v>aspected byvenus</v>
      </c>
      <c r="B23" s="25" t="str">
        <f>PAC!A52</f>
        <v>Y24</v>
      </c>
      <c r="C23" s="81" t="str">
        <f>PAC!B52</f>
        <v>aspected by</v>
      </c>
      <c r="D23" s="82" t="str">
        <f>PAC!C52</f>
        <v>venus</v>
      </c>
      <c r="E23" s="14"/>
      <c r="F23" s="14"/>
      <c r="G23" s="14"/>
      <c r="H23" s="14"/>
      <c r="I23" s="14"/>
      <c r="J23" s="14"/>
      <c r="K23" s="14"/>
      <c r="L23" s="14"/>
      <c r="M23" s="14"/>
      <c r="N23" s="14"/>
      <c r="O23" s="14"/>
      <c r="P23" s="55"/>
      <c r="Q23" s="55"/>
      <c r="R23" s="55"/>
      <c r="S23" s="55"/>
      <c r="T23" s="55"/>
      <c r="U23" s="55"/>
      <c r="V23" s="55"/>
      <c r="W23" s="55"/>
      <c r="X23" s="55"/>
      <c r="Y23" s="55"/>
      <c r="Z23" s="55"/>
      <c r="AA23" s="55"/>
      <c r="AB23" s="14"/>
      <c r="AC23" s="14"/>
      <c r="AD23" s="14"/>
      <c r="AE23" s="14"/>
      <c r="AF23" s="14"/>
      <c r="AG23" s="14"/>
      <c r="AH23" s="14"/>
      <c r="AI23" s="14"/>
      <c r="AJ23" s="14"/>
      <c r="AK23" s="14"/>
      <c r="AL23" s="14"/>
      <c r="AM23" s="14"/>
      <c r="AN23" s="14"/>
      <c r="AO23" s="5" t="str">
        <f t="shared" si="1"/>
        <v>benefic</v>
      </c>
      <c r="AQ23" s="75"/>
      <c r="AR23" s="75"/>
    </row>
    <row r="24" spans="1:44">
      <c r="A24" s="1" t="str">
        <f t="shared" si="0"/>
        <v>aspected bymars</v>
      </c>
      <c r="B24" s="25" t="str">
        <f>PAC!A53</f>
        <v>Y25</v>
      </c>
      <c r="C24" s="81" t="str">
        <f>PAC!B53</f>
        <v>aspected by</v>
      </c>
      <c r="D24" s="82" t="str">
        <f>PAC!C53</f>
        <v>mars</v>
      </c>
      <c r="E24" s="14"/>
      <c r="F24" s="14"/>
      <c r="G24" s="14"/>
      <c r="H24" s="14"/>
      <c r="I24" s="14"/>
      <c r="J24" s="14"/>
      <c r="K24" s="14"/>
      <c r="L24" s="14"/>
      <c r="M24" s="14"/>
      <c r="N24" s="14"/>
      <c r="O24" s="14"/>
      <c r="P24" s="55"/>
      <c r="Q24" s="55"/>
      <c r="R24" s="55"/>
      <c r="S24" s="55"/>
      <c r="T24" s="55"/>
      <c r="U24" s="55"/>
      <c r="V24" s="55"/>
      <c r="W24" s="55"/>
      <c r="X24" s="55"/>
      <c r="Y24" s="55"/>
      <c r="Z24" s="55"/>
      <c r="AA24" s="55"/>
      <c r="AB24" s="14"/>
      <c r="AC24" s="14"/>
      <c r="AD24" s="14"/>
      <c r="AE24" s="14"/>
      <c r="AF24" s="14"/>
      <c r="AG24" s="14"/>
      <c r="AH24" s="14"/>
      <c r="AI24" s="14"/>
      <c r="AJ24" s="14"/>
      <c r="AK24" s="14"/>
      <c r="AL24" s="14"/>
      <c r="AM24" s="14"/>
      <c r="AN24" s="14"/>
      <c r="AO24" s="5"/>
      <c r="AP24" s="75"/>
      <c r="AQ24" s="75"/>
      <c r="AR24" s="75"/>
    </row>
    <row r="25" spans="1:44">
      <c r="A25" s="1" t="str">
        <f t="shared" si="0"/>
        <v>aspected byjupiter</v>
      </c>
      <c r="B25" s="25" t="str">
        <f>PAC!A54</f>
        <v>Y26</v>
      </c>
      <c r="C25" s="81" t="str">
        <f>PAC!B54</f>
        <v>aspected by</v>
      </c>
      <c r="D25" s="82" t="str">
        <f>PAC!C54</f>
        <v>jupiter</v>
      </c>
      <c r="E25" s="14"/>
      <c r="F25" s="14"/>
      <c r="G25" s="14"/>
      <c r="H25" s="14"/>
      <c r="I25" s="14"/>
      <c r="J25" s="14"/>
      <c r="K25" s="14"/>
      <c r="L25" s="14"/>
      <c r="M25" s="14"/>
      <c r="N25" s="14"/>
      <c r="O25" s="14"/>
      <c r="P25" s="55"/>
      <c r="Q25" s="55"/>
      <c r="R25" s="55"/>
      <c r="S25" s="55"/>
      <c r="T25" s="55"/>
      <c r="U25" s="55"/>
      <c r="V25" s="55"/>
      <c r="W25" s="55"/>
      <c r="X25" s="55"/>
      <c r="Y25" s="55"/>
      <c r="Z25" s="55"/>
      <c r="AA25" s="55"/>
      <c r="AB25" s="14"/>
      <c r="AC25" s="14"/>
      <c r="AD25" s="14"/>
      <c r="AE25" s="14"/>
      <c r="AF25" s="14"/>
      <c r="AG25" s="14"/>
      <c r="AH25" s="14"/>
      <c r="AI25" s="14"/>
      <c r="AJ25" s="14"/>
      <c r="AK25" s="14"/>
      <c r="AL25" s="14"/>
      <c r="AM25" s="14"/>
      <c r="AN25" s="14"/>
      <c r="AO25" s="5"/>
      <c r="AP25" s="75"/>
      <c r="AQ25" s="75"/>
      <c r="AR25" s="75"/>
    </row>
    <row r="26" spans="1:44">
      <c r="A26" s="1" t="str">
        <f t="shared" si="0"/>
        <v>aspected bysaturn</v>
      </c>
      <c r="B26" s="25" t="str">
        <f>PAC!A55</f>
        <v>Y27</v>
      </c>
      <c r="C26" s="81" t="str">
        <f>PAC!B55</f>
        <v>aspected by</v>
      </c>
      <c r="D26" s="82" t="str">
        <f>PAC!C55</f>
        <v>saturn</v>
      </c>
      <c r="E26" s="14"/>
      <c r="F26" s="14"/>
      <c r="G26" s="14"/>
      <c r="H26" s="14"/>
      <c r="I26" s="14"/>
      <c r="J26" s="14"/>
      <c r="K26" s="14"/>
      <c r="L26" s="14"/>
      <c r="M26" s="14"/>
      <c r="N26" s="14"/>
      <c r="O26" s="14"/>
      <c r="P26" s="55"/>
      <c r="Q26" s="55"/>
      <c r="R26" s="55"/>
      <c r="S26" s="55"/>
      <c r="T26" s="55"/>
      <c r="U26" s="55"/>
      <c r="V26" s="55"/>
      <c r="W26" s="55"/>
      <c r="X26" s="55"/>
      <c r="Y26" s="55"/>
      <c r="Z26" s="55"/>
      <c r="AA26" s="55"/>
      <c r="AB26" s="14"/>
      <c r="AC26" s="14"/>
      <c r="AD26" s="14"/>
      <c r="AE26" s="14"/>
      <c r="AF26" s="14"/>
      <c r="AG26" s="14"/>
      <c r="AH26" s="14"/>
      <c r="AI26" s="14"/>
      <c r="AJ26" s="14"/>
      <c r="AK26" s="14"/>
      <c r="AL26" s="14"/>
      <c r="AM26" s="14"/>
      <c r="AN26" s="14"/>
      <c r="AO26" s="5" t="str">
        <f>D20</f>
        <v>sun</v>
      </c>
      <c r="AP26" s="75"/>
      <c r="AQ26" s="75"/>
      <c r="AR26" s="75"/>
    </row>
    <row r="27" spans="1:44">
      <c r="A27" s="1" t="str">
        <f t="shared" si="0"/>
        <v>aspected byrahu</v>
      </c>
      <c r="B27" s="25" t="str">
        <f>PAC!A56</f>
        <v>Y28</v>
      </c>
      <c r="C27" s="81" t="str">
        <f>PAC!B56</f>
        <v>aspected by</v>
      </c>
      <c r="D27" s="82" t="str">
        <f>PAC!C56</f>
        <v>rahu</v>
      </c>
      <c r="E27" s="14"/>
      <c r="F27" s="14"/>
      <c r="G27" s="14"/>
      <c r="H27" s="14"/>
      <c r="I27" s="14"/>
      <c r="J27" s="14"/>
      <c r="K27" s="14"/>
      <c r="L27" s="14"/>
      <c r="M27" s="14"/>
      <c r="N27" s="14"/>
      <c r="O27" s="14"/>
      <c r="P27" s="55"/>
      <c r="Q27" s="55"/>
      <c r="R27" s="55"/>
      <c r="S27" s="55"/>
      <c r="T27" s="55"/>
      <c r="U27" s="55"/>
      <c r="V27" s="55"/>
      <c r="W27" s="55"/>
      <c r="X27" s="55"/>
      <c r="Y27" s="55"/>
      <c r="Z27" s="55"/>
      <c r="AA27" s="55"/>
      <c r="AB27" s="14"/>
      <c r="AC27" s="14"/>
      <c r="AD27" s="14"/>
      <c r="AE27" s="14"/>
      <c r="AF27" s="14"/>
      <c r="AG27" s="14"/>
      <c r="AH27" s="14"/>
      <c r="AI27" s="14"/>
      <c r="AJ27" s="14"/>
      <c r="AK27" s="14"/>
      <c r="AL27" s="14"/>
      <c r="AM27" s="14"/>
      <c r="AN27" s="14"/>
      <c r="AO27" s="5" t="str">
        <f t="shared" ref="AO27:AO47" si="2">D21</f>
        <v>moon</v>
      </c>
      <c r="AP27" s="75"/>
      <c r="AQ27" s="75"/>
      <c r="AR27" s="75"/>
    </row>
    <row r="28" spans="1:44">
      <c r="A28" s="1" t="str">
        <f t="shared" si="0"/>
        <v>aspected byketu</v>
      </c>
      <c r="B28" s="25" t="str">
        <f>PAC!A57</f>
        <v>Y29</v>
      </c>
      <c r="C28" s="81" t="str">
        <f>PAC!B57</f>
        <v>aspected by</v>
      </c>
      <c r="D28" s="82" t="str">
        <f>PAC!C57</f>
        <v>ketu</v>
      </c>
      <c r="E28" s="14"/>
      <c r="F28" s="14"/>
      <c r="G28" s="14"/>
      <c r="H28" s="14"/>
      <c r="I28" s="14"/>
      <c r="J28" s="14"/>
      <c r="K28" s="14"/>
      <c r="L28" s="14"/>
      <c r="M28" s="14"/>
      <c r="N28" s="14"/>
      <c r="O28" s="14"/>
      <c r="P28" s="55"/>
      <c r="Q28" s="55"/>
      <c r="R28" s="55"/>
      <c r="S28" s="55"/>
      <c r="T28" s="55"/>
      <c r="U28" s="55"/>
      <c r="V28" s="55"/>
      <c r="W28" s="55"/>
      <c r="X28" s="55"/>
      <c r="Y28" s="55"/>
      <c r="Z28" s="55"/>
      <c r="AA28" s="55"/>
      <c r="AB28" s="14"/>
      <c r="AC28" s="14"/>
      <c r="AD28" s="14"/>
      <c r="AE28" s="14"/>
      <c r="AF28" s="14"/>
      <c r="AG28" s="14"/>
      <c r="AH28" s="14"/>
      <c r="AI28" s="14"/>
      <c r="AJ28" s="14"/>
      <c r="AK28" s="14"/>
      <c r="AL28" s="14"/>
      <c r="AM28" s="14"/>
      <c r="AN28" s="14"/>
      <c r="AO28" s="5" t="str">
        <f t="shared" si="2"/>
        <v>mercury</v>
      </c>
      <c r="AP28" s="75"/>
      <c r="AQ28" s="75"/>
      <c r="AR28" s="75"/>
    </row>
    <row r="29" spans="1:44">
      <c r="A29" s="1" t="str">
        <f t="shared" si="0"/>
        <v/>
      </c>
      <c r="B29" s="48"/>
      <c r="C29" s="54"/>
      <c r="D29" s="49"/>
      <c r="E29" s="14"/>
      <c r="F29" s="14"/>
      <c r="G29" s="14"/>
      <c r="H29" s="14"/>
      <c r="I29" s="14"/>
      <c r="J29" s="14"/>
      <c r="K29" s="14"/>
      <c r="L29" s="14"/>
      <c r="M29" s="14"/>
      <c r="N29" s="14"/>
      <c r="O29" s="14"/>
      <c r="P29" s="55"/>
      <c r="Q29" s="55"/>
      <c r="R29" s="55"/>
      <c r="S29" s="55"/>
      <c r="T29" s="55"/>
      <c r="U29" s="55"/>
      <c r="V29" s="55"/>
      <c r="W29" s="55"/>
      <c r="X29" s="55"/>
      <c r="Y29" s="55"/>
      <c r="Z29" s="55"/>
      <c r="AA29" s="55"/>
      <c r="AB29" s="14"/>
      <c r="AC29" s="14"/>
      <c r="AD29" s="14"/>
      <c r="AE29" s="14"/>
      <c r="AF29" s="14"/>
      <c r="AG29" s="14"/>
      <c r="AH29" s="14"/>
      <c r="AI29" s="14"/>
      <c r="AJ29" s="14"/>
      <c r="AK29" s="14"/>
      <c r="AL29" s="14"/>
      <c r="AM29" s="14"/>
      <c r="AN29" s="14"/>
      <c r="AO29" s="5" t="str">
        <f t="shared" si="2"/>
        <v>venus</v>
      </c>
      <c r="AP29" s="75"/>
      <c r="AQ29" s="75"/>
      <c r="AR29" s="75"/>
    </row>
    <row r="30" spans="1:44">
      <c r="A30" s="1" t="str">
        <f t="shared" si="0"/>
        <v>aspected byfirst lord</v>
      </c>
      <c r="B30" s="25" t="str">
        <f>PAC!A59</f>
        <v>Y31</v>
      </c>
      <c r="C30" s="81" t="str">
        <f>PAC!B59</f>
        <v>aspected by</v>
      </c>
      <c r="D30" s="82" t="str">
        <f>PAC!C59</f>
        <v>first lord</v>
      </c>
      <c r="E30" s="14"/>
      <c r="F30" s="14"/>
      <c r="G30" s="14"/>
      <c r="H30" s="14"/>
      <c r="I30" s="14"/>
      <c r="J30" s="14"/>
      <c r="K30" s="14"/>
      <c r="L30" s="14"/>
      <c r="M30" s="14"/>
      <c r="N30" s="14"/>
      <c r="O30" s="14"/>
      <c r="P30" s="55"/>
      <c r="Q30" s="55"/>
      <c r="R30" s="55"/>
      <c r="S30" s="55"/>
      <c r="T30" s="55"/>
      <c r="U30" s="55"/>
      <c r="V30" s="55"/>
      <c r="W30" s="55"/>
      <c r="X30" s="55"/>
      <c r="Y30" s="55"/>
      <c r="Z30" s="55"/>
      <c r="AA30" s="55"/>
      <c r="AB30" s="14"/>
      <c r="AC30" s="14"/>
      <c r="AD30" s="14"/>
      <c r="AE30" s="14"/>
      <c r="AF30" s="14"/>
      <c r="AG30" s="14"/>
      <c r="AH30" s="14"/>
      <c r="AI30" s="14"/>
      <c r="AJ30" s="14"/>
      <c r="AK30" s="14"/>
      <c r="AL30" s="14"/>
      <c r="AM30" s="14"/>
      <c r="AN30" s="14"/>
      <c r="AO30" s="5" t="str">
        <f t="shared" si="2"/>
        <v>mars</v>
      </c>
      <c r="AP30" s="75"/>
      <c r="AQ30" s="75"/>
      <c r="AR30" s="75"/>
    </row>
    <row r="31" spans="1:44">
      <c r="A31" s="1" t="str">
        <f t="shared" si="0"/>
        <v>aspected bysecond lord</v>
      </c>
      <c r="B31" s="25" t="str">
        <f>PAC!A60</f>
        <v>Y32</v>
      </c>
      <c r="C31" s="81" t="str">
        <f>PAC!B60</f>
        <v>aspected by</v>
      </c>
      <c r="D31" s="82" t="str">
        <f>PAC!C60</f>
        <v>second lord</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5" t="str">
        <f t="shared" si="2"/>
        <v>jupiter</v>
      </c>
      <c r="AP31" s="75"/>
      <c r="AQ31" s="75"/>
      <c r="AR31" s="75"/>
    </row>
    <row r="32" spans="1:44">
      <c r="A32" s="1" t="str">
        <f t="shared" si="0"/>
        <v>aspected bythird lord</v>
      </c>
      <c r="B32" s="25" t="str">
        <f>PAC!A61</f>
        <v>Y33</v>
      </c>
      <c r="C32" s="81" t="str">
        <f>PAC!B61</f>
        <v>aspected by</v>
      </c>
      <c r="D32" s="82" t="str">
        <f>PAC!C61</f>
        <v>third lord</v>
      </c>
      <c r="E32" s="14"/>
      <c r="F32" s="14"/>
      <c r="G32" s="14"/>
      <c r="H32" s="14"/>
      <c r="I32" s="14"/>
      <c r="J32" s="14"/>
      <c r="K32" s="14"/>
      <c r="L32" s="14"/>
      <c r="M32" s="14"/>
      <c r="N32" s="14"/>
      <c r="O32" s="14"/>
      <c r="P32" s="55"/>
      <c r="Q32" s="55"/>
      <c r="R32" s="55"/>
      <c r="S32" s="55"/>
      <c r="T32" s="55"/>
      <c r="U32" s="55"/>
      <c r="V32" s="55"/>
      <c r="W32" s="55"/>
      <c r="X32" s="55"/>
      <c r="Y32" s="55"/>
      <c r="Z32" s="55"/>
      <c r="AA32" s="55"/>
      <c r="AB32" s="14"/>
      <c r="AC32" s="14"/>
      <c r="AD32" s="14"/>
      <c r="AE32" s="14"/>
      <c r="AF32" s="14"/>
      <c r="AG32" s="14"/>
      <c r="AH32" s="14"/>
      <c r="AI32" s="14"/>
      <c r="AJ32" s="14"/>
      <c r="AK32" s="14"/>
      <c r="AL32" s="14"/>
      <c r="AM32" s="14"/>
      <c r="AN32" s="14"/>
      <c r="AO32" s="5" t="str">
        <f t="shared" si="2"/>
        <v>saturn</v>
      </c>
      <c r="AP32" s="75"/>
      <c r="AQ32" s="75"/>
      <c r="AR32" s="75"/>
    </row>
    <row r="33" spans="1:44">
      <c r="A33" s="1" t="str">
        <f t="shared" si="0"/>
        <v>aspected byfourth lord</v>
      </c>
      <c r="B33" s="25" t="str">
        <f>PAC!A62</f>
        <v>Y34</v>
      </c>
      <c r="C33" s="81" t="str">
        <f>PAC!B62</f>
        <v>aspected by</v>
      </c>
      <c r="D33" s="82" t="str">
        <f>PAC!C62</f>
        <v>fourth lord</v>
      </c>
      <c r="E33" s="14"/>
      <c r="F33" s="14"/>
      <c r="G33" s="14"/>
      <c r="H33" s="14"/>
      <c r="I33" s="14"/>
      <c r="J33" s="14"/>
      <c r="K33" s="14"/>
      <c r="L33" s="14"/>
      <c r="M33" s="14"/>
      <c r="N33" s="14"/>
      <c r="O33" s="14"/>
      <c r="P33" s="55"/>
      <c r="Q33" s="55"/>
      <c r="R33" s="55"/>
      <c r="S33" s="55"/>
      <c r="T33" s="55"/>
      <c r="U33" s="55"/>
      <c r="V33" s="55"/>
      <c r="W33" s="55"/>
      <c r="X33" s="55"/>
      <c r="Y33" s="55"/>
      <c r="Z33" s="55"/>
      <c r="AA33" s="55"/>
      <c r="AB33" s="14"/>
      <c r="AC33" s="14"/>
      <c r="AD33" s="14"/>
      <c r="AE33" s="14"/>
      <c r="AF33" s="14"/>
      <c r="AG33" s="14"/>
      <c r="AH33" s="14"/>
      <c r="AI33" s="14"/>
      <c r="AJ33" s="14"/>
      <c r="AK33" s="14"/>
      <c r="AL33" s="14"/>
      <c r="AM33" s="14"/>
      <c r="AN33" s="14"/>
      <c r="AO33" s="5" t="str">
        <f t="shared" si="2"/>
        <v>rahu</v>
      </c>
      <c r="AP33" s="75"/>
      <c r="AQ33" s="75"/>
      <c r="AR33" s="75"/>
    </row>
    <row r="34" spans="1:44">
      <c r="A34" s="1" t="str">
        <f t="shared" si="0"/>
        <v>aspected byfifth lord</v>
      </c>
      <c r="B34" s="25" t="str">
        <f>PAC!A63</f>
        <v>Y35</v>
      </c>
      <c r="C34" s="81" t="str">
        <f>PAC!B63</f>
        <v>aspected by</v>
      </c>
      <c r="D34" s="82" t="str">
        <f>PAC!C63</f>
        <v>fifth lord</v>
      </c>
      <c r="E34" s="14"/>
      <c r="F34" s="14"/>
      <c r="G34" s="14"/>
      <c r="H34" s="14"/>
      <c r="I34" s="14"/>
      <c r="J34" s="14"/>
      <c r="K34" s="14"/>
      <c r="L34" s="14"/>
      <c r="M34" s="14"/>
      <c r="N34" s="14"/>
      <c r="O34" s="14"/>
      <c r="P34" s="55"/>
      <c r="Q34" s="55"/>
      <c r="R34" s="55"/>
      <c r="S34" s="55"/>
      <c r="T34" s="55"/>
      <c r="U34" s="55"/>
      <c r="V34" s="55"/>
      <c r="W34" s="55"/>
      <c r="X34" s="55"/>
      <c r="Y34" s="55"/>
      <c r="Z34" s="55"/>
      <c r="AA34" s="55"/>
      <c r="AB34" s="14"/>
      <c r="AC34" s="14"/>
      <c r="AD34" s="14"/>
      <c r="AE34" s="14"/>
      <c r="AF34" s="14"/>
      <c r="AG34" s="14"/>
      <c r="AH34" s="14"/>
      <c r="AI34" s="14"/>
      <c r="AJ34" s="14"/>
      <c r="AK34" s="14"/>
      <c r="AL34" s="14"/>
      <c r="AM34" s="14"/>
      <c r="AN34" s="14"/>
      <c r="AO34" s="5" t="str">
        <f t="shared" si="2"/>
        <v>ketu</v>
      </c>
      <c r="AP34" s="75"/>
      <c r="AQ34" s="75"/>
      <c r="AR34" s="75"/>
    </row>
    <row r="35" spans="1:44">
      <c r="A35" s="1" t="str">
        <f t="shared" si="0"/>
        <v>aspected bysixth lord</v>
      </c>
      <c r="B35" s="25" t="str">
        <f>PAC!A64</f>
        <v>Y36</v>
      </c>
      <c r="C35" s="81" t="str">
        <f>PAC!B64</f>
        <v>aspected by</v>
      </c>
      <c r="D35" s="82" t="str">
        <f>PAC!C64</f>
        <v>sixth lord</v>
      </c>
      <c r="E35" s="14"/>
      <c r="F35" s="14"/>
      <c r="G35" s="14"/>
      <c r="H35" s="14"/>
      <c r="I35" s="14"/>
      <c r="J35" s="14"/>
      <c r="K35" s="14"/>
      <c r="L35" s="14"/>
      <c r="M35" s="14"/>
      <c r="N35" s="14"/>
      <c r="O35" s="14"/>
      <c r="P35" s="55"/>
      <c r="Q35" s="55"/>
      <c r="R35" s="55"/>
      <c r="S35" s="55"/>
      <c r="T35" s="55"/>
      <c r="U35" s="55"/>
      <c r="V35" s="55"/>
      <c r="W35" s="55"/>
      <c r="X35" s="55"/>
      <c r="Y35" s="55"/>
      <c r="Z35" s="55"/>
      <c r="AA35" s="55"/>
      <c r="AB35" s="14"/>
      <c r="AC35" s="14"/>
      <c r="AD35" s="14"/>
      <c r="AE35" s="14"/>
      <c r="AF35" s="14"/>
      <c r="AG35" s="14"/>
      <c r="AH35" s="14"/>
      <c r="AI35" s="14"/>
      <c r="AJ35" s="14"/>
      <c r="AK35" s="14"/>
      <c r="AL35" s="14"/>
      <c r="AM35" s="14"/>
      <c r="AN35" s="14"/>
      <c r="AO35" s="5"/>
      <c r="AP35" s="75"/>
      <c r="AQ35" s="75"/>
      <c r="AR35" s="75"/>
    </row>
    <row r="36" spans="1:44">
      <c r="A36" s="1" t="str">
        <f t="shared" si="0"/>
        <v>aspected byseventh lord</v>
      </c>
      <c r="B36" s="25" t="str">
        <f>PAC!A65</f>
        <v>Y37</v>
      </c>
      <c r="C36" s="81" t="str">
        <f>PAC!B65</f>
        <v>aspected by</v>
      </c>
      <c r="D36" s="82" t="str">
        <f>PAC!C65</f>
        <v>seventh lord</v>
      </c>
      <c r="E36" s="14"/>
      <c r="F36" s="14"/>
      <c r="G36" s="14"/>
      <c r="H36" s="14"/>
      <c r="I36" s="14"/>
      <c r="J36" s="14"/>
      <c r="K36" s="14"/>
      <c r="L36" s="14"/>
      <c r="M36" s="14"/>
      <c r="N36" s="14"/>
      <c r="O36" s="14"/>
      <c r="P36" s="55"/>
      <c r="Q36" s="55"/>
      <c r="R36" s="55"/>
      <c r="S36" s="55"/>
      <c r="T36" s="55"/>
      <c r="U36" s="55"/>
      <c r="V36" s="55"/>
      <c r="W36" s="55"/>
      <c r="X36" s="55"/>
      <c r="Y36" s="55"/>
      <c r="Z36" s="55"/>
      <c r="AA36" s="55"/>
      <c r="AB36" s="14"/>
      <c r="AC36" s="14"/>
      <c r="AD36" s="14"/>
      <c r="AE36" s="14"/>
      <c r="AF36" s="14"/>
      <c r="AG36" s="14"/>
      <c r="AH36" s="14"/>
      <c r="AI36" s="14"/>
      <c r="AJ36" s="14"/>
      <c r="AK36" s="14"/>
      <c r="AL36" s="14"/>
      <c r="AM36" s="14"/>
      <c r="AN36" s="14"/>
      <c r="AO36" s="5" t="str">
        <f t="shared" si="2"/>
        <v>first lord</v>
      </c>
      <c r="AP36" s="75"/>
      <c r="AQ36" s="75"/>
      <c r="AR36" s="75"/>
    </row>
    <row r="37" spans="1:44">
      <c r="A37" s="1" t="str">
        <f t="shared" si="0"/>
        <v>aspected byeighth lord</v>
      </c>
      <c r="B37" s="25" t="str">
        <f>PAC!A66</f>
        <v>Y38</v>
      </c>
      <c r="C37" s="81" t="str">
        <f>PAC!B66</f>
        <v>aspected by</v>
      </c>
      <c r="D37" s="82" t="str">
        <f>PAC!C66</f>
        <v>eighth lord</v>
      </c>
      <c r="E37" s="14"/>
      <c r="F37" s="14"/>
      <c r="G37" s="14"/>
      <c r="H37" s="14"/>
      <c r="I37" s="14"/>
      <c r="J37" s="14"/>
      <c r="K37" s="14"/>
      <c r="L37" s="14"/>
      <c r="M37" s="14"/>
      <c r="N37" s="14"/>
      <c r="O37" s="14"/>
      <c r="P37" s="55"/>
      <c r="Q37" s="55"/>
      <c r="R37" s="55"/>
      <c r="S37" s="55"/>
      <c r="T37" s="55"/>
      <c r="U37" s="55"/>
      <c r="V37" s="55"/>
      <c r="W37" s="55"/>
      <c r="X37" s="55"/>
      <c r="Y37" s="55"/>
      <c r="Z37" s="55"/>
      <c r="AA37" s="55"/>
      <c r="AB37" s="14"/>
      <c r="AC37" s="14"/>
      <c r="AD37" s="14"/>
      <c r="AE37" s="14"/>
      <c r="AF37" s="14"/>
      <c r="AG37" s="14"/>
      <c r="AH37" s="14"/>
      <c r="AI37" s="14"/>
      <c r="AJ37" s="14"/>
      <c r="AK37" s="14"/>
      <c r="AL37" s="14"/>
      <c r="AM37" s="14"/>
      <c r="AN37" s="14"/>
      <c r="AO37" s="5" t="str">
        <f t="shared" si="2"/>
        <v>second lord</v>
      </c>
      <c r="AP37" s="75"/>
      <c r="AQ37" s="75"/>
      <c r="AR37" s="75"/>
    </row>
    <row r="38" spans="1:44">
      <c r="A38" s="1" t="str">
        <f t="shared" si="0"/>
        <v>aspected byninth lord</v>
      </c>
      <c r="B38" s="25" t="str">
        <f>PAC!A67</f>
        <v>Y39</v>
      </c>
      <c r="C38" s="81" t="str">
        <f>PAC!B67</f>
        <v>aspected by</v>
      </c>
      <c r="D38" s="82" t="str">
        <f>PAC!C67</f>
        <v>ninth lord</v>
      </c>
      <c r="E38" s="14"/>
      <c r="F38" s="14"/>
      <c r="G38" s="14"/>
      <c r="H38" s="14"/>
      <c r="I38" s="14"/>
      <c r="J38" s="14"/>
      <c r="K38" s="14"/>
      <c r="L38" s="14"/>
      <c r="M38" s="14"/>
      <c r="N38" s="14"/>
      <c r="O38" s="14"/>
      <c r="P38" s="55"/>
      <c r="Q38" s="55"/>
      <c r="R38" s="55"/>
      <c r="S38" s="55"/>
      <c r="T38" s="55"/>
      <c r="U38" s="55"/>
      <c r="V38" s="55"/>
      <c r="W38" s="55"/>
      <c r="X38" s="55"/>
      <c r="Y38" s="55"/>
      <c r="Z38" s="55"/>
      <c r="AA38" s="55"/>
      <c r="AB38" s="14"/>
      <c r="AC38" s="14"/>
      <c r="AD38" s="14"/>
      <c r="AE38" s="14"/>
      <c r="AF38" s="14"/>
      <c r="AG38" s="14"/>
      <c r="AH38" s="14"/>
      <c r="AI38" s="14"/>
      <c r="AJ38" s="14"/>
      <c r="AK38" s="14"/>
      <c r="AL38" s="14"/>
      <c r="AM38" s="14"/>
      <c r="AN38" s="14"/>
      <c r="AO38" s="5" t="str">
        <f t="shared" si="2"/>
        <v>third lord</v>
      </c>
      <c r="AP38" s="75"/>
      <c r="AQ38" s="75"/>
      <c r="AR38" s="75"/>
    </row>
    <row r="39" spans="1:44">
      <c r="A39" s="1" t="str">
        <f t="shared" si="0"/>
        <v>aspected bytenth lord</v>
      </c>
      <c r="B39" s="25" t="str">
        <f>PAC!A68</f>
        <v>Y40</v>
      </c>
      <c r="C39" s="81" t="str">
        <f>PAC!B68</f>
        <v>aspected by</v>
      </c>
      <c r="D39" s="82" t="str">
        <f>PAC!C68</f>
        <v>tenth lord</v>
      </c>
      <c r="E39" s="14"/>
      <c r="F39" s="14"/>
      <c r="G39" s="14"/>
      <c r="H39" s="14"/>
      <c r="I39" s="14"/>
      <c r="J39" s="14"/>
      <c r="K39" s="14"/>
      <c r="L39" s="14"/>
      <c r="M39" s="14"/>
      <c r="N39" s="14"/>
      <c r="O39" s="14"/>
      <c r="P39" s="55"/>
      <c r="Q39" s="55"/>
      <c r="R39" s="55"/>
      <c r="S39" s="55"/>
      <c r="T39" s="55"/>
      <c r="U39" s="55"/>
      <c r="V39" s="55"/>
      <c r="W39" s="55"/>
      <c r="X39" s="55"/>
      <c r="Y39" s="55"/>
      <c r="Z39" s="55"/>
      <c r="AA39" s="55"/>
      <c r="AB39" s="14"/>
      <c r="AC39" s="14"/>
      <c r="AD39" s="14"/>
      <c r="AE39" s="14"/>
      <c r="AF39" s="14"/>
      <c r="AG39" s="14"/>
      <c r="AH39" s="14"/>
      <c r="AI39" s="14"/>
      <c r="AJ39" s="14"/>
      <c r="AK39" s="14"/>
      <c r="AL39" s="14"/>
      <c r="AM39" s="14"/>
      <c r="AN39" s="14"/>
      <c r="AO39" s="5" t="str">
        <f t="shared" si="2"/>
        <v>fourth lord</v>
      </c>
      <c r="AP39" s="75"/>
      <c r="AQ39" s="75"/>
      <c r="AR39" s="75"/>
    </row>
    <row r="40" spans="1:44">
      <c r="A40" s="1" t="str">
        <f t="shared" si="0"/>
        <v>aspected byeleventh lord</v>
      </c>
      <c r="B40" s="25" t="str">
        <f>PAC!A69</f>
        <v>Y41</v>
      </c>
      <c r="C40" s="81" t="str">
        <f>PAC!B69</f>
        <v>aspected by</v>
      </c>
      <c r="D40" s="82" t="str">
        <f>PAC!C69</f>
        <v>eleventh lord</v>
      </c>
      <c r="E40" s="14"/>
      <c r="F40" s="14"/>
      <c r="G40" s="14"/>
      <c r="H40" s="14"/>
      <c r="I40" s="14"/>
      <c r="J40" s="14"/>
      <c r="K40" s="14"/>
      <c r="L40" s="14"/>
      <c r="M40" s="14"/>
      <c r="N40" s="14"/>
      <c r="O40" s="14"/>
      <c r="P40" s="55"/>
      <c r="Q40" s="55"/>
      <c r="R40" s="55"/>
      <c r="S40" s="55"/>
      <c r="T40" s="55"/>
      <c r="U40" s="55"/>
      <c r="V40" s="55"/>
      <c r="W40" s="55"/>
      <c r="X40" s="55"/>
      <c r="Y40" s="55"/>
      <c r="Z40" s="55"/>
      <c r="AA40" s="55"/>
      <c r="AB40" s="14"/>
      <c r="AC40" s="14"/>
      <c r="AD40" s="14"/>
      <c r="AE40" s="14"/>
      <c r="AF40" s="14"/>
      <c r="AG40" s="14"/>
      <c r="AH40" s="14"/>
      <c r="AI40" s="14"/>
      <c r="AJ40" s="14"/>
      <c r="AK40" s="14"/>
      <c r="AL40" s="14"/>
      <c r="AM40" s="14"/>
      <c r="AN40" s="14"/>
      <c r="AO40" s="5" t="str">
        <f t="shared" si="2"/>
        <v>fifth lord</v>
      </c>
      <c r="AP40" s="75"/>
      <c r="AQ40" s="75"/>
      <c r="AR40" s="75"/>
    </row>
    <row r="41" spans="1:44">
      <c r="A41" s="1" t="str">
        <f t="shared" si="0"/>
        <v>aspected bytwelveth lord</v>
      </c>
      <c r="B41" s="25" t="str">
        <f>PAC!A70</f>
        <v>Y42</v>
      </c>
      <c r="C41" s="81" t="str">
        <f>PAC!B70</f>
        <v>aspected by</v>
      </c>
      <c r="D41" s="82" t="str">
        <f>PAC!C70</f>
        <v>twelveth lord</v>
      </c>
      <c r="E41" s="14"/>
      <c r="F41" s="14"/>
      <c r="G41" s="14"/>
      <c r="H41" s="14"/>
      <c r="I41" s="14"/>
      <c r="J41" s="14"/>
      <c r="K41" s="14"/>
      <c r="L41" s="14"/>
      <c r="M41" s="14"/>
      <c r="N41" s="14"/>
      <c r="O41" s="14"/>
      <c r="P41" s="55"/>
      <c r="Q41" s="55"/>
      <c r="R41" s="55"/>
      <c r="S41" s="55"/>
      <c r="T41" s="55"/>
      <c r="U41" s="55"/>
      <c r="V41" s="55"/>
      <c r="W41" s="55"/>
      <c r="X41" s="55"/>
      <c r="Y41" s="55"/>
      <c r="Z41" s="55"/>
      <c r="AA41" s="55"/>
      <c r="AB41" s="14"/>
      <c r="AC41" s="14"/>
      <c r="AD41" s="14"/>
      <c r="AE41" s="14"/>
      <c r="AF41" s="14"/>
      <c r="AG41" s="14"/>
      <c r="AH41" s="14"/>
      <c r="AI41" s="14"/>
      <c r="AJ41" s="14"/>
      <c r="AK41" s="14"/>
      <c r="AL41" s="14"/>
      <c r="AM41" s="14"/>
      <c r="AN41" s="14"/>
      <c r="AO41" s="5" t="str">
        <f t="shared" si="2"/>
        <v>sixth lord</v>
      </c>
      <c r="AP41" s="75"/>
      <c r="AQ41" s="75"/>
      <c r="AR41" s="75"/>
    </row>
    <row r="42" spans="1:44">
      <c r="A42" s="1" t="str">
        <f t="shared" si="0"/>
        <v/>
      </c>
      <c r="B42" s="25"/>
      <c r="C42" s="8"/>
      <c r="D42" s="15"/>
      <c r="E42" s="14"/>
      <c r="F42" s="14"/>
      <c r="G42" s="14"/>
      <c r="H42" s="14"/>
      <c r="I42" s="14"/>
      <c r="J42" s="14"/>
      <c r="K42" s="14"/>
      <c r="L42" s="14"/>
      <c r="M42" s="14"/>
      <c r="N42" s="14"/>
      <c r="O42" s="14"/>
      <c r="P42" s="55"/>
      <c r="Q42" s="55"/>
      <c r="R42" s="55"/>
      <c r="S42" s="55"/>
      <c r="T42" s="55"/>
      <c r="U42" s="55"/>
      <c r="V42" s="55"/>
      <c r="W42" s="55"/>
      <c r="X42" s="55"/>
      <c r="Y42" s="55"/>
      <c r="Z42" s="55"/>
      <c r="AA42" s="55"/>
      <c r="AB42" s="14"/>
      <c r="AC42" s="14"/>
      <c r="AD42" s="14"/>
      <c r="AE42" s="14"/>
      <c r="AF42" s="14"/>
      <c r="AG42" s="14"/>
      <c r="AH42" s="14"/>
      <c r="AI42" s="14"/>
      <c r="AJ42" s="14"/>
      <c r="AK42" s="14"/>
      <c r="AL42" s="14"/>
      <c r="AM42" s="14"/>
      <c r="AN42" s="14"/>
      <c r="AO42" s="5" t="str">
        <f t="shared" si="2"/>
        <v>seventh lord</v>
      </c>
      <c r="AP42" s="75"/>
      <c r="AQ42" s="75"/>
      <c r="AR42" s="75"/>
    </row>
    <row r="43" spans="1:44" ht="16.2" thickBot="1">
      <c r="A43" s="1" t="str">
        <f t="shared" si="0"/>
        <v>Conjunctions</v>
      </c>
      <c r="B43" s="25"/>
      <c r="C43" s="56" t="s">
        <v>140</v>
      </c>
      <c r="D43" s="51"/>
      <c r="E43" s="14"/>
      <c r="F43" s="14"/>
      <c r="G43" s="14"/>
      <c r="H43" s="14"/>
      <c r="I43" s="14"/>
      <c r="J43" s="14"/>
      <c r="K43" s="14"/>
      <c r="L43" s="14"/>
      <c r="M43" s="14"/>
      <c r="N43" s="14"/>
      <c r="O43" s="14"/>
      <c r="P43" s="55"/>
      <c r="Q43" s="55"/>
      <c r="R43" s="55"/>
      <c r="S43" s="55"/>
      <c r="T43" s="55"/>
      <c r="U43" s="55"/>
      <c r="V43" s="55"/>
      <c r="W43" s="55"/>
      <c r="X43" s="55"/>
      <c r="Y43" s="55"/>
      <c r="Z43" s="55"/>
      <c r="AA43" s="55"/>
      <c r="AB43" s="14"/>
      <c r="AC43" s="14"/>
      <c r="AD43" s="14"/>
      <c r="AE43" s="14"/>
      <c r="AF43" s="14"/>
      <c r="AG43" s="14"/>
      <c r="AH43" s="14"/>
      <c r="AI43" s="14"/>
      <c r="AJ43" s="14"/>
      <c r="AK43" s="14"/>
      <c r="AL43" s="14"/>
      <c r="AM43" s="14"/>
      <c r="AN43" s="14"/>
      <c r="AO43" s="5" t="str">
        <f t="shared" si="2"/>
        <v>eighth lord</v>
      </c>
      <c r="AP43" s="75"/>
      <c r="AQ43" s="75"/>
      <c r="AR43" s="75"/>
    </row>
    <row r="44" spans="1:44">
      <c r="A44" s="1" t="str">
        <f t="shared" si="0"/>
        <v/>
      </c>
      <c r="B44" s="25"/>
      <c r="C44" s="3"/>
      <c r="D44" s="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5" t="str">
        <f t="shared" si="2"/>
        <v>ninth lord</v>
      </c>
      <c r="AP44" s="75"/>
      <c r="AQ44" s="75"/>
      <c r="AR44" s="75"/>
    </row>
    <row r="45" spans="1:44">
      <c r="A45" s="1" t="str">
        <f t="shared" si="0"/>
        <v>conjunct withsun</v>
      </c>
      <c r="B45" s="25" t="str">
        <f>PAC!A74</f>
        <v>Y51</v>
      </c>
      <c r="C45" s="81" t="str">
        <f>PAC!B74</f>
        <v>conjunct with</v>
      </c>
      <c r="D45" s="82" t="str">
        <f>PAC!C74</f>
        <v>sun</v>
      </c>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5" t="str">
        <f t="shared" si="2"/>
        <v>tenth lord</v>
      </c>
      <c r="AP45" s="75"/>
      <c r="AQ45" s="75"/>
      <c r="AR45" s="75"/>
    </row>
    <row r="46" spans="1:44">
      <c r="A46" s="1" t="str">
        <f t="shared" si="0"/>
        <v xml:space="preserve">conjunct withmoon </v>
      </c>
      <c r="B46" s="25" t="str">
        <f>PAC!A75</f>
        <v>Y52</v>
      </c>
      <c r="C46" s="81" t="str">
        <f>PAC!B75</f>
        <v>conjunct with</v>
      </c>
      <c r="D46" s="82" t="str">
        <f>PAC!C75</f>
        <v xml:space="preserve">moon </v>
      </c>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5" t="str">
        <f t="shared" si="2"/>
        <v>eleventh lord</v>
      </c>
      <c r="AP46" s="75"/>
      <c r="AQ46" s="75"/>
      <c r="AR46" s="75"/>
    </row>
    <row r="47" spans="1:44">
      <c r="A47" s="1" t="str">
        <f t="shared" si="0"/>
        <v>conjunct withmercury</v>
      </c>
      <c r="B47" s="25" t="str">
        <f>PAC!A76</f>
        <v>Y53</v>
      </c>
      <c r="C47" s="81" t="str">
        <f>PAC!B76</f>
        <v>conjunct with</v>
      </c>
      <c r="D47" s="82" t="str">
        <f>PAC!C76</f>
        <v>mercury</v>
      </c>
      <c r="E47" s="14"/>
      <c r="F47" s="14"/>
      <c r="G47" s="14"/>
      <c r="H47" s="14"/>
      <c r="I47" s="14"/>
      <c r="J47" s="14"/>
      <c r="K47" s="14"/>
      <c r="L47" s="14"/>
      <c r="M47" s="14"/>
      <c r="N47" s="14"/>
      <c r="O47" s="14"/>
      <c r="P47" s="55"/>
      <c r="Q47" s="55"/>
      <c r="R47" s="55"/>
      <c r="S47" s="55"/>
      <c r="T47" s="55"/>
      <c r="U47" s="55"/>
      <c r="V47" s="55"/>
      <c r="W47" s="55"/>
      <c r="X47" s="55"/>
      <c r="Y47" s="55"/>
      <c r="Z47" s="55"/>
      <c r="AA47" s="55"/>
      <c r="AB47" s="14"/>
      <c r="AC47" s="14"/>
      <c r="AD47" s="14"/>
      <c r="AE47" s="14"/>
      <c r="AF47" s="14"/>
      <c r="AG47" s="14"/>
      <c r="AH47" s="14"/>
      <c r="AI47" s="14"/>
      <c r="AJ47" s="14"/>
      <c r="AK47" s="14"/>
      <c r="AL47" s="14"/>
      <c r="AM47" s="14"/>
      <c r="AN47" s="14"/>
      <c r="AO47" s="5" t="str">
        <f t="shared" si="2"/>
        <v>twelveth lord</v>
      </c>
      <c r="AP47" s="75"/>
      <c r="AQ47" s="75"/>
      <c r="AR47" s="75"/>
    </row>
    <row r="48" spans="1:44">
      <c r="A48" s="1" t="str">
        <f t="shared" si="0"/>
        <v>conjunct withvenus</v>
      </c>
      <c r="B48" s="25" t="str">
        <f>PAC!A77</f>
        <v>Y54</v>
      </c>
      <c r="C48" s="81" t="str">
        <f>PAC!B77</f>
        <v>conjunct with</v>
      </c>
      <c r="D48" s="82" t="str">
        <f>PAC!C77</f>
        <v>venus</v>
      </c>
      <c r="E48" s="14"/>
      <c r="F48" s="14"/>
      <c r="G48" s="14"/>
      <c r="H48" s="14"/>
      <c r="I48" s="14"/>
      <c r="J48" s="14"/>
      <c r="K48" s="14"/>
      <c r="L48" s="14"/>
      <c r="M48" s="14"/>
      <c r="N48" s="14"/>
      <c r="O48" s="14"/>
      <c r="P48" s="55"/>
      <c r="Q48" s="55"/>
      <c r="R48" s="55"/>
      <c r="S48" s="55"/>
      <c r="T48" s="55"/>
      <c r="U48" s="55"/>
      <c r="V48" s="55"/>
      <c r="W48" s="55"/>
      <c r="X48" s="55"/>
      <c r="Y48" s="55"/>
      <c r="Z48" s="55"/>
      <c r="AA48" s="55"/>
      <c r="AB48" s="14"/>
      <c r="AC48" s="14"/>
      <c r="AD48" s="14"/>
      <c r="AE48" s="14"/>
      <c r="AF48" s="14"/>
      <c r="AG48" s="14"/>
      <c r="AH48" s="14"/>
      <c r="AI48" s="14"/>
      <c r="AJ48" s="14"/>
      <c r="AK48" s="14"/>
      <c r="AL48" s="14"/>
      <c r="AM48" s="14"/>
      <c r="AN48" s="14"/>
      <c r="AP48" s="75"/>
      <c r="AQ48" s="75"/>
      <c r="AR48" s="75"/>
    </row>
    <row r="49" spans="1:44">
      <c r="A49" s="1" t="str">
        <f t="shared" si="0"/>
        <v>conjunct withmars</v>
      </c>
      <c r="B49" s="25" t="str">
        <f>PAC!A78</f>
        <v>Y55</v>
      </c>
      <c r="C49" s="81" t="str">
        <f>PAC!B78</f>
        <v>conjunct with</v>
      </c>
      <c r="D49" s="82" t="str">
        <f>PAC!C78</f>
        <v>mars</v>
      </c>
      <c r="E49" s="14"/>
      <c r="F49" s="14"/>
      <c r="G49" s="14"/>
      <c r="H49" s="14"/>
      <c r="I49" s="14"/>
      <c r="J49" s="14"/>
      <c r="K49" s="14"/>
      <c r="L49" s="14"/>
      <c r="M49" s="14"/>
      <c r="N49" s="14"/>
      <c r="O49" s="14"/>
      <c r="P49" s="55"/>
      <c r="Q49" s="55"/>
      <c r="R49" s="55"/>
      <c r="S49" s="55"/>
      <c r="T49" s="55"/>
      <c r="U49" s="55"/>
      <c r="V49" s="55"/>
      <c r="W49" s="55"/>
      <c r="X49" s="55"/>
      <c r="Y49" s="55"/>
      <c r="Z49" s="55"/>
      <c r="AA49" s="55"/>
      <c r="AB49" s="14"/>
      <c r="AC49" s="14"/>
      <c r="AD49" s="14"/>
      <c r="AE49" s="14"/>
      <c r="AF49" s="14"/>
      <c r="AG49" s="14"/>
      <c r="AH49" s="14"/>
      <c r="AI49" s="14"/>
      <c r="AJ49" s="14"/>
      <c r="AK49" s="14"/>
      <c r="AL49" s="14"/>
      <c r="AM49" s="14"/>
      <c r="AN49" s="14"/>
      <c r="AP49" s="75"/>
      <c r="AQ49" s="75"/>
      <c r="AR49" s="75"/>
    </row>
    <row r="50" spans="1:44">
      <c r="A50" s="1" t="str">
        <f t="shared" si="0"/>
        <v>conjunct withjupiter</v>
      </c>
      <c r="B50" s="25" t="str">
        <f>PAC!A79</f>
        <v>Y56</v>
      </c>
      <c r="C50" s="81" t="str">
        <f>PAC!B79</f>
        <v>conjunct with</v>
      </c>
      <c r="D50" s="82" t="str">
        <f>PAC!C79</f>
        <v>jupiter</v>
      </c>
      <c r="E50" s="14"/>
      <c r="F50" s="14"/>
      <c r="G50" s="14"/>
      <c r="H50" s="14"/>
      <c r="I50" s="14"/>
      <c r="J50" s="14"/>
      <c r="K50" s="14"/>
      <c r="L50" s="14"/>
      <c r="M50" s="14"/>
      <c r="N50" s="14"/>
      <c r="O50" s="14"/>
      <c r="P50" s="55"/>
      <c r="Q50" s="55"/>
      <c r="R50" s="55"/>
      <c r="S50" s="55"/>
      <c r="T50" s="55"/>
      <c r="U50" s="55"/>
      <c r="V50" s="55"/>
      <c r="W50" s="55"/>
      <c r="X50" s="55"/>
      <c r="Y50" s="55"/>
      <c r="Z50" s="55"/>
      <c r="AA50" s="55"/>
      <c r="AB50" s="14"/>
      <c r="AC50" s="14"/>
      <c r="AD50" s="14"/>
      <c r="AE50" s="14"/>
      <c r="AF50" s="14"/>
      <c r="AG50" s="14"/>
      <c r="AH50" s="14"/>
      <c r="AI50" s="14"/>
      <c r="AJ50" s="14"/>
      <c r="AK50" s="14"/>
      <c r="AL50" s="14"/>
      <c r="AM50" s="14"/>
      <c r="AN50" s="14"/>
      <c r="AO50" s="49" t="str">
        <f>D71</f>
        <v>aries</v>
      </c>
      <c r="AP50" s="75"/>
      <c r="AQ50" s="75"/>
      <c r="AR50" s="75"/>
    </row>
    <row r="51" spans="1:44">
      <c r="A51" s="1" t="str">
        <f t="shared" si="0"/>
        <v>conjunct withsaturn</v>
      </c>
      <c r="B51" s="25" t="str">
        <f>PAC!A80</f>
        <v>Y57</v>
      </c>
      <c r="C51" s="81" t="str">
        <f>PAC!B80</f>
        <v>conjunct with</v>
      </c>
      <c r="D51" s="82" t="str">
        <f>PAC!C80</f>
        <v>saturn</v>
      </c>
      <c r="E51" s="14"/>
      <c r="F51" s="14"/>
      <c r="G51" s="14"/>
      <c r="H51" s="14"/>
      <c r="I51" s="14"/>
      <c r="J51" s="14"/>
      <c r="K51" s="14"/>
      <c r="L51" s="14"/>
      <c r="M51" s="14"/>
      <c r="N51" s="14"/>
      <c r="O51" s="14"/>
      <c r="P51" s="55"/>
      <c r="Q51" s="55"/>
      <c r="R51" s="55"/>
      <c r="S51" s="55"/>
      <c r="T51" s="55"/>
      <c r="U51" s="55"/>
      <c r="V51" s="55"/>
      <c r="W51" s="55"/>
      <c r="X51" s="55"/>
      <c r="Y51" s="55"/>
      <c r="Z51" s="55"/>
      <c r="AA51" s="55"/>
      <c r="AB51" s="14"/>
      <c r="AC51" s="14"/>
      <c r="AD51" s="14"/>
      <c r="AE51" s="14"/>
      <c r="AF51" s="14"/>
      <c r="AG51" s="14"/>
      <c r="AH51" s="14"/>
      <c r="AI51" s="14"/>
      <c r="AJ51" s="14"/>
      <c r="AK51" s="14"/>
      <c r="AL51" s="14"/>
      <c r="AM51" s="14"/>
      <c r="AN51" s="14"/>
      <c r="AO51" s="49" t="str">
        <f t="shared" ref="AO51:AO74" si="3">D72</f>
        <v>taurus</v>
      </c>
      <c r="AP51" s="75"/>
      <c r="AQ51" s="75"/>
      <c r="AR51" s="75"/>
    </row>
    <row r="52" spans="1:44">
      <c r="A52" s="1" t="str">
        <f t="shared" si="0"/>
        <v>conjunct withrahu</v>
      </c>
      <c r="B52" s="25" t="str">
        <f>PAC!A81</f>
        <v>Y58</v>
      </c>
      <c r="C52" s="81" t="str">
        <f>PAC!B81</f>
        <v>conjunct with</v>
      </c>
      <c r="D52" s="82" t="str">
        <f>PAC!C81</f>
        <v>rahu</v>
      </c>
      <c r="E52" s="14"/>
      <c r="F52" s="14"/>
      <c r="G52" s="14"/>
      <c r="H52" s="14"/>
      <c r="I52" s="14"/>
      <c r="J52" s="14"/>
      <c r="K52" s="14"/>
      <c r="L52" s="14"/>
      <c r="M52" s="14"/>
      <c r="N52" s="14"/>
      <c r="O52" s="14"/>
      <c r="P52" s="55"/>
      <c r="Q52" s="55"/>
      <c r="R52" s="55"/>
      <c r="S52" s="55"/>
      <c r="T52" s="55"/>
      <c r="U52" s="55"/>
      <c r="V52" s="55"/>
      <c r="W52" s="55"/>
      <c r="X52" s="55"/>
      <c r="Y52" s="55"/>
      <c r="Z52" s="55"/>
      <c r="AA52" s="55"/>
      <c r="AB52" s="14"/>
      <c r="AC52" s="14"/>
      <c r="AD52" s="14"/>
      <c r="AE52" s="14"/>
      <c r="AF52" s="14"/>
      <c r="AG52" s="14"/>
      <c r="AH52" s="14"/>
      <c r="AI52" s="14"/>
      <c r="AJ52" s="14"/>
      <c r="AK52" s="14"/>
      <c r="AL52" s="14"/>
      <c r="AM52" s="14"/>
      <c r="AN52" s="14"/>
      <c r="AO52" s="49" t="str">
        <f t="shared" si="3"/>
        <v>gemini</v>
      </c>
      <c r="AP52" s="75"/>
      <c r="AQ52" s="75"/>
      <c r="AR52" s="75"/>
    </row>
    <row r="53" spans="1:44">
      <c r="A53" s="1" t="str">
        <f t="shared" si="0"/>
        <v>conjunct withketu</v>
      </c>
      <c r="B53" s="25" t="str">
        <f>PAC!A82</f>
        <v>Y59</v>
      </c>
      <c r="C53" s="81" t="str">
        <f>PAC!B82</f>
        <v>conjunct with</v>
      </c>
      <c r="D53" s="82" t="str">
        <f>PAC!C82</f>
        <v>ketu</v>
      </c>
      <c r="E53" s="14"/>
      <c r="F53" s="14"/>
      <c r="G53" s="14"/>
      <c r="H53" s="14"/>
      <c r="I53" s="14"/>
      <c r="J53" s="14"/>
      <c r="K53" s="14"/>
      <c r="L53" s="14"/>
      <c r="M53" s="14"/>
      <c r="N53" s="14"/>
      <c r="O53" s="14"/>
      <c r="P53" s="55"/>
      <c r="Q53" s="55"/>
      <c r="R53" s="55"/>
      <c r="S53" s="55"/>
      <c r="T53" s="55"/>
      <c r="U53" s="55"/>
      <c r="V53" s="55"/>
      <c r="W53" s="55"/>
      <c r="X53" s="55"/>
      <c r="Y53" s="55"/>
      <c r="Z53" s="55"/>
      <c r="AA53" s="55"/>
      <c r="AB53" s="14"/>
      <c r="AC53" s="14"/>
      <c r="AD53" s="14"/>
      <c r="AE53" s="14"/>
      <c r="AF53" s="14"/>
      <c r="AG53" s="14"/>
      <c r="AH53" s="14"/>
      <c r="AI53" s="14"/>
      <c r="AJ53" s="14"/>
      <c r="AK53" s="14"/>
      <c r="AL53" s="14"/>
      <c r="AM53" s="14"/>
      <c r="AN53" s="14"/>
      <c r="AO53" s="49" t="str">
        <f t="shared" si="3"/>
        <v>cancer</v>
      </c>
      <c r="AP53" s="75"/>
      <c r="AQ53" s="75"/>
      <c r="AR53" s="75"/>
    </row>
    <row r="54" spans="1:44">
      <c r="A54" s="1" t="str">
        <f t="shared" si="0"/>
        <v/>
      </c>
      <c r="B54" s="25"/>
      <c r="C54" s="3"/>
      <c r="D54" s="6"/>
      <c r="E54" s="14"/>
      <c r="F54" s="14"/>
      <c r="G54" s="14"/>
      <c r="H54" s="14"/>
      <c r="I54" s="14"/>
      <c r="J54" s="14"/>
      <c r="K54" s="14"/>
      <c r="L54" s="14"/>
      <c r="M54" s="14"/>
      <c r="N54" s="14"/>
      <c r="O54" s="14"/>
      <c r="P54" s="55"/>
      <c r="Q54" s="55"/>
      <c r="R54" s="55"/>
      <c r="S54" s="55"/>
      <c r="T54" s="55"/>
      <c r="U54" s="55"/>
      <c r="V54" s="55"/>
      <c r="W54" s="55"/>
      <c r="X54" s="55"/>
      <c r="Y54" s="55"/>
      <c r="Z54" s="55"/>
      <c r="AA54" s="55"/>
      <c r="AB54" s="14"/>
      <c r="AC54" s="14"/>
      <c r="AD54" s="14"/>
      <c r="AE54" s="14"/>
      <c r="AF54" s="14"/>
      <c r="AG54" s="14"/>
      <c r="AH54" s="14"/>
      <c r="AI54" s="14"/>
      <c r="AJ54" s="14"/>
      <c r="AK54" s="14"/>
      <c r="AL54" s="14"/>
      <c r="AM54" s="14"/>
      <c r="AN54" s="14"/>
      <c r="AO54" s="49" t="str">
        <f t="shared" si="3"/>
        <v>leo</v>
      </c>
      <c r="AP54" s="75"/>
      <c r="AQ54" s="75"/>
      <c r="AR54" s="75"/>
    </row>
    <row r="55" spans="1:44">
      <c r="A55" s="1" t="str">
        <f t="shared" si="0"/>
        <v>conjunct withfirst lord</v>
      </c>
      <c r="B55" s="25" t="str">
        <f>PAC!A84</f>
        <v>Y61</v>
      </c>
      <c r="C55" s="81" t="str">
        <f>PAC!B84</f>
        <v>conjunct with</v>
      </c>
      <c r="D55" s="82" t="str">
        <f>PAC!C84</f>
        <v>first lord</v>
      </c>
      <c r="E55" s="14"/>
      <c r="F55" s="14"/>
      <c r="G55" s="14"/>
      <c r="H55" s="14"/>
      <c r="I55" s="14"/>
      <c r="J55" s="14"/>
      <c r="K55" s="14"/>
      <c r="L55" s="14"/>
      <c r="M55" s="14"/>
      <c r="N55" s="14"/>
      <c r="O55" s="14"/>
      <c r="P55" s="55"/>
      <c r="Q55" s="55"/>
      <c r="R55" s="55"/>
      <c r="S55" s="55"/>
      <c r="T55" s="55"/>
      <c r="U55" s="55"/>
      <c r="V55" s="55"/>
      <c r="W55" s="55"/>
      <c r="X55" s="55"/>
      <c r="Y55" s="55"/>
      <c r="Z55" s="55"/>
      <c r="AA55" s="55"/>
      <c r="AB55" s="14"/>
      <c r="AC55" s="14"/>
      <c r="AD55" s="14"/>
      <c r="AE55" s="14"/>
      <c r="AF55" s="14"/>
      <c r="AG55" s="14"/>
      <c r="AH55" s="14"/>
      <c r="AI55" s="14"/>
      <c r="AJ55" s="14"/>
      <c r="AK55" s="14"/>
      <c r="AL55" s="14"/>
      <c r="AM55" s="14"/>
      <c r="AN55" s="14"/>
      <c r="AO55" s="49" t="str">
        <f t="shared" si="3"/>
        <v>virgo</v>
      </c>
      <c r="AP55" s="75"/>
      <c r="AQ55" s="75"/>
      <c r="AR55" s="75"/>
    </row>
    <row r="56" spans="1:44">
      <c r="A56" s="1" t="str">
        <f t="shared" si="0"/>
        <v>conjunct withsecond lord</v>
      </c>
      <c r="B56" s="25" t="str">
        <f>PAC!A85</f>
        <v>Y62</v>
      </c>
      <c r="C56" s="81" t="str">
        <f>PAC!B85</f>
        <v>conjunct with</v>
      </c>
      <c r="D56" s="82" t="str">
        <f>PAC!C85</f>
        <v>second lord</v>
      </c>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49" t="str">
        <f t="shared" si="3"/>
        <v>libra</v>
      </c>
      <c r="AP56" s="75"/>
      <c r="AQ56" s="75"/>
      <c r="AR56" s="75"/>
    </row>
    <row r="57" spans="1:44">
      <c r="A57" s="1" t="str">
        <f t="shared" si="0"/>
        <v>conjunct withthird lord</v>
      </c>
      <c r="B57" s="25" t="str">
        <f>PAC!A86</f>
        <v>Y63</v>
      </c>
      <c r="C57" s="81" t="str">
        <f>PAC!B86</f>
        <v>conjunct with</v>
      </c>
      <c r="D57" s="82" t="str">
        <f>PAC!C86</f>
        <v>third lord</v>
      </c>
      <c r="E57" s="59"/>
      <c r="F57" s="59"/>
      <c r="G57" s="59"/>
      <c r="H57" s="59"/>
      <c r="I57" s="59"/>
      <c r="J57" s="59"/>
      <c r="K57" s="59"/>
      <c r="L57" s="59"/>
      <c r="M57" s="59"/>
      <c r="N57" s="59"/>
      <c r="O57" s="14"/>
      <c r="P57" s="55"/>
      <c r="Q57" s="55"/>
      <c r="R57" s="55"/>
      <c r="S57" s="55"/>
      <c r="T57" s="55"/>
      <c r="U57" s="55"/>
      <c r="V57" s="55"/>
      <c r="W57" s="55"/>
      <c r="X57" s="55"/>
      <c r="Y57" s="55"/>
      <c r="Z57" s="55"/>
      <c r="AA57" s="55"/>
      <c r="AB57" s="14"/>
      <c r="AC57" s="14"/>
      <c r="AD57" s="14"/>
      <c r="AE57" s="14"/>
      <c r="AF57" s="14"/>
      <c r="AG57" s="14"/>
      <c r="AH57" s="14"/>
      <c r="AI57" s="14"/>
      <c r="AJ57" s="14"/>
      <c r="AK57" s="14"/>
      <c r="AL57" s="14"/>
      <c r="AM57" s="14"/>
      <c r="AN57" s="14"/>
      <c r="AO57" s="49" t="str">
        <f t="shared" si="3"/>
        <v>scorpio</v>
      </c>
      <c r="AP57" s="75"/>
      <c r="AQ57" s="75"/>
      <c r="AR57" s="75"/>
    </row>
    <row r="58" spans="1:44">
      <c r="A58" s="1" t="str">
        <f t="shared" si="0"/>
        <v>conjunct withfourth lord</v>
      </c>
      <c r="B58" s="25" t="str">
        <f>PAC!A87</f>
        <v>Y64</v>
      </c>
      <c r="C58" s="81" t="str">
        <f>PAC!B87</f>
        <v>conjunct with</v>
      </c>
      <c r="D58" s="82" t="str">
        <f>PAC!C87</f>
        <v>fourth lord</v>
      </c>
      <c r="E58" s="59"/>
      <c r="F58" s="59"/>
      <c r="G58" s="59"/>
      <c r="H58" s="59"/>
      <c r="I58" s="59"/>
      <c r="J58" s="59"/>
      <c r="K58" s="59"/>
      <c r="L58" s="59"/>
      <c r="M58" s="59"/>
      <c r="N58" s="59"/>
      <c r="O58" s="14"/>
      <c r="P58" s="55"/>
      <c r="Q58" s="55"/>
      <c r="R58" s="55"/>
      <c r="S58" s="55"/>
      <c r="T58" s="55"/>
      <c r="U58" s="55"/>
      <c r="V58" s="55"/>
      <c r="W58" s="55"/>
      <c r="X58" s="55"/>
      <c r="Y58" s="55"/>
      <c r="Z58" s="55"/>
      <c r="AA58" s="55"/>
      <c r="AB58" s="14"/>
      <c r="AC58" s="14"/>
      <c r="AD58" s="14"/>
      <c r="AE58" s="14"/>
      <c r="AF58" s="14"/>
      <c r="AG58" s="14"/>
      <c r="AH58" s="14"/>
      <c r="AI58" s="14"/>
      <c r="AJ58" s="14"/>
      <c r="AK58" s="14"/>
      <c r="AL58" s="14"/>
      <c r="AM58" s="14"/>
      <c r="AN58" s="14"/>
      <c r="AO58" s="49" t="str">
        <f t="shared" si="3"/>
        <v>sagitarrius</v>
      </c>
      <c r="AP58" s="75"/>
      <c r="AQ58" s="75"/>
      <c r="AR58" s="75"/>
    </row>
    <row r="59" spans="1:44">
      <c r="A59" s="1" t="str">
        <f t="shared" si="0"/>
        <v>conjunct withfifth lord</v>
      </c>
      <c r="B59" s="25" t="str">
        <f>PAC!A88</f>
        <v>Y65</v>
      </c>
      <c r="C59" s="81" t="str">
        <f>PAC!B88</f>
        <v>conjunct with</v>
      </c>
      <c r="D59" s="82" t="str">
        <f>PAC!C88</f>
        <v>fifth lord</v>
      </c>
      <c r="E59" s="59"/>
      <c r="F59" s="59"/>
      <c r="G59" s="59"/>
      <c r="H59" s="59"/>
      <c r="I59" s="59"/>
      <c r="J59" s="59"/>
      <c r="K59" s="59"/>
      <c r="L59" s="59"/>
      <c r="M59" s="59"/>
      <c r="N59" s="59"/>
      <c r="O59" s="14"/>
      <c r="P59" s="55"/>
      <c r="Q59" s="55"/>
      <c r="R59" s="55"/>
      <c r="S59" s="55"/>
      <c r="T59" s="55"/>
      <c r="U59" s="55"/>
      <c r="V59" s="55"/>
      <c r="W59" s="55"/>
      <c r="X59" s="55"/>
      <c r="Y59" s="55"/>
      <c r="Z59" s="55"/>
      <c r="AA59" s="55"/>
      <c r="AB59" s="14"/>
      <c r="AC59" s="14"/>
      <c r="AD59" s="14"/>
      <c r="AE59" s="14"/>
      <c r="AF59" s="14"/>
      <c r="AG59" s="14"/>
      <c r="AH59" s="14"/>
      <c r="AI59" s="14"/>
      <c r="AJ59" s="14"/>
      <c r="AK59" s="14"/>
      <c r="AL59" s="14"/>
      <c r="AM59" s="14"/>
      <c r="AN59" s="14"/>
      <c r="AO59" s="49" t="str">
        <f t="shared" si="3"/>
        <v>capricorn</v>
      </c>
      <c r="AP59" s="75"/>
      <c r="AQ59" s="75"/>
      <c r="AR59" s="75"/>
    </row>
    <row r="60" spans="1:44">
      <c r="A60" s="1" t="str">
        <f t="shared" si="0"/>
        <v>conjunct withsixth lord</v>
      </c>
      <c r="B60" s="25" t="str">
        <f>PAC!A89</f>
        <v>Y66</v>
      </c>
      <c r="C60" s="81" t="str">
        <f>PAC!B89</f>
        <v>conjunct with</v>
      </c>
      <c r="D60" s="82" t="str">
        <f>PAC!C89</f>
        <v>sixth lord</v>
      </c>
      <c r="E60" s="59"/>
      <c r="F60" s="59"/>
      <c r="G60" s="59"/>
      <c r="H60" s="59"/>
      <c r="I60" s="59"/>
      <c r="J60" s="59"/>
      <c r="K60" s="59"/>
      <c r="L60" s="59"/>
      <c r="M60" s="59"/>
      <c r="N60" s="59"/>
      <c r="O60" s="14"/>
      <c r="P60" s="55"/>
      <c r="Q60" s="55"/>
      <c r="R60" s="55"/>
      <c r="S60" s="55"/>
      <c r="T60" s="55"/>
      <c r="U60" s="55"/>
      <c r="V60" s="55"/>
      <c r="W60" s="55"/>
      <c r="X60" s="55"/>
      <c r="Y60" s="55"/>
      <c r="Z60" s="55"/>
      <c r="AA60" s="55"/>
      <c r="AB60" s="14"/>
      <c r="AC60" s="14"/>
      <c r="AD60" s="14"/>
      <c r="AE60" s="14"/>
      <c r="AF60" s="14"/>
      <c r="AG60" s="14"/>
      <c r="AH60" s="14"/>
      <c r="AI60" s="14"/>
      <c r="AJ60" s="14"/>
      <c r="AK60" s="14"/>
      <c r="AL60" s="14"/>
      <c r="AM60" s="14"/>
      <c r="AN60" s="14"/>
      <c r="AO60" s="49" t="str">
        <f t="shared" si="3"/>
        <v>aquarius</v>
      </c>
      <c r="AP60" s="75"/>
      <c r="AQ60" s="75"/>
      <c r="AR60" s="75"/>
    </row>
    <row r="61" spans="1:44">
      <c r="A61" s="1" t="str">
        <f t="shared" si="0"/>
        <v>conjunct withseventh lord</v>
      </c>
      <c r="B61" s="25" t="str">
        <f>PAC!A90</f>
        <v>Y67</v>
      </c>
      <c r="C61" s="81" t="str">
        <f>PAC!B90</f>
        <v>conjunct with</v>
      </c>
      <c r="D61" s="82" t="str">
        <f>PAC!C90</f>
        <v>seventh lord</v>
      </c>
      <c r="E61" s="59"/>
      <c r="F61" s="59"/>
      <c r="G61" s="59"/>
      <c r="H61" s="59"/>
      <c r="I61" s="59"/>
      <c r="J61" s="59"/>
      <c r="K61" s="59"/>
      <c r="L61" s="59"/>
      <c r="M61" s="59"/>
      <c r="N61" s="59"/>
      <c r="O61" s="14"/>
      <c r="P61" s="55"/>
      <c r="Q61" s="55"/>
      <c r="R61" s="55"/>
      <c r="S61" s="55"/>
      <c r="T61" s="55"/>
      <c r="U61" s="55"/>
      <c r="V61" s="55"/>
      <c r="W61" s="55"/>
      <c r="X61" s="55"/>
      <c r="Y61" s="55"/>
      <c r="Z61" s="55"/>
      <c r="AA61" s="55"/>
      <c r="AB61" s="14"/>
      <c r="AC61" s="14"/>
      <c r="AD61" s="14"/>
      <c r="AE61" s="14"/>
      <c r="AF61" s="14"/>
      <c r="AG61" s="14"/>
      <c r="AH61" s="14"/>
      <c r="AI61" s="14"/>
      <c r="AJ61" s="14"/>
      <c r="AK61" s="14"/>
      <c r="AL61" s="14"/>
      <c r="AM61" s="14"/>
      <c r="AN61" s="14"/>
      <c r="AO61" s="49" t="str">
        <f t="shared" si="3"/>
        <v>pisces</v>
      </c>
      <c r="AP61" s="75"/>
      <c r="AQ61" s="75"/>
      <c r="AR61" s="75"/>
    </row>
    <row r="62" spans="1:44">
      <c r="A62" s="1" t="str">
        <f t="shared" si="0"/>
        <v>conjunct witheighth lord</v>
      </c>
      <c r="B62" s="25" t="str">
        <f>PAC!A91</f>
        <v>Y68</v>
      </c>
      <c r="C62" s="81" t="str">
        <f>PAC!B91</f>
        <v>conjunct with</v>
      </c>
      <c r="D62" s="82" t="str">
        <f>PAC!C91</f>
        <v>eighth lord</v>
      </c>
      <c r="E62" s="59"/>
      <c r="F62" s="59"/>
      <c r="G62" s="59"/>
      <c r="H62" s="59"/>
      <c r="I62" s="59"/>
      <c r="J62" s="59"/>
      <c r="K62" s="59"/>
      <c r="L62" s="59"/>
      <c r="M62" s="59"/>
      <c r="N62" s="59"/>
      <c r="O62" s="14"/>
      <c r="P62" s="55"/>
      <c r="Q62" s="55"/>
      <c r="R62" s="55"/>
      <c r="S62" s="55"/>
      <c r="T62" s="55"/>
      <c r="U62" s="55"/>
      <c r="V62" s="55"/>
      <c r="W62" s="55"/>
      <c r="X62" s="55"/>
      <c r="Y62" s="55"/>
      <c r="Z62" s="55"/>
      <c r="AA62" s="55"/>
      <c r="AB62" s="14"/>
      <c r="AC62" s="14"/>
      <c r="AD62" s="14"/>
      <c r="AE62" s="14"/>
      <c r="AF62" s="14"/>
      <c r="AG62" s="14"/>
      <c r="AH62" s="14"/>
      <c r="AI62" s="14"/>
      <c r="AJ62" s="14"/>
      <c r="AK62" s="14"/>
      <c r="AL62" s="14"/>
      <c r="AM62" s="14"/>
      <c r="AN62" s="14"/>
      <c r="AO62" s="49"/>
      <c r="AP62" s="75"/>
      <c r="AQ62" s="75"/>
      <c r="AR62" s="75"/>
    </row>
    <row r="63" spans="1:44">
      <c r="A63" s="1" t="str">
        <f t="shared" si="0"/>
        <v>conjunct withninth lord</v>
      </c>
      <c r="B63" s="25" t="str">
        <f>PAC!A92</f>
        <v>Y69</v>
      </c>
      <c r="C63" s="81" t="str">
        <f>PAC!B92</f>
        <v>conjunct with</v>
      </c>
      <c r="D63" s="82" t="str">
        <f>PAC!C92</f>
        <v>ninth lord</v>
      </c>
      <c r="E63" s="59"/>
      <c r="F63" s="59"/>
      <c r="G63" s="59"/>
      <c r="H63" s="59"/>
      <c r="I63" s="59"/>
      <c r="J63" s="59"/>
      <c r="K63" s="59"/>
      <c r="L63" s="59"/>
      <c r="M63" s="59"/>
      <c r="N63" s="59"/>
      <c r="O63" s="14"/>
      <c r="P63" s="55"/>
      <c r="Q63" s="55"/>
      <c r="R63" s="55"/>
      <c r="S63" s="55"/>
      <c r="T63" s="55"/>
      <c r="U63" s="55"/>
      <c r="V63" s="55"/>
      <c r="W63" s="55"/>
      <c r="X63" s="55"/>
      <c r="Y63" s="55"/>
      <c r="Z63" s="55"/>
      <c r="AA63" s="55"/>
      <c r="AB63" s="14"/>
      <c r="AC63" s="14"/>
      <c r="AD63" s="14"/>
      <c r="AE63" s="14"/>
      <c r="AF63" s="14"/>
      <c r="AG63" s="14"/>
      <c r="AH63" s="14"/>
      <c r="AI63" s="14"/>
      <c r="AJ63" s="14"/>
      <c r="AK63" s="14"/>
      <c r="AL63" s="14"/>
      <c r="AM63" s="14"/>
      <c r="AN63" s="14"/>
      <c r="AO63" s="49" t="str">
        <f t="shared" si="3"/>
        <v>first bhava</v>
      </c>
      <c r="AP63" s="75"/>
      <c r="AQ63" s="75"/>
      <c r="AR63" s="75"/>
    </row>
    <row r="64" spans="1:44">
      <c r="A64" s="1" t="str">
        <f t="shared" si="0"/>
        <v>conjunct withtenth lord</v>
      </c>
      <c r="B64" s="25" t="str">
        <f>PAC!A93</f>
        <v>Y70</v>
      </c>
      <c r="C64" s="81" t="str">
        <f>PAC!B93</f>
        <v>conjunct with</v>
      </c>
      <c r="D64" s="82" t="str">
        <f>PAC!C93</f>
        <v>tenth lord</v>
      </c>
      <c r="E64" s="59"/>
      <c r="F64" s="59"/>
      <c r="G64" s="59"/>
      <c r="H64" s="59"/>
      <c r="I64" s="59"/>
      <c r="J64" s="59"/>
      <c r="K64" s="59"/>
      <c r="L64" s="59"/>
      <c r="M64" s="59"/>
      <c r="N64" s="59"/>
      <c r="O64" s="14"/>
      <c r="P64" s="55"/>
      <c r="Q64" s="55"/>
      <c r="R64" s="55"/>
      <c r="S64" s="55"/>
      <c r="T64" s="55"/>
      <c r="U64" s="55"/>
      <c r="V64" s="55"/>
      <c r="W64" s="55"/>
      <c r="X64" s="55"/>
      <c r="Y64" s="55"/>
      <c r="Z64" s="55"/>
      <c r="AA64" s="55"/>
      <c r="AB64" s="14"/>
      <c r="AC64" s="14"/>
      <c r="AD64" s="14"/>
      <c r="AE64" s="14"/>
      <c r="AF64" s="14"/>
      <c r="AG64" s="14"/>
      <c r="AH64" s="14"/>
      <c r="AI64" s="14"/>
      <c r="AJ64" s="14"/>
      <c r="AK64" s="14"/>
      <c r="AL64" s="14"/>
      <c r="AM64" s="14"/>
      <c r="AN64" s="14"/>
      <c r="AO64" s="49" t="str">
        <f t="shared" si="3"/>
        <v>second bhava</v>
      </c>
      <c r="AP64" s="75"/>
      <c r="AQ64" s="75"/>
      <c r="AR64" s="75"/>
    </row>
    <row r="65" spans="1:44">
      <c r="A65" s="1" t="str">
        <f t="shared" si="0"/>
        <v>conjunct witheleventh lord</v>
      </c>
      <c r="B65" s="25" t="str">
        <f>PAC!A94</f>
        <v>Y71</v>
      </c>
      <c r="C65" s="81" t="str">
        <f>PAC!B94</f>
        <v>conjunct with</v>
      </c>
      <c r="D65" s="82" t="str">
        <f>PAC!C94</f>
        <v>eleventh lord</v>
      </c>
      <c r="E65" s="59"/>
      <c r="F65" s="59"/>
      <c r="G65" s="59"/>
      <c r="H65" s="59"/>
      <c r="I65" s="59"/>
      <c r="J65" s="59"/>
      <c r="K65" s="59"/>
      <c r="L65" s="59"/>
      <c r="M65" s="59"/>
      <c r="N65" s="59"/>
      <c r="O65" s="14"/>
      <c r="P65" s="55"/>
      <c r="Q65" s="55"/>
      <c r="R65" s="55"/>
      <c r="S65" s="55"/>
      <c r="T65" s="55"/>
      <c r="U65" s="55"/>
      <c r="V65" s="55"/>
      <c r="W65" s="55"/>
      <c r="X65" s="55"/>
      <c r="Y65" s="55"/>
      <c r="Z65" s="55"/>
      <c r="AA65" s="55"/>
      <c r="AB65" s="14"/>
      <c r="AC65" s="14"/>
      <c r="AD65" s="14"/>
      <c r="AE65" s="14"/>
      <c r="AF65" s="14"/>
      <c r="AG65" s="14"/>
      <c r="AH65" s="14"/>
      <c r="AI65" s="14"/>
      <c r="AJ65" s="14"/>
      <c r="AK65" s="14"/>
      <c r="AL65" s="14"/>
      <c r="AM65" s="14"/>
      <c r="AN65" s="14"/>
      <c r="AO65" s="49" t="str">
        <f t="shared" si="3"/>
        <v>third bhava</v>
      </c>
      <c r="AP65" s="75"/>
      <c r="AQ65" s="75"/>
      <c r="AR65" s="75"/>
    </row>
    <row r="66" spans="1:44">
      <c r="A66" s="1" t="str">
        <f t="shared" si="0"/>
        <v>conjunct withtwelveth lord</v>
      </c>
      <c r="B66" s="25" t="str">
        <f>PAC!A95</f>
        <v>Y72</v>
      </c>
      <c r="C66" s="81" t="str">
        <f>PAC!B95</f>
        <v>conjunct with</v>
      </c>
      <c r="D66" s="82" t="str">
        <f>PAC!C95</f>
        <v>twelveth lord</v>
      </c>
      <c r="E66" s="59"/>
      <c r="F66" s="59"/>
      <c r="G66" s="59"/>
      <c r="H66" s="59"/>
      <c r="I66" s="59"/>
      <c r="J66" s="59"/>
      <c r="K66" s="59"/>
      <c r="L66" s="59"/>
      <c r="M66" s="59"/>
      <c r="N66" s="59"/>
      <c r="O66" s="14"/>
      <c r="P66" s="55"/>
      <c r="Q66" s="55"/>
      <c r="R66" s="55"/>
      <c r="S66" s="55"/>
      <c r="T66" s="55"/>
      <c r="U66" s="55"/>
      <c r="V66" s="55"/>
      <c r="W66" s="55"/>
      <c r="X66" s="55"/>
      <c r="Y66" s="55"/>
      <c r="Z66" s="55"/>
      <c r="AA66" s="55"/>
      <c r="AB66" s="14"/>
      <c r="AC66" s="14"/>
      <c r="AD66" s="14"/>
      <c r="AE66" s="14"/>
      <c r="AF66" s="14"/>
      <c r="AG66" s="14"/>
      <c r="AH66" s="14"/>
      <c r="AI66" s="14"/>
      <c r="AJ66" s="14"/>
      <c r="AK66" s="14"/>
      <c r="AL66" s="14"/>
      <c r="AM66" s="14"/>
      <c r="AN66" s="14"/>
      <c r="AO66" s="49" t="str">
        <f t="shared" si="3"/>
        <v>fourth bhava</v>
      </c>
      <c r="AP66" s="75"/>
      <c r="AQ66" s="75"/>
      <c r="AR66" s="75"/>
    </row>
    <row r="67" spans="1:44">
      <c r="A67" s="1" t="str">
        <f t="shared" si="0"/>
        <v/>
      </c>
      <c r="B67" s="58"/>
      <c r="C67" s="2"/>
      <c r="D67" s="5"/>
      <c r="E67" s="59"/>
      <c r="F67" s="59"/>
      <c r="G67" s="59"/>
      <c r="H67" s="59"/>
      <c r="I67" s="59"/>
      <c r="J67" s="59"/>
      <c r="K67" s="59"/>
      <c r="L67" s="59"/>
      <c r="M67" s="59"/>
      <c r="N67" s="59"/>
      <c r="O67" s="14"/>
      <c r="P67" s="55"/>
      <c r="Q67" s="55"/>
      <c r="R67" s="55"/>
      <c r="S67" s="55"/>
      <c r="T67" s="55"/>
      <c r="U67" s="55"/>
      <c r="V67" s="55"/>
      <c r="W67" s="55"/>
      <c r="X67" s="55"/>
      <c r="Y67" s="55"/>
      <c r="Z67" s="55"/>
      <c r="AA67" s="55"/>
      <c r="AB67" s="14"/>
      <c r="AC67" s="14"/>
      <c r="AD67" s="14"/>
      <c r="AE67" s="14"/>
      <c r="AF67" s="14"/>
      <c r="AG67" s="14"/>
      <c r="AH67" s="14"/>
      <c r="AI67" s="14"/>
      <c r="AJ67" s="14"/>
      <c r="AK67" s="14"/>
      <c r="AL67" s="14"/>
      <c r="AM67" s="14"/>
      <c r="AN67" s="14"/>
      <c r="AO67" s="49" t="str">
        <f t="shared" si="3"/>
        <v>fifth bhava</v>
      </c>
      <c r="AP67" s="75"/>
      <c r="AQ67" s="75"/>
      <c r="AR67" s="75"/>
    </row>
    <row r="68" spans="1:44">
      <c r="A68" s="1" t="str">
        <f t="shared" si="0"/>
        <v/>
      </c>
      <c r="B68" s="58"/>
      <c r="C68" s="2"/>
      <c r="D68" s="5"/>
      <c r="E68" s="59"/>
      <c r="F68" s="59"/>
      <c r="G68" s="59"/>
      <c r="H68" s="59"/>
      <c r="I68" s="59"/>
      <c r="J68" s="59"/>
      <c r="K68" s="59"/>
      <c r="L68" s="59"/>
      <c r="M68" s="59"/>
      <c r="N68" s="59"/>
      <c r="O68" s="14"/>
      <c r="P68" s="55"/>
      <c r="Q68" s="55"/>
      <c r="R68" s="55"/>
      <c r="S68" s="55"/>
      <c r="T68" s="55"/>
      <c r="U68" s="55"/>
      <c r="V68" s="55"/>
      <c r="W68" s="55"/>
      <c r="X68" s="55"/>
      <c r="Y68" s="55"/>
      <c r="Z68" s="55"/>
      <c r="AA68" s="55"/>
      <c r="AB68" s="14"/>
      <c r="AC68" s="14"/>
      <c r="AD68" s="14"/>
      <c r="AE68" s="14"/>
      <c r="AF68" s="14"/>
      <c r="AG68" s="14"/>
      <c r="AH68" s="14"/>
      <c r="AI68" s="14"/>
      <c r="AJ68" s="14"/>
      <c r="AK68" s="14"/>
      <c r="AL68" s="14"/>
      <c r="AM68" s="14"/>
      <c r="AN68" s="14"/>
      <c r="AO68" s="49" t="str">
        <f t="shared" si="3"/>
        <v>sixth bhava</v>
      </c>
      <c r="AP68" s="75"/>
      <c r="AQ68" s="75"/>
      <c r="AR68" s="75"/>
    </row>
    <row r="69" spans="1:44" ht="16.2" thickBot="1">
      <c r="A69" s="1" t="str">
        <f t="shared" si="0"/>
        <v>Positions -- Basic</v>
      </c>
      <c r="B69" s="58"/>
      <c r="C69" s="56" t="s">
        <v>214</v>
      </c>
      <c r="D69" s="51"/>
      <c r="E69" s="59"/>
      <c r="F69" s="59"/>
      <c r="G69" s="59"/>
      <c r="H69" s="59"/>
      <c r="I69" s="59"/>
      <c r="J69" s="59"/>
      <c r="K69" s="59"/>
      <c r="L69" s="59"/>
      <c r="M69" s="59"/>
      <c r="N69" s="59"/>
      <c r="O69" s="14"/>
      <c r="P69" s="55"/>
      <c r="Q69" s="55"/>
      <c r="R69" s="55"/>
      <c r="S69" s="55"/>
      <c r="T69" s="55"/>
      <c r="U69" s="55"/>
      <c r="V69" s="55"/>
      <c r="W69" s="55"/>
      <c r="X69" s="55"/>
      <c r="Y69" s="55"/>
      <c r="Z69" s="55"/>
      <c r="AA69" s="55"/>
      <c r="AB69" s="14"/>
      <c r="AC69" s="14"/>
      <c r="AD69" s="14"/>
      <c r="AE69" s="14"/>
      <c r="AF69" s="14"/>
      <c r="AG69" s="14"/>
      <c r="AH69" s="14"/>
      <c r="AI69" s="14"/>
      <c r="AJ69" s="14"/>
      <c r="AK69" s="14"/>
      <c r="AL69" s="14"/>
      <c r="AM69" s="14"/>
      <c r="AN69" s="14"/>
      <c r="AO69" s="49" t="str">
        <f t="shared" si="3"/>
        <v>seventh bhava</v>
      </c>
      <c r="AP69" s="75"/>
      <c r="AQ69" s="75"/>
      <c r="AR69" s="75"/>
    </row>
    <row r="70" spans="1:44">
      <c r="A70" s="1" t="str">
        <f t="shared" si="0"/>
        <v/>
      </c>
      <c r="B70" s="61"/>
      <c r="C70" s="54"/>
      <c r="D70" s="49"/>
      <c r="E70" s="59"/>
      <c r="F70" s="59"/>
      <c r="G70" s="59"/>
      <c r="H70" s="59"/>
      <c r="I70" s="59"/>
      <c r="J70" s="59"/>
      <c r="K70" s="59"/>
      <c r="L70" s="59"/>
      <c r="M70" s="59"/>
      <c r="N70" s="59"/>
      <c r="O70" s="14"/>
      <c r="P70" s="55"/>
      <c r="Q70" s="55"/>
      <c r="R70" s="55"/>
      <c r="S70" s="55"/>
      <c r="T70" s="55"/>
      <c r="U70" s="55"/>
      <c r="V70" s="55"/>
      <c r="W70" s="55"/>
      <c r="X70" s="55"/>
      <c r="Y70" s="55"/>
      <c r="Z70" s="55"/>
      <c r="AA70" s="55"/>
      <c r="AB70" s="14"/>
      <c r="AC70" s="14"/>
      <c r="AD70" s="14"/>
      <c r="AE70" s="14"/>
      <c r="AF70" s="14"/>
      <c r="AG70" s="14"/>
      <c r="AH70" s="14"/>
      <c r="AI70" s="14"/>
      <c r="AJ70" s="14"/>
      <c r="AK70" s="14"/>
      <c r="AL70" s="14"/>
      <c r="AM70" s="14"/>
      <c r="AN70" s="14"/>
      <c r="AO70" s="49" t="str">
        <f t="shared" si="3"/>
        <v>eighth bhava</v>
      </c>
      <c r="AP70" s="75"/>
      <c r="AQ70" s="75"/>
      <c r="AR70" s="75"/>
    </row>
    <row r="71" spans="1:44">
      <c r="A71" s="1" t="str">
        <f t="shared" si="0"/>
        <v>resident inaries</v>
      </c>
      <c r="B71" s="25" t="str">
        <f>PAC!A100</f>
        <v>YAA</v>
      </c>
      <c r="C71" s="81" t="str">
        <f>PAC!B100</f>
        <v>resident in</v>
      </c>
      <c r="D71" s="82" t="str">
        <f>PAC!C100</f>
        <v>aries</v>
      </c>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49" t="str">
        <f t="shared" si="3"/>
        <v>ninth bhava</v>
      </c>
      <c r="AP71" s="75"/>
      <c r="AQ71" s="75"/>
      <c r="AR71" s="75"/>
    </row>
    <row r="72" spans="1:44">
      <c r="A72" s="1" t="str">
        <f t="shared" si="0"/>
        <v>resident intaurus</v>
      </c>
      <c r="B72" s="25" t="str">
        <f>PAC!A101</f>
        <v>YAB</v>
      </c>
      <c r="C72" s="81" t="str">
        <f>PAC!B101</f>
        <v>resident in</v>
      </c>
      <c r="D72" s="82" t="str">
        <f>PAC!C101</f>
        <v>taurus</v>
      </c>
      <c r="E72" s="88"/>
      <c r="F72" s="88"/>
      <c r="G72" s="88"/>
      <c r="H72" s="88"/>
      <c r="I72" s="88"/>
      <c r="J72" s="88"/>
      <c r="K72" s="88"/>
      <c r="L72" s="88"/>
      <c r="M72" s="88"/>
      <c r="N72" s="88"/>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49" t="str">
        <f t="shared" si="3"/>
        <v>tenth bhava</v>
      </c>
      <c r="AP72" s="75"/>
      <c r="AQ72" s="75"/>
      <c r="AR72" s="75"/>
    </row>
    <row r="73" spans="1:44">
      <c r="A73" s="1" t="str">
        <f t="shared" si="0"/>
        <v>resident ingemini</v>
      </c>
      <c r="B73" s="25" t="str">
        <f>PAC!A102</f>
        <v>YAC</v>
      </c>
      <c r="C73" s="81" t="str">
        <f>PAC!B102</f>
        <v>resident in</v>
      </c>
      <c r="D73" s="82" t="str">
        <f>PAC!C102</f>
        <v>gemini</v>
      </c>
      <c r="E73" s="88"/>
      <c r="F73" s="88"/>
      <c r="G73" s="88"/>
      <c r="H73" s="88"/>
      <c r="I73" s="88"/>
      <c r="J73" s="88"/>
      <c r="K73" s="88"/>
      <c r="L73" s="88"/>
      <c r="M73" s="88"/>
      <c r="N73" s="88"/>
      <c r="O73" s="14"/>
      <c r="P73" s="55"/>
      <c r="Q73" s="55"/>
      <c r="R73" s="55"/>
      <c r="S73" s="55"/>
      <c r="T73" s="55"/>
      <c r="U73" s="55"/>
      <c r="V73" s="55"/>
      <c r="W73" s="55"/>
      <c r="X73" s="55"/>
      <c r="Y73" s="55"/>
      <c r="Z73" s="55"/>
      <c r="AA73" s="55"/>
      <c r="AB73" s="14"/>
      <c r="AC73" s="14"/>
      <c r="AD73" s="14"/>
      <c r="AE73" s="14"/>
      <c r="AF73" s="14"/>
      <c r="AG73" s="14"/>
      <c r="AH73" s="14"/>
      <c r="AI73" s="14"/>
      <c r="AJ73" s="14"/>
      <c r="AK73" s="14"/>
      <c r="AL73" s="14"/>
      <c r="AM73" s="14"/>
      <c r="AN73" s="14"/>
      <c r="AO73" s="49" t="str">
        <f t="shared" si="3"/>
        <v>eleventh bhava</v>
      </c>
      <c r="AP73" s="75"/>
      <c r="AQ73" s="75"/>
      <c r="AR73" s="75"/>
    </row>
    <row r="74" spans="1:44">
      <c r="A74" s="1" t="str">
        <f t="shared" ref="A74:A95" si="4">CONCATENATE(C74,D74)</f>
        <v>resident incancer</v>
      </c>
      <c r="B74" s="25" t="str">
        <f>PAC!A103</f>
        <v>YAD</v>
      </c>
      <c r="C74" s="81" t="str">
        <f>PAC!B103</f>
        <v>resident in</v>
      </c>
      <c r="D74" s="82" t="str">
        <f>PAC!C103</f>
        <v>cancer</v>
      </c>
      <c r="E74" s="88"/>
      <c r="F74" s="88"/>
      <c r="G74" s="88"/>
      <c r="H74" s="88"/>
      <c r="I74" s="88"/>
      <c r="J74" s="88"/>
      <c r="K74" s="88"/>
      <c r="L74" s="88"/>
      <c r="M74" s="88"/>
      <c r="N74" s="88"/>
      <c r="O74" s="14"/>
      <c r="P74" s="55"/>
      <c r="Q74" s="55"/>
      <c r="R74" s="55"/>
      <c r="S74" s="55"/>
      <c r="T74" s="55"/>
      <c r="U74" s="55"/>
      <c r="V74" s="55"/>
      <c r="W74" s="55"/>
      <c r="X74" s="55"/>
      <c r="Y74" s="55"/>
      <c r="Z74" s="55"/>
      <c r="AA74" s="55"/>
      <c r="AB74" s="14"/>
      <c r="AC74" s="14"/>
      <c r="AD74" s="14"/>
      <c r="AE74" s="14"/>
      <c r="AF74" s="14"/>
      <c r="AG74" s="14"/>
      <c r="AH74" s="14"/>
      <c r="AI74" s="14"/>
      <c r="AJ74" s="14"/>
      <c r="AK74" s="14"/>
      <c r="AL74" s="14"/>
      <c r="AM74" s="14"/>
      <c r="AN74" s="14"/>
      <c r="AO74" s="49" t="str">
        <f t="shared" si="3"/>
        <v>twelveth bhava</v>
      </c>
      <c r="AP74" s="75"/>
      <c r="AQ74" s="75"/>
      <c r="AR74" s="75"/>
    </row>
    <row r="75" spans="1:44">
      <c r="A75" s="1" t="str">
        <f t="shared" si="4"/>
        <v>resident inleo</v>
      </c>
      <c r="B75" s="25" t="str">
        <f>PAC!A104</f>
        <v>YAE</v>
      </c>
      <c r="C75" s="81" t="str">
        <f>PAC!B104</f>
        <v>resident in</v>
      </c>
      <c r="D75" s="82" t="str">
        <f>PAC!C104</f>
        <v>leo</v>
      </c>
      <c r="E75" s="88"/>
      <c r="F75" s="88"/>
      <c r="G75" s="88"/>
      <c r="H75" s="88"/>
      <c r="I75" s="88"/>
      <c r="J75" s="88"/>
      <c r="K75" s="88"/>
      <c r="L75" s="88"/>
      <c r="M75" s="88"/>
      <c r="N75" s="88"/>
      <c r="O75" s="14"/>
      <c r="P75" s="55"/>
      <c r="Q75" s="55"/>
      <c r="R75" s="55"/>
      <c r="S75" s="55"/>
      <c r="T75" s="55"/>
      <c r="U75" s="55"/>
      <c r="V75" s="55"/>
      <c r="W75" s="55"/>
      <c r="X75" s="55"/>
      <c r="Y75" s="55"/>
      <c r="Z75" s="55"/>
      <c r="AA75" s="55"/>
      <c r="AB75" s="14"/>
      <c r="AC75" s="14"/>
      <c r="AD75" s="14"/>
      <c r="AE75" s="14"/>
      <c r="AF75" s="14"/>
      <c r="AG75" s="14"/>
      <c r="AH75" s="14"/>
      <c r="AI75" s="14"/>
      <c r="AJ75" s="14"/>
      <c r="AK75" s="14"/>
      <c r="AL75" s="14"/>
      <c r="AM75" s="14"/>
      <c r="AN75" s="14"/>
      <c r="AP75" s="75"/>
      <c r="AQ75" s="75"/>
      <c r="AR75" s="75"/>
    </row>
    <row r="76" spans="1:44">
      <c r="A76" s="1" t="str">
        <f t="shared" si="4"/>
        <v>resident invirgo</v>
      </c>
      <c r="B76" s="25" t="str">
        <f>PAC!A105</f>
        <v>YAF</v>
      </c>
      <c r="C76" s="81" t="str">
        <f>PAC!B105</f>
        <v>resident in</v>
      </c>
      <c r="D76" s="82" t="str">
        <f>PAC!C105</f>
        <v>virgo</v>
      </c>
      <c r="E76" s="88"/>
      <c r="F76" s="88"/>
      <c r="G76" s="88"/>
      <c r="H76" s="88"/>
      <c r="I76" s="88"/>
      <c r="J76" s="88"/>
      <c r="K76" s="88"/>
      <c r="L76" s="88"/>
      <c r="M76" s="88"/>
      <c r="N76" s="88"/>
      <c r="O76" s="14"/>
      <c r="P76" s="55"/>
      <c r="Q76" s="55"/>
      <c r="R76" s="55"/>
      <c r="S76" s="55"/>
      <c r="T76" s="55"/>
      <c r="U76" s="55"/>
      <c r="V76" s="55"/>
      <c r="W76" s="55"/>
      <c r="X76" s="55"/>
      <c r="Y76" s="55"/>
      <c r="Z76" s="55"/>
      <c r="AA76" s="55"/>
      <c r="AB76" s="14"/>
      <c r="AC76" s="14"/>
      <c r="AD76" s="14"/>
      <c r="AE76" s="14"/>
      <c r="AF76" s="14"/>
      <c r="AG76" s="14"/>
      <c r="AH76" s="14"/>
      <c r="AI76" s="14"/>
      <c r="AJ76" s="14"/>
      <c r="AK76" s="14"/>
      <c r="AL76" s="14"/>
      <c r="AM76" s="14"/>
      <c r="AN76" s="14"/>
      <c r="AO76" s="75"/>
      <c r="AP76" s="75"/>
      <c r="AQ76" s="75"/>
      <c r="AR76" s="75"/>
    </row>
    <row r="77" spans="1:44">
      <c r="A77" s="1" t="str">
        <f t="shared" si="4"/>
        <v>resident inlibra</v>
      </c>
      <c r="B77" s="25" t="str">
        <f>PAC!A106</f>
        <v>YAG</v>
      </c>
      <c r="C77" s="81" t="str">
        <f>PAC!B106</f>
        <v>resident in</v>
      </c>
      <c r="D77" s="82" t="str">
        <f>PAC!C106</f>
        <v>libra</v>
      </c>
      <c r="E77" s="88"/>
      <c r="F77" s="88"/>
      <c r="G77" s="88"/>
      <c r="H77" s="88"/>
      <c r="I77" s="88"/>
      <c r="J77" s="88"/>
      <c r="K77" s="88"/>
      <c r="L77" s="88"/>
      <c r="M77" s="88"/>
      <c r="N77" s="88"/>
      <c r="O77" s="14"/>
      <c r="P77" s="55"/>
      <c r="Q77" s="55"/>
      <c r="R77" s="55"/>
      <c r="S77" s="55"/>
      <c r="T77" s="55"/>
      <c r="U77" s="55"/>
      <c r="V77" s="55"/>
      <c r="W77" s="55"/>
      <c r="X77" s="55"/>
      <c r="Y77" s="55"/>
      <c r="Z77" s="55"/>
      <c r="AA77" s="55"/>
      <c r="AB77" s="14"/>
      <c r="AC77" s="14"/>
      <c r="AD77" s="14"/>
      <c r="AE77" s="14"/>
      <c r="AF77" s="14"/>
      <c r="AG77" s="14"/>
      <c r="AH77" s="14"/>
      <c r="AI77" s="14"/>
      <c r="AJ77" s="14"/>
      <c r="AK77" s="14"/>
      <c r="AL77" s="14"/>
      <c r="AM77" s="14"/>
      <c r="AN77" s="14"/>
      <c r="AO77" s="75"/>
      <c r="AP77" s="75"/>
      <c r="AQ77" s="75"/>
      <c r="AR77" s="75"/>
    </row>
    <row r="78" spans="1:44">
      <c r="A78" s="1" t="str">
        <f t="shared" si="4"/>
        <v>resident inscorpio</v>
      </c>
      <c r="B78" s="25" t="str">
        <f>PAC!A107</f>
        <v>YAH</v>
      </c>
      <c r="C78" s="81" t="str">
        <f>PAC!B107</f>
        <v>resident in</v>
      </c>
      <c r="D78" s="82" t="str">
        <f>PAC!C107</f>
        <v>scorpio</v>
      </c>
      <c r="E78" s="88"/>
      <c r="F78" s="88"/>
      <c r="G78" s="88"/>
      <c r="H78" s="88"/>
      <c r="I78" s="88"/>
      <c r="J78" s="88"/>
      <c r="K78" s="88"/>
      <c r="L78" s="88"/>
      <c r="M78" s="88"/>
      <c r="N78" s="88"/>
      <c r="O78" s="14"/>
      <c r="P78" s="55"/>
      <c r="Q78" s="55"/>
      <c r="R78" s="55"/>
      <c r="S78" s="55"/>
      <c r="T78" s="55"/>
      <c r="U78" s="55"/>
      <c r="V78" s="55"/>
      <c r="W78" s="55"/>
      <c r="X78" s="55"/>
      <c r="Y78" s="55"/>
      <c r="Z78" s="55"/>
      <c r="AA78" s="55"/>
      <c r="AB78" s="14"/>
      <c r="AC78" s="14"/>
      <c r="AD78" s="14"/>
      <c r="AE78" s="14"/>
      <c r="AF78" s="14"/>
      <c r="AG78" s="14"/>
      <c r="AH78" s="14"/>
      <c r="AI78" s="14"/>
      <c r="AJ78" s="14"/>
      <c r="AK78" s="14"/>
      <c r="AL78" s="14"/>
      <c r="AM78" s="14"/>
      <c r="AN78" s="14"/>
      <c r="AO78" s="270" t="s">
        <v>340</v>
      </c>
      <c r="AP78" s="75"/>
      <c r="AQ78" s="75"/>
      <c r="AR78" s="75"/>
    </row>
    <row r="79" spans="1:44">
      <c r="A79" s="1" t="str">
        <f t="shared" si="4"/>
        <v>resident insagitarrius</v>
      </c>
      <c r="B79" s="25" t="str">
        <f>PAC!A108</f>
        <v>YAI</v>
      </c>
      <c r="C79" s="81" t="str">
        <f>PAC!B108</f>
        <v>resident in</v>
      </c>
      <c r="D79" s="82" t="str">
        <f>PAC!C108</f>
        <v>sagitarrius</v>
      </c>
      <c r="E79" s="88"/>
      <c r="F79" s="88"/>
      <c r="G79" s="88"/>
      <c r="H79" s="88"/>
      <c r="I79" s="88"/>
      <c r="J79" s="88"/>
      <c r="K79" s="88"/>
      <c r="L79" s="88"/>
      <c r="M79" s="88"/>
      <c r="N79" s="88"/>
      <c r="O79" s="14"/>
      <c r="P79" s="55"/>
      <c r="Q79" s="55"/>
      <c r="R79" s="55"/>
      <c r="S79" s="55"/>
      <c r="T79" s="55"/>
      <c r="U79" s="55"/>
      <c r="V79" s="55"/>
      <c r="W79" s="55"/>
      <c r="X79" s="55"/>
      <c r="Y79" s="55"/>
      <c r="Z79" s="55"/>
      <c r="AA79" s="55"/>
      <c r="AB79" s="14"/>
      <c r="AC79" s="14"/>
      <c r="AD79" s="14"/>
      <c r="AE79" s="14"/>
      <c r="AF79" s="14"/>
      <c r="AG79" s="14"/>
      <c r="AH79" s="14"/>
      <c r="AI79" s="14"/>
      <c r="AJ79" s="14"/>
      <c r="AK79" s="14"/>
      <c r="AL79" s="14"/>
      <c r="AM79" s="14"/>
      <c r="AN79" s="14"/>
      <c r="AO79" s="271" t="s">
        <v>339</v>
      </c>
      <c r="AP79" s="75"/>
      <c r="AQ79" s="75"/>
      <c r="AR79" s="75"/>
    </row>
    <row r="80" spans="1:44">
      <c r="A80" s="1" t="str">
        <f t="shared" si="4"/>
        <v>resident incapricorn</v>
      </c>
      <c r="B80" s="25" t="str">
        <f>PAC!A109</f>
        <v>YAJ</v>
      </c>
      <c r="C80" s="81" t="str">
        <f>PAC!B109</f>
        <v>resident in</v>
      </c>
      <c r="D80" s="82" t="str">
        <f>PAC!C109</f>
        <v>capricorn</v>
      </c>
      <c r="E80" s="88"/>
      <c r="F80" s="88"/>
      <c r="G80" s="88"/>
      <c r="H80" s="88"/>
      <c r="I80" s="88"/>
      <c r="J80" s="88"/>
      <c r="K80" s="88"/>
      <c r="L80" s="88"/>
      <c r="M80" s="88"/>
      <c r="N80" s="88"/>
      <c r="O80" s="14"/>
      <c r="P80" s="55"/>
      <c r="Q80" s="55"/>
      <c r="R80" s="55"/>
      <c r="S80" s="55"/>
      <c r="T80" s="55"/>
      <c r="U80" s="55"/>
      <c r="V80" s="55"/>
      <c r="W80" s="55"/>
      <c r="X80" s="55"/>
      <c r="Y80" s="55"/>
      <c r="Z80" s="55"/>
      <c r="AA80" s="55"/>
      <c r="AB80" s="14"/>
      <c r="AC80" s="14"/>
      <c r="AD80" s="14"/>
      <c r="AE80" s="14"/>
      <c r="AF80" s="14"/>
      <c r="AG80" s="14"/>
      <c r="AH80" s="14"/>
      <c r="AI80" s="14"/>
      <c r="AJ80" s="14"/>
      <c r="AK80" s="14"/>
      <c r="AL80" s="14"/>
      <c r="AM80" s="14"/>
      <c r="AN80" s="14"/>
      <c r="AO80" s="87" t="s">
        <v>215</v>
      </c>
      <c r="AP80" s="75"/>
      <c r="AQ80" s="75"/>
      <c r="AR80" s="75"/>
    </row>
    <row r="81" spans="1:44">
      <c r="A81" s="1" t="str">
        <f t="shared" si="4"/>
        <v>resident inaquarius</v>
      </c>
      <c r="B81" s="25" t="str">
        <f>PAC!A110</f>
        <v>YAK</v>
      </c>
      <c r="C81" s="81" t="str">
        <f>PAC!B110</f>
        <v>resident in</v>
      </c>
      <c r="D81" s="82" t="str">
        <f>PAC!C110</f>
        <v>aquarius</v>
      </c>
      <c r="E81" s="88"/>
      <c r="F81" s="88"/>
      <c r="G81" s="88"/>
      <c r="H81" s="88"/>
      <c r="I81" s="88"/>
      <c r="J81" s="88"/>
      <c r="K81" s="88"/>
      <c r="L81" s="88"/>
      <c r="M81" s="88"/>
      <c r="N81" s="88"/>
      <c r="O81" s="14"/>
      <c r="P81" s="55"/>
      <c r="Q81" s="55"/>
      <c r="R81" s="55"/>
      <c r="S81" s="55"/>
      <c r="T81" s="55"/>
      <c r="U81" s="55"/>
      <c r="V81" s="55"/>
      <c r="W81" s="55"/>
      <c r="X81" s="55"/>
      <c r="Y81" s="55"/>
      <c r="Z81" s="55"/>
      <c r="AA81" s="55"/>
      <c r="AB81" s="14"/>
      <c r="AC81" s="14"/>
      <c r="AD81" s="14"/>
      <c r="AE81" s="14"/>
      <c r="AF81" s="14"/>
      <c r="AG81" s="14"/>
      <c r="AH81" s="14"/>
      <c r="AI81" s="14"/>
      <c r="AJ81" s="14"/>
      <c r="AK81" s="14"/>
      <c r="AL81" s="14"/>
      <c r="AM81" s="14"/>
      <c r="AN81" s="14"/>
      <c r="AO81" s="75"/>
      <c r="AP81" s="75"/>
      <c r="AQ81" s="75"/>
      <c r="AR81" s="75"/>
    </row>
    <row r="82" spans="1:44">
      <c r="A82" s="1" t="str">
        <f t="shared" si="4"/>
        <v>resident inpisces</v>
      </c>
      <c r="B82" s="25" t="str">
        <f>PAC!A111</f>
        <v>YAL</v>
      </c>
      <c r="C82" s="81" t="str">
        <f>PAC!B111</f>
        <v>resident in</v>
      </c>
      <c r="D82" s="82" t="str">
        <f>PAC!C111</f>
        <v>pisces</v>
      </c>
      <c r="E82" s="88"/>
      <c r="F82" s="88"/>
      <c r="G82" s="88"/>
      <c r="H82" s="88"/>
      <c r="I82" s="88"/>
      <c r="J82" s="88"/>
      <c r="K82" s="88"/>
      <c r="L82" s="88"/>
      <c r="M82" s="88"/>
      <c r="N82" s="88"/>
      <c r="O82" s="14"/>
      <c r="P82" s="55"/>
      <c r="Q82" s="55"/>
      <c r="R82" s="55"/>
      <c r="S82" s="55"/>
      <c r="T82" s="55"/>
      <c r="U82" s="55"/>
      <c r="V82" s="55"/>
      <c r="W82" s="55"/>
      <c r="X82" s="55"/>
      <c r="Y82" s="55"/>
      <c r="Z82" s="55"/>
      <c r="AA82" s="55"/>
      <c r="AB82" s="14"/>
      <c r="AC82" s="14"/>
      <c r="AD82" s="14"/>
      <c r="AE82" s="14"/>
      <c r="AF82" s="14"/>
      <c r="AG82" s="14"/>
      <c r="AH82" s="14"/>
      <c r="AI82" s="14"/>
      <c r="AJ82" s="14"/>
      <c r="AK82" s="14"/>
      <c r="AL82" s="14"/>
      <c r="AM82" s="14"/>
      <c r="AN82" s="14"/>
      <c r="AO82" s="75"/>
      <c r="AP82" s="75"/>
      <c r="AQ82" s="75"/>
      <c r="AR82" s="75"/>
    </row>
    <row r="83" spans="1:44">
      <c r="A83" s="1" t="str">
        <f t="shared" si="4"/>
        <v/>
      </c>
      <c r="B83" s="63"/>
      <c r="C83" s="54"/>
      <c r="D83" s="49"/>
      <c r="E83" s="88"/>
      <c r="F83" s="88"/>
      <c r="G83" s="88"/>
      <c r="H83" s="88"/>
      <c r="I83" s="88"/>
      <c r="J83" s="88"/>
      <c r="K83" s="88"/>
      <c r="L83" s="88"/>
      <c r="M83" s="88"/>
      <c r="N83" s="88"/>
      <c r="O83" s="14"/>
      <c r="P83" s="55"/>
      <c r="Q83" s="55"/>
      <c r="R83" s="55"/>
      <c r="S83" s="55"/>
      <c r="T83" s="55"/>
      <c r="U83" s="55"/>
      <c r="V83" s="55"/>
      <c r="W83" s="55"/>
      <c r="X83" s="55"/>
      <c r="Y83" s="55"/>
      <c r="Z83" s="55"/>
      <c r="AA83" s="55"/>
      <c r="AB83" s="14"/>
      <c r="AC83" s="14"/>
      <c r="AD83" s="14"/>
      <c r="AE83" s="14"/>
      <c r="AF83" s="14"/>
      <c r="AG83" s="14"/>
      <c r="AH83" s="14"/>
      <c r="AI83" s="14"/>
      <c r="AJ83" s="14"/>
      <c r="AK83" s="14"/>
      <c r="AL83" s="14"/>
      <c r="AM83" s="14"/>
      <c r="AN83" s="14"/>
      <c r="AO83" s="75"/>
      <c r="AP83" s="75"/>
      <c r="AQ83" s="75"/>
      <c r="AR83" s="75"/>
    </row>
    <row r="84" spans="1:44">
      <c r="A84" s="1" t="str">
        <f t="shared" si="4"/>
        <v>resident infirst bhava</v>
      </c>
      <c r="B84" s="25" t="str">
        <f>PAC!A113</f>
        <v>YAM</v>
      </c>
      <c r="C84" s="81" t="str">
        <f>PAC!B113</f>
        <v>resident in</v>
      </c>
      <c r="D84" s="82" t="str">
        <f>PAC!C113</f>
        <v>first bhava</v>
      </c>
      <c r="E84" s="88"/>
      <c r="F84" s="88"/>
      <c r="G84" s="88"/>
      <c r="H84" s="88"/>
      <c r="I84" s="88"/>
      <c r="J84" s="88"/>
      <c r="K84" s="88"/>
      <c r="L84" s="88"/>
      <c r="M84" s="88"/>
      <c r="N84" s="88"/>
      <c r="O84" s="14"/>
      <c r="P84" s="55"/>
      <c r="Q84" s="55"/>
      <c r="R84" s="55"/>
      <c r="S84" s="55"/>
      <c r="T84" s="55"/>
      <c r="U84" s="55"/>
      <c r="V84" s="55"/>
      <c r="W84" s="55"/>
      <c r="X84" s="55"/>
      <c r="Y84" s="55"/>
      <c r="Z84" s="55"/>
      <c r="AA84" s="55"/>
      <c r="AB84" s="14"/>
      <c r="AC84" s="14"/>
      <c r="AD84" s="14"/>
      <c r="AE84" s="14"/>
      <c r="AF84" s="14"/>
      <c r="AG84" s="14"/>
      <c r="AH84" s="14"/>
      <c r="AI84" s="14"/>
      <c r="AJ84" s="14"/>
      <c r="AK84" s="14"/>
      <c r="AL84" s="14"/>
      <c r="AM84" s="14"/>
      <c r="AN84" s="14"/>
      <c r="AO84" s="75"/>
      <c r="AP84" s="75"/>
      <c r="AQ84" s="75"/>
      <c r="AR84" s="75"/>
    </row>
    <row r="85" spans="1:44">
      <c r="A85" s="1" t="str">
        <f t="shared" si="4"/>
        <v>resident insecond bhava</v>
      </c>
      <c r="B85" s="25" t="str">
        <f>PAC!A114</f>
        <v>YAN</v>
      </c>
      <c r="C85" s="81" t="str">
        <f>PAC!B114</f>
        <v>resident in</v>
      </c>
      <c r="D85" s="82" t="str">
        <f>PAC!C114</f>
        <v>second bhava</v>
      </c>
      <c r="E85" s="88"/>
      <c r="F85" s="88"/>
      <c r="G85" s="88"/>
      <c r="H85" s="88"/>
      <c r="I85" s="88"/>
      <c r="J85" s="88"/>
      <c r="K85" s="88"/>
      <c r="L85" s="88"/>
      <c r="M85" s="88"/>
      <c r="N85" s="88"/>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75"/>
      <c r="AP85" s="75"/>
      <c r="AQ85" s="75"/>
      <c r="AR85" s="75"/>
    </row>
    <row r="86" spans="1:44">
      <c r="A86" s="1" t="str">
        <f t="shared" si="4"/>
        <v>resident inthird bhava</v>
      </c>
      <c r="B86" s="25" t="str">
        <f>PAC!A115</f>
        <v>YAO</v>
      </c>
      <c r="C86" s="81" t="str">
        <f>PAC!B115</f>
        <v>resident in</v>
      </c>
      <c r="D86" s="82" t="str">
        <f>PAC!C115</f>
        <v>third bhava</v>
      </c>
      <c r="E86" s="88"/>
      <c r="F86" s="88"/>
      <c r="G86" s="88"/>
      <c r="H86" s="88"/>
      <c r="I86" s="88"/>
      <c r="J86" s="88"/>
      <c r="K86" s="88"/>
      <c r="L86" s="88"/>
      <c r="M86" s="88"/>
      <c r="N86" s="88"/>
      <c r="O86" s="14"/>
      <c r="P86" s="55"/>
      <c r="Q86" s="55"/>
      <c r="R86" s="55"/>
      <c r="S86" s="55"/>
      <c r="T86" s="55"/>
      <c r="U86" s="55"/>
      <c r="V86" s="55"/>
      <c r="W86" s="55"/>
      <c r="X86" s="55"/>
      <c r="Y86" s="55"/>
      <c r="Z86" s="55"/>
      <c r="AA86" s="55"/>
      <c r="AB86" s="14"/>
      <c r="AC86" s="14"/>
      <c r="AD86" s="14"/>
      <c r="AE86" s="14"/>
      <c r="AF86" s="14"/>
      <c r="AG86" s="14"/>
      <c r="AH86" s="14"/>
      <c r="AI86" s="14"/>
      <c r="AJ86" s="14"/>
      <c r="AK86" s="14"/>
      <c r="AL86" s="14"/>
      <c r="AM86" s="14"/>
      <c r="AN86" s="14"/>
      <c r="AO86" s="75"/>
      <c r="AP86" s="75"/>
      <c r="AQ86" s="75"/>
      <c r="AR86" s="75"/>
    </row>
    <row r="87" spans="1:44">
      <c r="A87" s="1" t="str">
        <f t="shared" si="4"/>
        <v>resident infourth bhava</v>
      </c>
      <c r="B87" s="25" t="str">
        <f>PAC!A116</f>
        <v>YAP</v>
      </c>
      <c r="C87" s="81" t="str">
        <f>PAC!B116</f>
        <v>resident in</v>
      </c>
      <c r="D87" s="82" t="str">
        <f>PAC!C116</f>
        <v>fourth bhava</v>
      </c>
      <c r="E87" s="88"/>
      <c r="F87" s="88"/>
      <c r="G87" s="88"/>
      <c r="H87" s="88"/>
      <c r="I87" s="88"/>
      <c r="J87" s="88"/>
      <c r="K87" s="88"/>
      <c r="L87" s="88"/>
      <c r="M87" s="88"/>
      <c r="N87" s="88"/>
      <c r="O87" s="14"/>
      <c r="P87" s="55"/>
      <c r="Q87" s="55"/>
      <c r="R87" s="55"/>
      <c r="S87" s="55"/>
      <c r="T87" s="55"/>
      <c r="U87" s="55"/>
      <c r="V87" s="55"/>
      <c r="W87" s="55"/>
      <c r="X87" s="55"/>
      <c r="Y87" s="55"/>
      <c r="Z87" s="55"/>
      <c r="AA87" s="55"/>
      <c r="AB87" s="14"/>
      <c r="AC87" s="14"/>
      <c r="AD87" s="14"/>
      <c r="AE87" s="14"/>
      <c r="AF87" s="14"/>
      <c r="AG87" s="14"/>
      <c r="AH87" s="14"/>
      <c r="AI87" s="14"/>
      <c r="AJ87" s="14"/>
      <c r="AK87" s="14"/>
      <c r="AL87" s="14"/>
      <c r="AM87" s="14"/>
      <c r="AN87" s="14"/>
      <c r="AO87" s="75"/>
      <c r="AP87" s="75"/>
      <c r="AQ87" s="75"/>
      <c r="AR87" s="75"/>
    </row>
    <row r="88" spans="1:44">
      <c r="A88" s="1" t="str">
        <f t="shared" si="4"/>
        <v>resident infifth bhava</v>
      </c>
      <c r="B88" s="25" t="str">
        <f>PAC!A117</f>
        <v>YAQ</v>
      </c>
      <c r="C88" s="81" t="str">
        <f>PAC!B117</f>
        <v>resident in</v>
      </c>
      <c r="D88" s="82" t="str">
        <f>PAC!C117</f>
        <v>fifth bhava</v>
      </c>
      <c r="E88" s="88"/>
      <c r="F88" s="88"/>
      <c r="G88" s="88"/>
      <c r="H88" s="88"/>
      <c r="I88" s="88"/>
      <c r="J88" s="88"/>
      <c r="K88" s="88"/>
      <c r="L88" s="88"/>
      <c r="M88" s="88"/>
      <c r="N88" s="88"/>
      <c r="O88" s="14"/>
      <c r="P88" s="55"/>
      <c r="Q88" s="55"/>
      <c r="R88" s="55"/>
      <c r="S88" s="55"/>
      <c r="T88" s="55"/>
      <c r="U88" s="55"/>
      <c r="V88" s="55"/>
      <c r="W88" s="55"/>
      <c r="X88" s="55"/>
      <c r="Y88" s="55"/>
      <c r="Z88" s="55"/>
      <c r="AA88" s="55"/>
      <c r="AB88" s="14"/>
      <c r="AC88" s="14"/>
      <c r="AD88" s="14"/>
      <c r="AE88" s="14"/>
      <c r="AF88" s="14"/>
      <c r="AG88" s="14"/>
      <c r="AH88" s="14"/>
      <c r="AI88" s="14"/>
      <c r="AJ88" s="14"/>
      <c r="AK88" s="14"/>
      <c r="AL88" s="14"/>
      <c r="AM88" s="14"/>
      <c r="AN88" s="14"/>
      <c r="AO88" s="75"/>
      <c r="AP88" s="75"/>
      <c r="AQ88" s="75"/>
      <c r="AR88" s="75"/>
    </row>
    <row r="89" spans="1:44">
      <c r="A89" s="1" t="str">
        <f t="shared" si="4"/>
        <v>resident insixth bhava</v>
      </c>
      <c r="B89" s="25" t="str">
        <f>PAC!A118</f>
        <v>YAR</v>
      </c>
      <c r="C89" s="81" t="str">
        <f>PAC!B118</f>
        <v>resident in</v>
      </c>
      <c r="D89" s="82" t="str">
        <f>PAC!C118</f>
        <v>sixth bhava</v>
      </c>
      <c r="E89" s="88"/>
      <c r="F89" s="88"/>
      <c r="G89" s="88"/>
      <c r="H89" s="88"/>
      <c r="I89" s="88"/>
      <c r="J89" s="88"/>
      <c r="K89" s="88"/>
      <c r="L89" s="88"/>
      <c r="M89" s="88"/>
      <c r="N89" s="88"/>
      <c r="O89" s="14"/>
      <c r="P89" s="55"/>
      <c r="Q89" s="55"/>
      <c r="R89" s="55"/>
      <c r="S89" s="55"/>
      <c r="T89" s="55"/>
      <c r="U89" s="55"/>
      <c r="V89" s="55"/>
      <c r="W89" s="55"/>
      <c r="X89" s="55"/>
      <c r="Y89" s="55"/>
      <c r="Z89" s="55"/>
      <c r="AA89" s="55"/>
      <c r="AB89" s="14"/>
      <c r="AC89" s="14"/>
      <c r="AD89" s="14"/>
      <c r="AE89" s="14"/>
      <c r="AF89" s="14"/>
      <c r="AG89" s="14"/>
      <c r="AH89" s="14"/>
      <c r="AI89" s="14"/>
      <c r="AJ89" s="14"/>
      <c r="AK89" s="14"/>
      <c r="AL89" s="14"/>
      <c r="AM89" s="14"/>
      <c r="AN89" s="14"/>
      <c r="AO89" s="75"/>
      <c r="AP89" s="75"/>
      <c r="AQ89" s="75"/>
      <c r="AR89" s="75"/>
    </row>
    <row r="90" spans="1:44">
      <c r="A90" s="1" t="str">
        <f t="shared" si="4"/>
        <v>resident inseventh bhava</v>
      </c>
      <c r="B90" s="25" t="str">
        <f>PAC!A119</f>
        <v>YAS</v>
      </c>
      <c r="C90" s="81" t="str">
        <f>PAC!B119</f>
        <v>resident in</v>
      </c>
      <c r="D90" s="82" t="str">
        <f>PAC!C119</f>
        <v>seventh bhava</v>
      </c>
      <c r="E90" s="88"/>
      <c r="F90" s="88"/>
      <c r="G90" s="88"/>
      <c r="H90" s="88"/>
      <c r="I90" s="88"/>
      <c r="J90" s="88"/>
      <c r="K90" s="88"/>
      <c r="L90" s="88"/>
      <c r="M90" s="88"/>
      <c r="N90" s="88"/>
      <c r="O90" s="14"/>
      <c r="P90" s="55"/>
      <c r="Q90" s="55"/>
      <c r="R90" s="55"/>
      <c r="S90" s="55"/>
      <c r="T90" s="55"/>
      <c r="U90" s="55"/>
      <c r="V90" s="55"/>
      <c r="W90" s="55"/>
      <c r="X90" s="55"/>
      <c r="Y90" s="55"/>
      <c r="Z90" s="55"/>
      <c r="AA90" s="55"/>
      <c r="AB90" s="14"/>
      <c r="AC90" s="14"/>
      <c r="AD90" s="14"/>
      <c r="AE90" s="14"/>
      <c r="AF90" s="14"/>
      <c r="AG90" s="14"/>
      <c r="AH90" s="14"/>
      <c r="AI90" s="14"/>
      <c r="AJ90" s="14"/>
      <c r="AK90" s="14"/>
      <c r="AL90" s="14"/>
      <c r="AM90" s="14"/>
      <c r="AN90" s="14"/>
      <c r="AO90" s="75"/>
      <c r="AP90" s="75"/>
      <c r="AQ90" s="75"/>
      <c r="AR90" s="75"/>
    </row>
    <row r="91" spans="1:44">
      <c r="A91" s="1" t="str">
        <f t="shared" si="4"/>
        <v>resident ineighth bhava</v>
      </c>
      <c r="B91" s="25" t="str">
        <f>PAC!A120</f>
        <v>YAT</v>
      </c>
      <c r="C91" s="81" t="str">
        <f>PAC!B120</f>
        <v>resident in</v>
      </c>
      <c r="D91" s="82" t="str">
        <f>PAC!C120</f>
        <v>eighth bhava</v>
      </c>
      <c r="E91" s="88"/>
      <c r="F91" s="88"/>
      <c r="G91" s="88"/>
      <c r="H91" s="88"/>
      <c r="I91" s="88"/>
      <c r="J91" s="88"/>
      <c r="K91" s="88"/>
      <c r="L91" s="88"/>
      <c r="M91" s="88"/>
      <c r="N91" s="88"/>
      <c r="O91" s="14"/>
      <c r="P91" s="55"/>
      <c r="Q91" s="55"/>
      <c r="R91" s="55"/>
      <c r="S91" s="55"/>
      <c r="T91" s="55"/>
      <c r="U91" s="55"/>
      <c r="V91" s="55"/>
      <c r="W91" s="55"/>
      <c r="X91" s="55"/>
      <c r="Y91" s="55"/>
      <c r="Z91" s="55"/>
      <c r="AA91" s="55"/>
      <c r="AB91" s="14"/>
      <c r="AC91" s="14"/>
      <c r="AD91" s="14"/>
      <c r="AE91" s="14"/>
      <c r="AF91" s="14"/>
      <c r="AG91" s="14"/>
      <c r="AH91" s="14"/>
      <c r="AI91" s="14"/>
      <c r="AJ91" s="14"/>
      <c r="AK91" s="14"/>
      <c r="AL91" s="14"/>
      <c r="AM91" s="14"/>
      <c r="AN91" s="14"/>
      <c r="AO91" s="75"/>
      <c r="AP91" s="75"/>
      <c r="AQ91" s="75"/>
      <c r="AR91" s="75"/>
    </row>
    <row r="92" spans="1:44">
      <c r="A92" s="1" t="str">
        <f t="shared" si="4"/>
        <v>resident inninth bhava</v>
      </c>
      <c r="B92" s="25" t="str">
        <f>PAC!A121</f>
        <v>YAU</v>
      </c>
      <c r="C92" s="81" t="str">
        <f>PAC!B121</f>
        <v>resident in</v>
      </c>
      <c r="D92" s="82" t="str">
        <f>PAC!C121</f>
        <v>ninth bhava</v>
      </c>
      <c r="E92" s="88"/>
      <c r="F92" s="88"/>
      <c r="G92" s="88"/>
      <c r="H92" s="88"/>
      <c r="I92" s="88"/>
      <c r="J92" s="88"/>
      <c r="K92" s="88"/>
      <c r="L92" s="88"/>
      <c r="M92" s="88"/>
      <c r="N92" s="88"/>
      <c r="O92" s="14"/>
      <c r="P92" s="55"/>
      <c r="Q92" s="55"/>
      <c r="R92" s="55"/>
      <c r="S92" s="55"/>
      <c r="T92" s="55"/>
      <c r="U92" s="55"/>
      <c r="V92" s="55"/>
      <c r="W92" s="55"/>
      <c r="X92" s="55"/>
      <c r="Y92" s="55"/>
      <c r="Z92" s="55"/>
      <c r="AA92" s="55"/>
      <c r="AB92" s="14"/>
      <c r="AC92" s="14"/>
      <c r="AD92" s="14"/>
      <c r="AE92" s="14"/>
      <c r="AF92" s="14"/>
      <c r="AG92" s="14"/>
      <c r="AH92" s="14"/>
      <c r="AI92" s="14"/>
      <c r="AJ92" s="14"/>
      <c r="AK92" s="14"/>
      <c r="AL92" s="14"/>
      <c r="AM92" s="14"/>
      <c r="AN92" s="14"/>
      <c r="AO92" s="75"/>
      <c r="AP92" s="75"/>
      <c r="AQ92" s="75"/>
      <c r="AR92" s="75"/>
    </row>
    <row r="93" spans="1:44">
      <c r="A93" s="1" t="str">
        <f t="shared" si="4"/>
        <v>resident intenth bhava</v>
      </c>
      <c r="B93" s="25" t="str">
        <f>PAC!A122</f>
        <v>YAV</v>
      </c>
      <c r="C93" s="81" t="str">
        <f>PAC!B122</f>
        <v>resident in</v>
      </c>
      <c r="D93" s="82" t="str">
        <f>PAC!C122</f>
        <v>tenth bhava</v>
      </c>
      <c r="E93" s="88"/>
      <c r="F93" s="88"/>
      <c r="G93" s="88"/>
      <c r="H93" s="88"/>
      <c r="I93" s="88"/>
      <c r="J93" s="88"/>
      <c r="K93" s="88"/>
      <c r="L93" s="88"/>
      <c r="M93" s="88"/>
      <c r="N93" s="88"/>
      <c r="O93" s="14"/>
      <c r="P93" s="55"/>
      <c r="Q93" s="55"/>
      <c r="R93" s="55"/>
      <c r="S93" s="55"/>
      <c r="T93" s="55"/>
      <c r="U93" s="55"/>
      <c r="V93" s="55"/>
      <c r="W93" s="55"/>
      <c r="X93" s="55"/>
      <c r="Y93" s="55"/>
      <c r="Z93" s="55"/>
      <c r="AA93" s="55"/>
      <c r="AB93" s="14"/>
      <c r="AC93" s="14"/>
      <c r="AD93" s="14"/>
      <c r="AE93" s="14"/>
      <c r="AF93" s="14"/>
      <c r="AG93" s="14"/>
      <c r="AH93" s="14"/>
      <c r="AI93" s="14"/>
      <c r="AJ93" s="14"/>
      <c r="AK93" s="14"/>
      <c r="AL93" s="14"/>
      <c r="AM93" s="14"/>
      <c r="AN93" s="14"/>
      <c r="AO93" s="75"/>
      <c r="AP93" s="75"/>
      <c r="AQ93" s="75"/>
      <c r="AR93" s="75"/>
    </row>
    <row r="94" spans="1:44">
      <c r="A94" s="1" t="str">
        <f t="shared" si="4"/>
        <v>resident ineleventh bhava</v>
      </c>
      <c r="B94" s="25" t="str">
        <f>PAC!A123</f>
        <v>YAW</v>
      </c>
      <c r="C94" s="81" t="str">
        <f>PAC!B123</f>
        <v>resident in</v>
      </c>
      <c r="D94" s="82" t="str">
        <f>PAC!C123</f>
        <v>eleventh bhava</v>
      </c>
      <c r="E94" s="88"/>
      <c r="F94" s="88"/>
      <c r="G94" s="88"/>
      <c r="H94" s="88"/>
      <c r="I94" s="88"/>
      <c r="J94" s="88"/>
      <c r="K94" s="88"/>
      <c r="L94" s="88"/>
      <c r="M94" s="88"/>
      <c r="N94" s="88"/>
      <c r="O94" s="14"/>
      <c r="P94" s="55"/>
      <c r="Q94" s="55"/>
      <c r="R94" s="55"/>
      <c r="S94" s="55"/>
      <c r="T94" s="55"/>
      <c r="U94" s="55"/>
      <c r="V94" s="55"/>
      <c r="W94" s="55"/>
      <c r="X94" s="55"/>
      <c r="Y94" s="55"/>
      <c r="Z94" s="55"/>
      <c r="AA94" s="55"/>
      <c r="AB94" s="14"/>
      <c r="AC94" s="14"/>
      <c r="AD94" s="14"/>
      <c r="AE94" s="14"/>
      <c r="AF94" s="14"/>
      <c r="AG94" s="14"/>
      <c r="AH94" s="14"/>
      <c r="AI94" s="14"/>
      <c r="AJ94" s="14"/>
      <c r="AK94" s="14"/>
      <c r="AL94" s="14"/>
      <c r="AM94" s="14"/>
      <c r="AN94" s="14"/>
      <c r="AO94" s="75"/>
      <c r="AP94" s="75"/>
      <c r="AQ94" s="75"/>
      <c r="AR94" s="75"/>
    </row>
    <row r="95" spans="1:44">
      <c r="A95" s="1" t="str">
        <f t="shared" si="4"/>
        <v>resident intwelveth bhava</v>
      </c>
      <c r="B95" s="25" t="str">
        <f>PAC!A124</f>
        <v>YAX</v>
      </c>
      <c r="C95" s="81" t="str">
        <f>PAC!B124</f>
        <v>resident in</v>
      </c>
      <c r="D95" s="82" t="str">
        <f>PAC!C124</f>
        <v>twelveth bhava</v>
      </c>
      <c r="E95" s="88"/>
      <c r="F95" s="88"/>
      <c r="G95" s="88"/>
      <c r="H95" s="88"/>
      <c r="I95" s="88"/>
      <c r="J95" s="88"/>
      <c r="K95" s="88"/>
      <c r="L95" s="88"/>
      <c r="M95" s="88"/>
      <c r="N95" s="88"/>
      <c r="O95" s="14"/>
      <c r="P95" s="55"/>
      <c r="Q95" s="55"/>
      <c r="R95" s="55"/>
      <c r="S95" s="55"/>
      <c r="T95" s="55"/>
      <c r="U95" s="55"/>
      <c r="V95" s="55"/>
      <c r="W95" s="55"/>
      <c r="X95" s="55"/>
      <c r="Y95" s="55"/>
      <c r="Z95" s="55"/>
      <c r="AA95" s="55"/>
      <c r="AB95" s="14"/>
      <c r="AC95" s="14"/>
      <c r="AD95" s="14"/>
      <c r="AE95" s="14"/>
      <c r="AF95" s="14"/>
      <c r="AG95" s="14"/>
      <c r="AH95" s="14"/>
      <c r="AI95" s="14"/>
      <c r="AJ95" s="14"/>
      <c r="AK95" s="14"/>
      <c r="AL95" s="14"/>
      <c r="AM95" s="14"/>
      <c r="AN95" s="14"/>
      <c r="AO95" s="75"/>
      <c r="AP95" s="75"/>
      <c r="AQ95" s="75"/>
      <c r="AR95" s="75"/>
    </row>
    <row r="96" spans="1:44">
      <c r="B96" s="61"/>
      <c r="C96" s="89"/>
      <c r="D96" s="73"/>
      <c r="E96" s="88"/>
      <c r="F96" s="88"/>
      <c r="G96" s="88"/>
      <c r="H96" s="88"/>
      <c r="I96" s="88"/>
      <c r="J96" s="88"/>
      <c r="K96" s="88"/>
      <c r="L96" s="88"/>
      <c r="M96" s="88"/>
      <c r="N96" s="88"/>
      <c r="O96" s="14"/>
      <c r="P96" s="55"/>
      <c r="Q96" s="55"/>
      <c r="R96" s="55"/>
      <c r="S96" s="55"/>
      <c r="T96" s="55"/>
      <c r="U96" s="55"/>
      <c r="V96" s="55"/>
      <c r="W96" s="55"/>
      <c r="X96" s="55"/>
      <c r="Y96" s="55"/>
      <c r="Z96" s="55"/>
      <c r="AA96" s="55"/>
      <c r="AB96" s="14"/>
      <c r="AC96" s="14"/>
      <c r="AD96" s="14"/>
      <c r="AE96" s="14"/>
      <c r="AF96" s="14"/>
      <c r="AG96" s="14"/>
      <c r="AH96" s="14"/>
      <c r="AI96" s="14"/>
      <c r="AJ96" s="14"/>
      <c r="AK96" s="14"/>
      <c r="AL96" s="14"/>
      <c r="AM96" s="14"/>
      <c r="AN96" s="14"/>
      <c r="AO96" s="75"/>
      <c r="AP96" s="75"/>
      <c r="AQ96" s="75"/>
      <c r="AR96" s="75"/>
    </row>
    <row r="97" spans="2:44">
      <c r="B97" s="61"/>
      <c r="C97" s="89"/>
      <c r="D97" s="73"/>
      <c r="E97" s="88"/>
      <c r="F97" s="88"/>
      <c r="G97" s="88"/>
      <c r="H97" s="88"/>
      <c r="I97" s="88"/>
      <c r="J97" s="88"/>
      <c r="K97" s="88"/>
      <c r="L97" s="88"/>
      <c r="M97" s="88"/>
      <c r="N97" s="88"/>
      <c r="O97" s="14"/>
      <c r="P97" s="55"/>
      <c r="Q97" s="55"/>
      <c r="R97" s="55"/>
      <c r="S97" s="55"/>
      <c r="T97" s="55"/>
      <c r="U97" s="55"/>
      <c r="V97" s="55"/>
      <c r="W97" s="55"/>
      <c r="X97" s="55"/>
      <c r="Y97" s="55"/>
      <c r="Z97" s="55"/>
      <c r="AA97" s="55"/>
      <c r="AB97" s="14"/>
      <c r="AC97" s="14"/>
      <c r="AD97" s="14"/>
      <c r="AE97" s="14"/>
      <c r="AF97" s="14"/>
      <c r="AG97" s="14"/>
      <c r="AH97" s="14"/>
      <c r="AI97" s="14"/>
      <c r="AJ97" s="14"/>
      <c r="AK97" s="14"/>
      <c r="AL97" s="14"/>
      <c r="AM97" s="14"/>
      <c r="AN97" s="14"/>
      <c r="AO97" s="75"/>
      <c r="AP97" s="75"/>
      <c r="AQ97" s="75"/>
      <c r="AR97" s="75"/>
    </row>
    <row r="98" spans="2:44">
      <c r="B98" s="61"/>
      <c r="C98" s="89"/>
      <c r="D98" s="73" t="s">
        <v>216</v>
      </c>
      <c r="E98" s="14"/>
      <c r="F98" s="557" t="s">
        <v>32</v>
      </c>
      <c r="G98" s="558"/>
      <c r="H98" s="558"/>
      <c r="I98" s="558"/>
      <c r="J98" s="559" t="s">
        <v>101</v>
      </c>
      <c r="K98" s="559"/>
      <c r="L98" s="559"/>
      <c r="M98" s="560" t="s">
        <v>102</v>
      </c>
      <c r="N98" s="561"/>
      <c r="O98" s="561"/>
      <c r="P98" s="561"/>
      <c r="Q98" s="122"/>
      <c r="R98" s="49" t="str">
        <f>CONCATENATE($AO$98,F98,$AO$99,J98," ",M98,$AO$100)</f>
        <v>select chartid from pac where obid = nkode('seventh lord') and factid = nkode('is exalted</v>
      </c>
      <c r="S98" s="14"/>
      <c r="T98" s="14"/>
      <c r="U98" s="14"/>
      <c r="V98" s="14"/>
      <c r="W98" s="14"/>
      <c r="X98" s="14"/>
      <c r="Y98" s="14"/>
      <c r="Z98" s="14"/>
      <c r="AA98" s="14"/>
      <c r="AB98" s="14"/>
      <c r="AC98" s="14"/>
      <c r="AD98" s="14"/>
      <c r="AE98" s="14"/>
      <c r="AF98" s="14"/>
      <c r="AG98" s="14"/>
      <c r="AH98" s="14"/>
      <c r="AI98" s="14"/>
      <c r="AJ98" s="14"/>
      <c r="AK98" s="14"/>
      <c r="AL98" s="14"/>
      <c r="AM98" s="14"/>
      <c r="AN98" s="14"/>
      <c r="AO98" s="86" t="s">
        <v>217</v>
      </c>
      <c r="AP98" s="75"/>
      <c r="AQ98" s="75"/>
      <c r="AR98" s="75"/>
    </row>
    <row r="99" spans="2:44">
      <c r="B99" s="75"/>
      <c r="C99" s="75"/>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87" t="s">
        <v>218</v>
      </c>
      <c r="AP99" s="75"/>
      <c r="AQ99" s="75"/>
      <c r="AR99" s="75"/>
    </row>
  </sheetData>
  <sheetProtection password="9C47" sheet="1"/>
  <mergeCells count="10">
    <mergeCell ref="F7:P7"/>
    <mergeCell ref="Q1:AB1"/>
    <mergeCell ref="F3:I3"/>
    <mergeCell ref="J3:L3"/>
    <mergeCell ref="M3:P3"/>
    <mergeCell ref="F98:I98"/>
    <mergeCell ref="J98:L98"/>
    <mergeCell ref="M98:P98"/>
    <mergeCell ref="F8:I8"/>
    <mergeCell ref="J8:P8"/>
  </mergeCells>
  <phoneticPr fontId="1" type="noConversion"/>
  <dataValidations count="4">
    <dataValidation type="list" allowBlank="1" showInputMessage="1" showErrorMessage="1" sqref="M98:P98">
      <formula1>$AO$14:$AO$47</formula1>
    </dataValidation>
    <dataValidation type="list" allowBlank="1" showInputMessage="1" showErrorMessage="1" sqref="J98:L98 J3:L3">
      <formula1>$AO$8:$AO$11</formula1>
    </dataValidation>
    <dataValidation type="list" allowBlank="1" showInputMessage="1" showErrorMessage="1" sqref="F98:I98 F3:I3">
      <formula1>$E$5:$AN$5</formula1>
    </dataValidation>
    <dataValidation type="list" allowBlank="1" showInputMessage="1" showErrorMessage="1" sqref="M3:P3">
      <formula1>IF($J$3=$AO$8,$AO$14:$AO$23,IF($J$3=$AO$9,$AO$26:$AO$47,IF($J$3=$AO$10,$AO$26:$AO$47,IF($J$3=$AO$11,$AO$50:$AO$74,""))))</formula1>
    </dataValidation>
  </dataValidations>
  <pageMargins left="0.75" right="0.75" top="1" bottom="1" header="0.5" footer="0.5"/>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AJ127"/>
  <sheetViews>
    <sheetView workbookViewId="0">
      <selection activeCell="S16" sqref="S16"/>
    </sheetView>
  </sheetViews>
  <sheetFormatPr defaultColWidth="9.109375" defaultRowHeight="13.2"/>
  <cols>
    <col min="1" max="1" width="3.88671875" style="1" customWidth="1"/>
    <col min="2" max="2" width="5.88671875" style="4" customWidth="1"/>
    <col min="3" max="3" width="16.109375" style="1" customWidth="1"/>
    <col min="4" max="4" width="1.109375" style="1" customWidth="1"/>
    <col min="5" max="5" width="15.88671875" style="309" customWidth="1"/>
    <col min="6" max="6" width="1.5546875" style="309" customWidth="1"/>
    <col min="7" max="7" width="11" style="309" customWidth="1"/>
    <col min="8" max="8" width="5.109375" style="309" customWidth="1"/>
    <col min="9" max="9" width="5.5546875" style="1" customWidth="1"/>
    <col min="10" max="10" width="3.6640625" style="1" customWidth="1"/>
    <col min="11" max="11" width="7" style="309" customWidth="1"/>
    <col min="12" max="12" width="12.5546875" style="126" customWidth="1"/>
    <col min="13" max="13" width="4.6640625" style="4" customWidth="1"/>
    <col min="14" max="14" width="4.109375" style="4" customWidth="1"/>
    <col min="15" max="15" width="5.6640625" style="4" customWidth="1"/>
    <col min="16" max="16" width="4.88671875" style="4" customWidth="1"/>
    <col min="17" max="17" width="5" style="4" customWidth="1"/>
    <col min="18" max="18" width="1.44140625" style="4" customWidth="1"/>
    <col min="19" max="19" width="4.6640625" style="4" customWidth="1"/>
    <col min="20" max="20" width="3.33203125" style="4" customWidth="1"/>
    <col min="21" max="27" width="9.109375" style="1"/>
    <col min="28" max="28" width="162.33203125" style="1" customWidth="1"/>
    <col min="29" max="16384" width="9.109375" style="1"/>
  </cols>
  <sheetData>
    <row r="2" spans="1:36" ht="22.8">
      <c r="C2" s="429">
        <f>A112</f>
        <v>106</v>
      </c>
      <c r="D2" s="430"/>
      <c r="E2" s="565" t="s">
        <v>584</v>
      </c>
      <c r="F2" s="566"/>
      <c r="G2" s="566"/>
      <c r="H2" s="481"/>
      <c r="L2" s="126" t="str">
        <f>CONCATENATE(L114,L5,L115)</f>
        <v>select distinct(chartid) from events where ecode in ('Z40D','530A','141A');</v>
      </c>
      <c r="AB2" s="126" t="str">
        <f>AB5</f>
        <v>select distinct(chartid) from events where ecode ='141A' and chartid in ( select distinct(chartid) from events where ecode ='530A' and chartid in ( select distinct(chartid) from events where ecode ='Z40D' ))</v>
      </c>
    </row>
    <row r="4" spans="1:36" ht="13.8" thickBot="1">
      <c r="C4" s="310"/>
      <c r="D4" s="310"/>
      <c r="E4" s="312"/>
      <c r="F4" s="312"/>
      <c r="G4" s="311"/>
      <c r="H4" s="545"/>
      <c r="I4" s="546"/>
      <c r="J4" s="310"/>
      <c r="K4" s="313"/>
      <c r="L4" s="482"/>
      <c r="M4" s="311"/>
      <c r="AB4" s="486"/>
      <c r="AC4" s="488"/>
      <c r="AD4" s="488"/>
      <c r="AE4" s="488"/>
      <c r="AF4" s="488"/>
      <c r="AG4" s="488"/>
      <c r="AH4" s="488"/>
      <c r="AI4" s="488"/>
      <c r="AJ4" s="488"/>
    </row>
    <row r="5" spans="1:36">
      <c r="B5" s="416" t="s">
        <v>573</v>
      </c>
      <c r="C5" s="416" t="s">
        <v>567</v>
      </c>
      <c r="D5" s="416"/>
      <c r="E5" s="416" t="s">
        <v>568</v>
      </c>
      <c r="F5" s="416"/>
      <c r="G5" s="416" t="s">
        <v>569</v>
      </c>
      <c r="H5" s="416"/>
      <c r="I5" s="465"/>
      <c r="J5" s="340"/>
      <c r="K5" s="122"/>
      <c r="L5" s="486" t="str">
        <f>RIGHT(L6,LEN(L6)-2)</f>
        <v>'Z40D','530A','141A'</v>
      </c>
      <c r="M5" s="487"/>
      <c r="N5" s="487"/>
      <c r="O5" s="487"/>
      <c r="P5" s="487"/>
      <c r="Q5" s="487"/>
      <c r="R5" s="487"/>
      <c r="S5" s="487"/>
      <c r="T5" s="487"/>
      <c r="U5" s="488"/>
      <c r="AB5" s="484" t="str">
        <f>SUBSTITUTE(AB6,AB114,"")</f>
        <v>select distinct(chartid) from events where ecode ='141A' and chartid in ( select distinct(chartid) from events where ecode ='530A' and chartid in ( select distinct(chartid) from events where ecode ='Z40D' ))</v>
      </c>
      <c r="AC5" s="110"/>
      <c r="AD5" s="110"/>
      <c r="AE5" s="110"/>
      <c r="AF5" s="110"/>
      <c r="AG5" s="110"/>
      <c r="AH5" s="110"/>
      <c r="AI5" s="110"/>
      <c r="AJ5" s="110"/>
    </row>
    <row r="6" spans="1:36">
      <c r="B6" s="416"/>
      <c r="C6" s="416"/>
      <c r="D6" s="416"/>
      <c r="E6" s="416"/>
      <c r="F6" s="416"/>
      <c r="G6" s="416"/>
      <c r="H6" s="416"/>
      <c r="I6" s="466"/>
      <c r="J6" s="340"/>
      <c r="K6" s="122"/>
      <c r="L6" s="484" t="str">
        <f t="shared" ref="L6:L69" si="0">IF(K6="",CONCATENATE(L7,K6),CONCATENATE(L7,",",K6))</f>
        <v>.,'Z40D','530A','141A'</v>
      </c>
      <c r="M6" s="485"/>
      <c r="N6" s="485"/>
      <c r="O6" s="485"/>
      <c r="P6" s="485"/>
      <c r="Q6" s="485"/>
      <c r="R6" s="485"/>
      <c r="S6" s="485"/>
      <c r="T6" s="485"/>
      <c r="U6" s="110"/>
      <c r="AB6" s="149" t="str">
        <f t="shared" ref="AB6:AB69" si="1">IF(V6="",CONCATENATE(V6,AB7),CONCATENATE(V6," and chartid in ( ",AB7,")"))</f>
        <v>select distinct(chartid) from events where ecode ='141A' and chartid in ( select distinct(chartid) from events where ecode ='530A' and chartid in ( select distinct(chartid) from events where ecode ='Z40D' and chartid in ( @)))</v>
      </c>
      <c r="AC6" s="149" t="str">
        <f t="shared" ref="AC6:AC69" si="2">IF(W6="",CONCATENATE(W6,AC7),CONCATENATE(W6," and chartid in ( ",AC7,")"))</f>
        <v/>
      </c>
      <c r="AD6" s="149" t="str">
        <f t="shared" ref="AD6:AD69" si="3">IF(X6="",CONCATENATE(X6,AD7),CONCATENATE(X6," and chartid in ( ",AD7,")"))</f>
        <v/>
      </c>
      <c r="AE6" s="110"/>
      <c r="AF6" s="110"/>
      <c r="AG6" s="110"/>
      <c r="AH6" s="110"/>
      <c r="AI6" s="110"/>
      <c r="AJ6" s="110"/>
    </row>
    <row r="7" spans="1:36" s="13" customFormat="1">
      <c r="A7" s="340">
        <f>ROW()-ROW($A$7)+1</f>
        <v>1</v>
      </c>
      <c r="B7" s="143" t="s">
        <v>454</v>
      </c>
      <c r="C7" s="111" t="s">
        <v>395</v>
      </c>
      <c r="D7" s="169"/>
      <c r="E7" s="126" t="s">
        <v>395</v>
      </c>
      <c r="F7" s="126"/>
      <c r="G7" s="126"/>
      <c r="H7" s="348" t="s">
        <v>392</v>
      </c>
      <c r="I7" s="419"/>
      <c r="J7" s="337"/>
      <c r="K7" s="317" t="str">
        <f t="shared" ref="K7:K70" si="4">IF(H7="Y",CONCATENATE("'",B7,"'"),"")</f>
        <v/>
      </c>
      <c r="L7" s="149" t="str">
        <f t="shared" si="0"/>
        <v>.,'Z40D','530A','141A'</v>
      </c>
      <c r="M7" s="123"/>
      <c r="N7" s="123"/>
      <c r="O7" s="123"/>
      <c r="P7" s="123"/>
      <c r="Q7" s="123"/>
      <c r="R7" s="123"/>
      <c r="S7" s="124"/>
      <c r="T7" s="124"/>
      <c r="V7" s="75" t="str">
        <f t="shared" ref="V7:V70" si="5">IF(H7="Y",CONCATENATE(V$114,K7),"")</f>
        <v/>
      </c>
      <c r="AB7" s="149" t="str">
        <f t="shared" si="1"/>
        <v>select distinct(chartid) from events where ecode ='141A' and chartid in ( select distinct(chartid) from events where ecode ='530A' and chartid in ( select distinct(chartid) from events where ecode ='Z40D' and chartid in ( @)))</v>
      </c>
      <c r="AC7" s="149" t="str">
        <f t="shared" si="2"/>
        <v/>
      </c>
      <c r="AD7" s="149" t="str">
        <f t="shared" si="3"/>
        <v/>
      </c>
    </row>
    <row r="8" spans="1:36" s="13" customFormat="1" ht="12.75" customHeight="1">
      <c r="A8" s="340">
        <f t="shared" ref="A8:A76" si="6">ROW()-ROW($A$7)+1</f>
        <v>2</v>
      </c>
      <c r="B8" s="143" t="s">
        <v>455</v>
      </c>
      <c r="C8" s="111" t="s">
        <v>375</v>
      </c>
      <c r="D8" s="169"/>
      <c r="E8" s="126" t="s">
        <v>396</v>
      </c>
      <c r="F8" s="126"/>
      <c r="G8" s="126"/>
      <c r="H8" s="348" t="s">
        <v>392</v>
      </c>
      <c r="I8" s="419"/>
      <c r="J8" s="337"/>
      <c r="K8" s="317" t="str">
        <f t="shared" si="4"/>
        <v/>
      </c>
      <c r="L8" s="149" t="str">
        <f t="shared" si="0"/>
        <v>.,'Z40D','530A','141A'</v>
      </c>
      <c r="M8" s="123"/>
      <c r="N8" s="123"/>
      <c r="O8" s="123"/>
      <c r="P8" s="123"/>
      <c r="Q8" s="123"/>
      <c r="R8" s="123"/>
      <c r="S8" s="124"/>
      <c r="T8" s="124"/>
      <c r="V8" s="75" t="str">
        <f t="shared" si="5"/>
        <v/>
      </c>
      <c r="AB8" s="149" t="str">
        <f t="shared" si="1"/>
        <v>select distinct(chartid) from events where ecode ='141A' and chartid in ( select distinct(chartid) from events where ecode ='530A' and chartid in ( select distinct(chartid) from events where ecode ='Z40D' and chartid in ( @)))</v>
      </c>
      <c r="AC8" s="149" t="str">
        <f t="shared" si="2"/>
        <v/>
      </c>
      <c r="AD8" s="149" t="str">
        <f t="shared" si="3"/>
        <v/>
      </c>
    </row>
    <row r="9" spans="1:36" s="13" customFormat="1" ht="12.75" customHeight="1">
      <c r="A9" s="340">
        <f t="shared" si="6"/>
        <v>3</v>
      </c>
      <c r="B9" s="143" t="s">
        <v>456</v>
      </c>
      <c r="C9" s="111" t="s">
        <v>375</v>
      </c>
      <c r="D9" s="169"/>
      <c r="E9" s="126" t="s">
        <v>397</v>
      </c>
      <c r="F9" s="126"/>
      <c r="G9" s="126"/>
      <c r="H9" s="348" t="s">
        <v>392</v>
      </c>
      <c r="I9" s="419"/>
      <c r="J9" s="337"/>
      <c r="K9" s="317" t="str">
        <f t="shared" si="4"/>
        <v/>
      </c>
      <c r="L9" s="149" t="str">
        <f t="shared" si="0"/>
        <v>.,'Z40D','530A','141A'</v>
      </c>
      <c r="M9" s="123"/>
      <c r="N9" s="123"/>
      <c r="O9" s="123"/>
      <c r="P9" s="123"/>
      <c r="Q9" s="123"/>
      <c r="R9" s="123"/>
      <c r="S9" s="124"/>
      <c r="T9" s="124"/>
      <c r="V9" s="75" t="str">
        <f t="shared" si="5"/>
        <v/>
      </c>
      <c r="AB9" s="149" t="str">
        <f t="shared" si="1"/>
        <v>select distinct(chartid) from events where ecode ='141A' and chartid in ( select distinct(chartid) from events where ecode ='530A' and chartid in ( select distinct(chartid) from events where ecode ='Z40D' and chartid in ( @)))</v>
      </c>
      <c r="AC9" s="149" t="str">
        <f t="shared" si="2"/>
        <v/>
      </c>
      <c r="AD9" s="149" t="str">
        <f t="shared" si="3"/>
        <v/>
      </c>
    </row>
    <row r="10" spans="1:36" s="13" customFormat="1">
      <c r="A10" s="340">
        <f t="shared" si="6"/>
        <v>4</v>
      </c>
      <c r="B10" s="143" t="s">
        <v>457</v>
      </c>
      <c r="C10" s="111" t="s">
        <v>375</v>
      </c>
      <c r="D10" s="169"/>
      <c r="E10" s="126" t="s">
        <v>398</v>
      </c>
      <c r="F10" s="126"/>
      <c r="G10" s="126"/>
      <c r="H10" s="348" t="s">
        <v>392</v>
      </c>
      <c r="I10" s="419"/>
      <c r="J10" s="337"/>
      <c r="K10" s="317" t="str">
        <f t="shared" si="4"/>
        <v/>
      </c>
      <c r="L10" s="149" t="str">
        <f t="shared" si="0"/>
        <v>.,'Z40D','530A','141A'</v>
      </c>
      <c r="M10" s="123"/>
      <c r="N10" s="123"/>
      <c r="O10" s="123"/>
      <c r="P10" s="123"/>
      <c r="Q10" s="123"/>
      <c r="R10" s="123"/>
      <c r="S10" s="124"/>
      <c r="T10" s="124"/>
      <c r="V10" s="75" t="str">
        <f t="shared" si="5"/>
        <v/>
      </c>
      <c r="AB10" s="149" t="str">
        <f t="shared" si="1"/>
        <v>select distinct(chartid) from events where ecode ='141A' and chartid in ( select distinct(chartid) from events where ecode ='530A' and chartid in ( select distinct(chartid) from events where ecode ='Z40D' and chartid in ( @)))</v>
      </c>
      <c r="AC10" s="149" t="str">
        <f t="shared" si="2"/>
        <v/>
      </c>
      <c r="AD10" s="149" t="str">
        <f t="shared" si="3"/>
        <v/>
      </c>
    </row>
    <row r="11" spans="1:36" s="13" customFormat="1">
      <c r="A11" s="340">
        <f t="shared" si="6"/>
        <v>5</v>
      </c>
      <c r="B11" s="143" t="s">
        <v>458</v>
      </c>
      <c r="C11" s="111" t="s">
        <v>375</v>
      </c>
      <c r="D11" s="169"/>
      <c r="E11" s="126" t="s">
        <v>399</v>
      </c>
      <c r="F11" s="126"/>
      <c r="G11" s="126"/>
      <c r="H11" s="348" t="s">
        <v>392</v>
      </c>
      <c r="I11" s="419"/>
      <c r="J11" s="337"/>
      <c r="K11" s="317" t="str">
        <f t="shared" si="4"/>
        <v/>
      </c>
      <c r="L11" s="149" t="str">
        <f t="shared" si="0"/>
        <v>.,'Z40D','530A','141A'</v>
      </c>
      <c r="M11" s="123"/>
      <c r="N11" s="123"/>
      <c r="O11" s="123"/>
      <c r="P11" s="123"/>
      <c r="Q11" s="123"/>
      <c r="R11" s="123"/>
      <c r="S11" s="124"/>
      <c r="T11" s="124"/>
      <c r="V11" s="75" t="str">
        <f t="shared" si="5"/>
        <v/>
      </c>
      <c r="AB11" s="149" t="str">
        <f t="shared" si="1"/>
        <v>select distinct(chartid) from events where ecode ='141A' and chartid in ( select distinct(chartid) from events where ecode ='530A' and chartid in ( select distinct(chartid) from events where ecode ='Z40D' and chartid in ( @)))</v>
      </c>
      <c r="AC11" s="149" t="str">
        <f t="shared" si="2"/>
        <v/>
      </c>
      <c r="AD11" s="149" t="str">
        <f t="shared" si="3"/>
        <v/>
      </c>
    </row>
    <row r="12" spans="1:36" s="13" customFormat="1">
      <c r="A12" s="340">
        <f t="shared" si="6"/>
        <v>6</v>
      </c>
      <c r="B12" s="143" t="s">
        <v>557</v>
      </c>
      <c r="C12" s="111" t="s">
        <v>375</v>
      </c>
      <c r="D12" s="169"/>
      <c r="E12" s="126" t="s">
        <v>399</v>
      </c>
      <c r="F12" s="126"/>
      <c r="G12" s="126" t="s">
        <v>562</v>
      </c>
      <c r="H12" s="348" t="s">
        <v>303</v>
      </c>
      <c r="I12" s="419"/>
      <c r="J12" s="337"/>
      <c r="K12" s="317" t="str">
        <f t="shared" si="4"/>
        <v>'141A'</v>
      </c>
      <c r="L12" s="149" t="str">
        <f t="shared" si="0"/>
        <v>.,'Z40D','530A','141A'</v>
      </c>
      <c r="M12" s="123"/>
      <c r="N12" s="123"/>
      <c r="O12" s="123"/>
      <c r="P12" s="123"/>
      <c r="Q12" s="123"/>
      <c r="R12" s="123"/>
      <c r="S12" s="124"/>
      <c r="T12" s="124"/>
      <c r="V12" s="75" t="str">
        <f t="shared" si="5"/>
        <v>select distinct(chartid) from events where ecode ='141A'</v>
      </c>
      <c r="AB12" s="149" t="str">
        <f t="shared" si="1"/>
        <v>select distinct(chartid) from events where ecode ='141A' and chartid in ( select distinct(chartid) from events where ecode ='530A' and chartid in ( select distinct(chartid) from events where ecode ='Z40D' and chartid in ( @)))</v>
      </c>
      <c r="AC12" s="149" t="str">
        <f t="shared" si="2"/>
        <v/>
      </c>
      <c r="AD12" s="149" t="str">
        <f t="shared" si="3"/>
        <v/>
      </c>
    </row>
    <row r="13" spans="1:36" s="13" customFormat="1">
      <c r="A13" s="340">
        <f t="shared" si="6"/>
        <v>7</v>
      </c>
      <c r="B13" s="143" t="s">
        <v>558</v>
      </c>
      <c r="C13" s="111" t="s">
        <v>375</v>
      </c>
      <c r="D13" s="169"/>
      <c r="E13" s="126" t="s">
        <v>399</v>
      </c>
      <c r="F13" s="126"/>
      <c r="G13" s="126" t="s">
        <v>563</v>
      </c>
      <c r="H13" s="348" t="s">
        <v>392</v>
      </c>
      <c r="I13" s="419"/>
      <c r="J13" s="337"/>
      <c r="K13" s="317" t="str">
        <f t="shared" si="4"/>
        <v/>
      </c>
      <c r="L13" s="149" t="str">
        <f t="shared" si="0"/>
        <v>.,'Z40D','530A'</v>
      </c>
      <c r="M13" s="123"/>
      <c r="N13" s="123"/>
      <c r="O13" s="123"/>
      <c r="P13" s="123"/>
      <c r="Q13" s="123"/>
      <c r="R13" s="123"/>
      <c r="S13" s="124"/>
      <c r="T13" s="124"/>
      <c r="V13" s="75" t="str">
        <f t="shared" si="5"/>
        <v/>
      </c>
      <c r="AB13" s="149" t="str">
        <f t="shared" si="1"/>
        <v>select distinct(chartid) from events where ecode ='530A' and chartid in ( select distinct(chartid) from events where ecode ='Z40D' and chartid in ( @))</v>
      </c>
      <c r="AC13" s="149" t="str">
        <f t="shared" si="2"/>
        <v/>
      </c>
      <c r="AD13" s="149" t="str">
        <f t="shared" si="3"/>
        <v/>
      </c>
    </row>
    <row r="14" spans="1:36" s="13" customFormat="1">
      <c r="A14" s="340">
        <f t="shared" si="6"/>
        <v>8</v>
      </c>
      <c r="B14" s="143" t="s">
        <v>559</v>
      </c>
      <c r="C14" s="111" t="s">
        <v>375</v>
      </c>
      <c r="D14" s="169"/>
      <c r="E14" s="126" t="s">
        <v>399</v>
      </c>
      <c r="F14" s="126"/>
      <c r="G14" s="126" t="s">
        <v>564</v>
      </c>
      <c r="H14" s="348" t="s">
        <v>392</v>
      </c>
      <c r="I14" s="419"/>
      <c r="J14" s="337"/>
      <c r="K14" s="317" t="str">
        <f t="shared" si="4"/>
        <v/>
      </c>
      <c r="L14" s="149" t="str">
        <f t="shared" si="0"/>
        <v>.,'Z40D','530A'</v>
      </c>
      <c r="M14" s="123"/>
      <c r="N14" s="123"/>
      <c r="O14" s="123"/>
      <c r="P14" s="123"/>
      <c r="Q14" s="123"/>
      <c r="R14" s="123"/>
      <c r="S14" s="124"/>
      <c r="T14" s="124"/>
      <c r="V14" s="75" t="str">
        <f t="shared" si="5"/>
        <v/>
      </c>
      <c r="AB14" s="149" t="str">
        <f t="shared" si="1"/>
        <v>select distinct(chartid) from events where ecode ='530A' and chartid in ( select distinct(chartid) from events where ecode ='Z40D' and chartid in ( @))</v>
      </c>
      <c r="AC14" s="149" t="str">
        <f t="shared" si="2"/>
        <v/>
      </c>
      <c r="AD14" s="149" t="str">
        <f t="shared" si="3"/>
        <v/>
      </c>
    </row>
    <row r="15" spans="1:36" s="13" customFormat="1">
      <c r="A15" s="340">
        <f t="shared" si="6"/>
        <v>9</v>
      </c>
      <c r="B15" s="143" t="s">
        <v>560</v>
      </c>
      <c r="C15" s="111" t="s">
        <v>375</v>
      </c>
      <c r="D15" s="169"/>
      <c r="E15" s="126" t="s">
        <v>399</v>
      </c>
      <c r="F15" s="126"/>
      <c r="G15" s="126" t="s">
        <v>565</v>
      </c>
      <c r="H15" s="348" t="s">
        <v>392</v>
      </c>
      <c r="I15" s="419"/>
      <c r="J15" s="337"/>
      <c r="K15" s="317" t="str">
        <f t="shared" si="4"/>
        <v/>
      </c>
      <c r="L15" s="149" t="str">
        <f t="shared" si="0"/>
        <v>.,'Z40D','530A'</v>
      </c>
      <c r="M15" s="123"/>
      <c r="N15" s="123"/>
      <c r="O15" s="123"/>
      <c r="P15" s="123"/>
      <c r="Q15" s="123"/>
      <c r="R15" s="123"/>
      <c r="S15" s="124"/>
      <c r="T15" s="124"/>
      <c r="V15" s="75" t="str">
        <f t="shared" si="5"/>
        <v/>
      </c>
      <c r="AB15" s="149" t="str">
        <f t="shared" si="1"/>
        <v>select distinct(chartid) from events where ecode ='530A' and chartid in ( select distinct(chartid) from events where ecode ='Z40D' and chartid in ( @))</v>
      </c>
      <c r="AC15" s="149" t="str">
        <f t="shared" si="2"/>
        <v/>
      </c>
      <c r="AD15" s="149" t="str">
        <f t="shared" si="3"/>
        <v/>
      </c>
    </row>
    <row r="16" spans="1:36" s="13" customFormat="1">
      <c r="A16" s="340">
        <f t="shared" si="6"/>
        <v>10</v>
      </c>
      <c r="B16" s="143" t="s">
        <v>561</v>
      </c>
      <c r="C16" s="111" t="s">
        <v>375</v>
      </c>
      <c r="D16" s="169"/>
      <c r="E16" s="126" t="s">
        <v>399</v>
      </c>
      <c r="F16" s="126"/>
      <c r="G16" s="126" t="s">
        <v>566</v>
      </c>
      <c r="H16" s="348" t="s">
        <v>392</v>
      </c>
      <c r="I16" s="419"/>
      <c r="J16" s="337"/>
      <c r="K16" s="317" t="str">
        <f t="shared" si="4"/>
        <v/>
      </c>
      <c r="L16" s="149" t="str">
        <f t="shared" si="0"/>
        <v>.,'Z40D','530A'</v>
      </c>
      <c r="M16" s="123"/>
      <c r="N16" s="123"/>
      <c r="O16" s="123"/>
      <c r="P16" s="123"/>
      <c r="Q16" s="123"/>
      <c r="R16" s="123"/>
      <c r="S16" s="124"/>
      <c r="T16" s="124"/>
      <c r="V16" s="75" t="str">
        <f t="shared" si="5"/>
        <v/>
      </c>
      <c r="AB16" s="149" t="str">
        <f t="shared" si="1"/>
        <v>select distinct(chartid) from events where ecode ='530A' and chartid in ( select distinct(chartid) from events where ecode ='Z40D' and chartid in ( @))</v>
      </c>
      <c r="AC16" s="149" t="str">
        <f t="shared" si="2"/>
        <v/>
      </c>
      <c r="AD16" s="149" t="str">
        <f t="shared" si="3"/>
        <v/>
      </c>
    </row>
    <row r="17" spans="1:30" s="13" customFormat="1">
      <c r="A17" s="340">
        <f t="shared" si="6"/>
        <v>11</v>
      </c>
      <c r="B17" s="143" t="s">
        <v>459</v>
      </c>
      <c r="C17" s="111" t="s">
        <v>375</v>
      </c>
      <c r="D17" s="169"/>
      <c r="E17" s="126" t="s">
        <v>400</v>
      </c>
      <c r="F17" s="126"/>
      <c r="G17" s="126"/>
      <c r="H17" s="348" t="s">
        <v>392</v>
      </c>
      <c r="I17" s="419"/>
      <c r="J17" s="337"/>
      <c r="K17" s="317" t="str">
        <f t="shared" si="4"/>
        <v/>
      </c>
      <c r="L17" s="149" t="str">
        <f t="shared" si="0"/>
        <v>.,'Z40D','530A'</v>
      </c>
      <c r="M17" s="123"/>
      <c r="N17" s="123"/>
      <c r="O17" s="123"/>
      <c r="P17" s="123"/>
      <c r="Q17" s="123"/>
      <c r="R17" s="123"/>
      <c r="S17" s="124"/>
      <c r="T17" s="124"/>
      <c r="V17" s="75" t="str">
        <f t="shared" si="5"/>
        <v/>
      </c>
      <c r="AB17" s="149" t="str">
        <f t="shared" si="1"/>
        <v>select distinct(chartid) from events where ecode ='530A' and chartid in ( select distinct(chartid) from events where ecode ='Z40D' and chartid in ( @))</v>
      </c>
      <c r="AC17" s="149" t="str">
        <f t="shared" si="2"/>
        <v/>
      </c>
      <c r="AD17" s="149" t="str">
        <f t="shared" si="3"/>
        <v/>
      </c>
    </row>
    <row r="18" spans="1:30" s="13" customFormat="1">
      <c r="A18" s="340">
        <f t="shared" si="6"/>
        <v>12</v>
      </c>
      <c r="B18" s="143" t="s">
        <v>460</v>
      </c>
      <c r="C18" s="111" t="s">
        <v>375</v>
      </c>
      <c r="D18" s="169"/>
      <c r="E18" s="126" t="s">
        <v>401</v>
      </c>
      <c r="F18" s="126"/>
      <c r="G18" s="126"/>
      <c r="H18" s="348" t="s">
        <v>392</v>
      </c>
      <c r="I18" s="419"/>
      <c r="J18" s="337"/>
      <c r="K18" s="317" t="str">
        <f t="shared" si="4"/>
        <v/>
      </c>
      <c r="L18" s="149" t="str">
        <f t="shared" si="0"/>
        <v>.,'Z40D','530A'</v>
      </c>
      <c r="M18" s="123"/>
      <c r="N18" s="123"/>
      <c r="O18" s="123"/>
      <c r="P18" s="123"/>
      <c r="Q18" s="123"/>
      <c r="R18" s="123"/>
      <c r="S18" s="124"/>
      <c r="T18" s="124"/>
      <c r="V18" s="75" t="str">
        <f t="shared" si="5"/>
        <v/>
      </c>
      <c r="AB18" s="149" t="str">
        <f t="shared" si="1"/>
        <v>select distinct(chartid) from events where ecode ='530A' and chartid in ( select distinct(chartid) from events where ecode ='Z40D' and chartid in ( @))</v>
      </c>
      <c r="AC18" s="149" t="str">
        <f t="shared" si="2"/>
        <v/>
      </c>
      <c r="AD18" s="149" t="str">
        <f t="shared" si="3"/>
        <v/>
      </c>
    </row>
    <row r="19" spans="1:30" s="13" customFormat="1">
      <c r="A19" s="340">
        <f t="shared" si="6"/>
        <v>13</v>
      </c>
      <c r="B19" s="143" t="s">
        <v>461</v>
      </c>
      <c r="C19" s="111" t="s">
        <v>375</v>
      </c>
      <c r="D19" s="169"/>
      <c r="E19" s="126" t="s">
        <v>352</v>
      </c>
      <c r="F19" s="126"/>
      <c r="G19" s="126"/>
      <c r="H19" s="348" t="s">
        <v>392</v>
      </c>
      <c r="I19" s="419"/>
      <c r="J19" s="337"/>
      <c r="K19" s="317" t="str">
        <f t="shared" si="4"/>
        <v/>
      </c>
      <c r="L19" s="149" t="str">
        <f t="shared" si="0"/>
        <v>.,'Z40D','530A'</v>
      </c>
      <c r="M19" s="123"/>
      <c r="N19" s="123"/>
      <c r="O19" s="123"/>
      <c r="P19" s="123"/>
      <c r="Q19" s="123"/>
      <c r="R19" s="123"/>
      <c r="S19" s="124"/>
      <c r="T19" s="124"/>
      <c r="V19" s="75" t="str">
        <f t="shared" si="5"/>
        <v/>
      </c>
      <c r="AB19" s="149" t="str">
        <f t="shared" si="1"/>
        <v>select distinct(chartid) from events where ecode ='530A' and chartid in ( select distinct(chartid) from events where ecode ='Z40D' and chartid in ( @))</v>
      </c>
      <c r="AC19" s="149" t="str">
        <f t="shared" si="2"/>
        <v/>
      </c>
      <c r="AD19" s="149" t="str">
        <f t="shared" si="3"/>
        <v/>
      </c>
    </row>
    <row r="20" spans="1:30" s="13" customFormat="1">
      <c r="A20" s="340">
        <f t="shared" si="6"/>
        <v>14</v>
      </c>
      <c r="B20" s="143" t="s">
        <v>462</v>
      </c>
      <c r="C20" s="111" t="s">
        <v>375</v>
      </c>
      <c r="D20" s="169"/>
      <c r="E20" s="126" t="s">
        <v>353</v>
      </c>
      <c r="F20" s="126"/>
      <c r="G20" s="126"/>
      <c r="H20" s="348" t="s">
        <v>392</v>
      </c>
      <c r="I20" s="419"/>
      <c r="J20" s="337"/>
      <c r="K20" s="317" t="str">
        <f t="shared" si="4"/>
        <v/>
      </c>
      <c r="L20" s="149" t="str">
        <f t="shared" si="0"/>
        <v>.,'Z40D','530A'</v>
      </c>
      <c r="M20" s="123"/>
      <c r="N20" s="123"/>
      <c r="O20" s="123"/>
      <c r="P20" s="123"/>
      <c r="Q20" s="123"/>
      <c r="R20" s="123"/>
      <c r="S20" s="124"/>
      <c r="T20" s="124"/>
      <c r="V20" s="75" t="str">
        <f t="shared" si="5"/>
        <v/>
      </c>
      <c r="AB20" s="149" t="str">
        <f t="shared" si="1"/>
        <v>select distinct(chartid) from events where ecode ='530A' and chartid in ( select distinct(chartid) from events where ecode ='Z40D' and chartid in ( @))</v>
      </c>
      <c r="AC20" s="149" t="str">
        <f t="shared" si="2"/>
        <v/>
      </c>
      <c r="AD20" s="149" t="str">
        <f t="shared" si="3"/>
        <v/>
      </c>
    </row>
    <row r="21" spans="1:30" s="13" customFormat="1">
      <c r="A21" s="340">
        <f t="shared" si="6"/>
        <v>15</v>
      </c>
      <c r="B21" s="143" t="s">
        <v>555</v>
      </c>
      <c r="C21" s="111" t="s">
        <v>346</v>
      </c>
      <c r="D21" s="169"/>
      <c r="E21" s="126" t="s">
        <v>361</v>
      </c>
      <c r="F21" s="126"/>
      <c r="G21" s="126"/>
      <c r="H21" s="348" t="s">
        <v>392</v>
      </c>
      <c r="I21" s="419"/>
      <c r="J21" s="337"/>
      <c r="K21" s="317" t="str">
        <f t="shared" si="4"/>
        <v/>
      </c>
      <c r="L21" s="149" t="str">
        <f t="shared" si="0"/>
        <v>.,'Z40D','530A'</v>
      </c>
      <c r="M21" s="123"/>
      <c r="N21" s="123"/>
      <c r="O21" s="123"/>
      <c r="P21" s="123"/>
      <c r="Q21" s="123"/>
      <c r="R21" s="123"/>
      <c r="S21" s="124"/>
      <c r="T21" s="124"/>
      <c r="V21" s="75" t="str">
        <f t="shared" si="5"/>
        <v/>
      </c>
      <c r="AB21" s="149" t="str">
        <f t="shared" si="1"/>
        <v>select distinct(chartid) from events where ecode ='530A' and chartid in ( select distinct(chartid) from events where ecode ='Z40D' and chartid in ( @))</v>
      </c>
      <c r="AC21" s="149" t="str">
        <f t="shared" si="2"/>
        <v/>
      </c>
      <c r="AD21" s="149" t="str">
        <f t="shared" si="3"/>
        <v/>
      </c>
    </row>
    <row r="22" spans="1:30" s="13" customFormat="1">
      <c r="A22" s="340">
        <f t="shared" si="6"/>
        <v>16</v>
      </c>
      <c r="B22" s="143" t="s">
        <v>463</v>
      </c>
      <c r="C22" s="111" t="s">
        <v>346</v>
      </c>
      <c r="D22" s="169"/>
      <c r="E22" s="126" t="s">
        <v>376</v>
      </c>
      <c r="F22" s="126"/>
      <c r="G22" s="126"/>
      <c r="H22" s="348" t="s">
        <v>392</v>
      </c>
      <c r="I22" s="419"/>
      <c r="J22" s="337"/>
      <c r="K22" s="317" t="str">
        <f t="shared" si="4"/>
        <v/>
      </c>
      <c r="L22" s="149" t="str">
        <f t="shared" si="0"/>
        <v>.,'Z40D','530A'</v>
      </c>
      <c r="M22" s="123"/>
      <c r="N22" s="123"/>
      <c r="O22" s="123"/>
      <c r="P22" s="123"/>
      <c r="Q22" s="123"/>
      <c r="R22" s="123"/>
      <c r="S22" s="124"/>
      <c r="T22" s="124"/>
      <c r="V22" s="75" t="str">
        <f t="shared" si="5"/>
        <v/>
      </c>
      <c r="AB22" s="149" t="str">
        <f t="shared" si="1"/>
        <v>select distinct(chartid) from events where ecode ='530A' and chartid in ( select distinct(chartid) from events where ecode ='Z40D' and chartid in ( @))</v>
      </c>
      <c r="AC22" s="149" t="str">
        <f t="shared" si="2"/>
        <v/>
      </c>
      <c r="AD22" s="149" t="str">
        <f t="shared" si="3"/>
        <v/>
      </c>
    </row>
    <row r="23" spans="1:30" s="13" customFormat="1">
      <c r="A23" s="340">
        <f t="shared" si="6"/>
        <v>17</v>
      </c>
      <c r="B23" s="143" t="s">
        <v>464</v>
      </c>
      <c r="C23" s="111" t="s">
        <v>346</v>
      </c>
      <c r="D23" s="169"/>
      <c r="E23" s="126" t="s">
        <v>348</v>
      </c>
      <c r="F23" s="126"/>
      <c r="G23" s="126"/>
      <c r="H23" s="348" t="s">
        <v>392</v>
      </c>
      <c r="I23" s="419"/>
      <c r="J23" s="337"/>
      <c r="K23" s="317" t="str">
        <f t="shared" si="4"/>
        <v/>
      </c>
      <c r="L23" s="149" t="str">
        <f t="shared" si="0"/>
        <v>.,'Z40D','530A'</v>
      </c>
      <c r="M23" s="123"/>
      <c r="N23" s="123"/>
      <c r="O23" s="123"/>
      <c r="P23" s="123"/>
      <c r="Q23" s="123"/>
      <c r="R23" s="123"/>
      <c r="S23" s="124"/>
      <c r="T23" s="124"/>
      <c r="V23" s="75" t="str">
        <f t="shared" si="5"/>
        <v/>
      </c>
      <c r="AB23" s="149" t="str">
        <f t="shared" si="1"/>
        <v>select distinct(chartid) from events where ecode ='530A' and chartid in ( select distinct(chartid) from events where ecode ='Z40D' and chartid in ( @))</v>
      </c>
      <c r="AC23" s="149" t="str">
        <f t="shared" si="2"/>
        <v/>
      </c>
      <c r="AD23" s="149" t="str">
        <f t="shared" si="3"/>
        <v/>
      </c>
    </row>
    <row r="24" spans="1:30" s="13" customFormat="1">
      <c r="A24" s="340">
        <f t="shared" si="6"/>
        <v>18</v>
      </c>
      <c r="B24" s="143" t="s">
        <v>465</v>
      </c>
      <c r="C24" s="111" t="s">
        <v>346</v>
      </c>
      <c r="D24" s="169"/>
      <c r="E24" s="126" t="s">
        <v>402</v>
      </c>
      <c r="F24" s="126"/>
      <c r="G24" s="126"/>
      <c r="H24" s="348" t="s">
        <v>392</v>
      </c>
      <c r="I24" s="419"/>
      <c r="J24" s="337"/>
      <c r="K24" s="317" t="str">
        <f t="shared" si="4"/>
        <v/>
      </c>
      <c r="L24" s="149" t="str">
        <f t="shared" si="0"/>
        <v>.,'Z40D','530A'</v>
      </c>
      <c r="M24" s="123"/>
      <c r="N24" s="123"/>
      <c r="O24" s="123"/>
      <c r="P24" s="123"/>
      <c r="Q24" s="123"/>
      <c r="R24" s="123"/>
      <c r="S24" s="124"/>
      <c r="T24" s="124"/>
      <c r="V24" s="75" t="str">
        <f t="shared" si="5"/>
        <v/>
      </c>
      <c r="AB24" s="149" t="str">
        <f t="shared" si="1"/>
        <v>select distinct(chartid) from events where ecode ='530A' and chartid in ( select distinct(chartid) from events where ecode ='Z40D' and chartid in ( @))</v>
      </c>
      <c r="AC24" s="149" t="str">
        <f t="shared" si="2"/>
        <v/>
      </c>
      <c r="AD24" s="149" t="str">
        <f t="shared" si="3"/>
        <v/>
      </c>
    </row>
    <row r="25" spans="1:30" s="13" customFormat="1">
      <c r="A25" s="340">
        <f t="shared" si="6"/>
        <v>19</v>
      </c>
      <c r="B25" s="143" t="s">
        <v>466</v>
      </c>
      <c r="C25" s="111" t="s">
        <v>346</v>
      </c>
      <c r="D25" s="169"/>
      <c r="E25" s="126" t="s">
        <v>364</v>
      </c>
      <c r="F25" s="126"/>
      <c r="G25" s="126"/>
      <c r="H25" s="348" t="s">
        <v>392</v>
      </c>
      <c r="I25" s="419"/>
      <c r="J25" s="337"/>
      <c r="K25" s="317" t="str">
        <f t="shared" si="4"/>
        <v/>
      </c>
      <c r="L25" s="149" t="str">
        <f t="shared" si="0"/>
        <v>.,'Z40D','530A'</v>
      </c>
      <c r="M25" s="123"/>
      <c r="N25" s="123"/>
      <c r="O25" s="123"/>
      <c r="P25" s="123"/>
      <c r="Q25" s="123"/>
      <c r="R25" s="123"/>
      <c r="S25" s="124"/>
      <c r="T25" s="124"/>
      <c r="V25" s="75" t="str">
        <f t="shared" si="5"/>
        <v/>
      </c>
      <c r="AB25" s="149" t="str">
        <f t="shared" si="1"/>
        <v>select distinct(chartid) from events where ecode ='530A' and chartid in ( select distinct(chartid) from events where ecode ='Z40D' and chartid in ( @))</v>
      </c>
      <c r="AC25" s="149" t="str">
        <f t="shared" si="2"/>
        <v/>
      </c>
      <c r="AD25" s="149" t="str">
        <f t="shared" si="3"/>
        <v/>
      </c>
    </row>
    <row r="26" spans="1:30" s="13" customFormat="1">
      <c r="A26" s="340">
        <f t="shared" si="6"/>
        <v>20</v>
      </c>
      <c r="B26" s="143" t="s">
        <v>467</v>
      </c>
      <c r="C26" s="111" t="s">
        <v>347</v>
      </c>
      <c r="D26" s="169"/>
      <c r="E26" s="126" t="s">
        <v>403</v>
      </c>
      <c r="F26" s="126"/>
      <c r="G26" s="126"/>
      <c r="H26" s="348" t="s">
        <v>392</v>
      </c>
      <c r="I26" s="419"/>
      <c r="J26" s="337"/>
      <c r="K26" s="317" t="str">
        <f t="shared" si="4"/>
        <v/>
      </c>
      <c r="L26" s="149" t="str">
        <f t="shared" si="0"/>
        <v>.,'Z40D','530A'</v>
      </c>
      <c r="M26" s="123"/>
      <c r="N26" s="123"/>
      <c r="O26" s="123"/>
      <c r="P26" s="123"/>
      <c r="Q26" s="123"/>
      <c r="R26" s="123"/>
      <c r="S26" s="124"/>
      <c r="T26" s="124"/>
      <c r="V26" s="75" t="str">
        <f t="shared" si="5"/>
        <v/>
      </c>
      <c r="AB26" s="149" t="str">
        <f t="shared" si="1"/>
        <v>select distinct(chartid) from events where ecode ='530A' and chartid in ( select distinct(chartid) from events where ecode ='Z40D' and chartid in ( @))</v>
      </c>
      <c r="AC26" s="149" t="str">
        <f t="shared" si="2"/>
        <v/>
      </c>
      <c r="AD26" s="149" t="str">
        <f t="shared" si="3"/>
        <v/>
      </c>
    </row>
    <row r="27" spans="1:30" s="13" customFormat="1">
      <c r="A27" s="340">
        <f t="shared" si="6"/>
        <v>21</v>
      </c>
      <c r="B27" s="143" t="s">
        <v>468</v>
      </c>
      <c r="C27" s="111" t="s">
        <v>347</v>
      </c>
      <c r="D27" s="169"/>
      <c r="E27" s="126" t="s">
        <v>404</v>
      </c>
      <c r="F27" s="126"/>
      <c r="G27" s="126"/>
      <c r="H27" s="348" t="s">
        <v>392</v>
      </c>
      <c r="I27" s="419"/>
      <c r="J27" s="337"/>
      <c r="K27" s="317" t="str">
        <f t="shared" si="4"/>
        <v/>
      </c>
      <c r="L27" s="149" t="str">
        <f t="shared" si="0"/>
        <v>.,'Z40D','530A'</v>
      </c>
      <c r="M27" s="123"/>
      <c r="N27" s="123"/>
      <c r="O27" s="123"/>
      <c r="P27" s="123"/>
      <c r="Q27" s="123"/>
      <c r="R27" s="123"/>
      <c r="S27" s="124"/>
      <c r="T27" s="124"/>
      <c r="V27" s="75" t="str">
        <f t="shared" si="5"/>
        <v/>
      </c>
      <c r="AB27" s="149" t="str">
        <f t="shared" si="1"/>
        <v>select distinct(chartid) from events where ecode ='530A' and chartid in ( select distinct(chartid) from events where ecode ='Z40D' and chartid in ( @))</v>
      </c>
      <c r="AC27" s="149" t="str">
        <f t="shared" si="2"/>
        <v/>
      </c>
      <c r="AD27" s="149" t="str">
        <f t="shared" si="3"/>
        <v/>
      </c>
    </row>
    <row r="28" spans="1:30" s="13" customFormat="1">
      <c r="A28" s="340">
        <f t="shared" si="6"/>
        <v>22</v>
      </c>
      <c r="B28" s="143" t="s">
        <v>469</v>
      </c>
      <c r="C28" s="111" t="s">
        <v>347</v>
      </c>
      <c r="D28" s="169"/>
      <c r="E28" s="126" t="s">
        <v>405</v>
      </c>
      <c r="F28" s="126"/>
      <c r="G28" s="126"/>
      <c r="H28" s="348" t="s">
        <v>392</v>
      </c>
      <c r="I28" s="419"/>
      <c r="J28" s="337"/>
      <c r="K28" s="317" t="str">
        <f t="shared" si="4"/>
        <v/>
      </c>
      <c r="L28" s="149" t="str">
        <f t="shared" si="0"/>
        <v>.,'Z40D','530A'</v>
      </c>
      <c r="M28" s="123"/>
      <c r="N28" s="123"/>
      <c r="O28" s="123"/>
      <c r="P28" s="123"/>
      <c r="Q28" s="123"/>
      <c r="R28" s="123"/>
      <c r="S28" s="124"/>
      <c r="T28" s="124"/>
      <c r="V28" s="75" t="str">
        <f t="shared" si="5"/>
        <v/>
      </c>
      <c r="AB28" s="149" t="str">
        <f t="shared" si="1"/>
        <v>select distinct(chartid) from events where ecode ='530A' and chartid in ( select distinct(chartid) from events where ecode ='Z40D' and chartid in ( @))</v>
      </c>
      <c r="AC28" s="149" t="str">
        <f t="shared" si="2"/>
        <v/>
      </c>
      <c r="AD28" s="149" t="str">
        <f t="shared" si="3"/>
        <v/>
      </c>
    </row>
    <row r="29" spans="1:30" s="13" customFormat="1">
      <c r="A29" s="340">
        <f t="shared" si="6"/>
        <v>23</v>
      </c>
      <c r="B29" s="143" t="s">
        <v>470</v>
      </c>
      <c r="C29" s="111" t="s">
        <v>347</v>
      </c>
      <c r="D29" s="169"/>
      <c r="E29" s="126" t="s">
        <v>406</v>
      </c>
      <c r="F29" s="126"/>
      <c r="G29" s="126"/>
      <c r="H29" s="348" t="s">
        <v>392</v>
      </c>
      <c r="I29" s="419"/>
      <c r="J29" s="337"/>
      <c r="K29" s="317" t="str">
        <f t="shared" si="4"/>
        <v/>
      </c>
      <c r="L29" s="149" t="str">
        <f t="shared" si="0"/>
        <v>.,'Z40D','530A'</v>
      </c>
      <c r="M29" s="123"/>
      <c r="N29" s="123"/>
      <c r="O29" s="123"/>
      <c r="P29" s="123"/>
      <c r="Q29" s="123"/>
      <c r="R29" s="123"/>
      <c r="S29" s="124"/>
      <c r="T29" s="124"/>
      <c r="V29" s="75" t="str">
        <f t="shared" si="5"/>
        <v/>
      </c>
      <c r="AB29" s="149" t="str">
        <f t="shared" si="1"/>
        <v>select distinct(chartid) from events where ecode ='530A' and chartid in ( select distinct(chartid) from events where ecode ='Z40D' and chartid in ( @))</v>
      </c>
      <c r="AC29" s="149" t="str">
        <f t="shared" si="2"/>
        <v/>
      </c>
      <c r="AD29" s="149" t="str">
        <f t="shared" si="3"/>
        <v/>
      </c>
    </row>
    <row r="30" spans="1:30" s="13" customFormat="1">
      <c r="A30" s="340">
        <f t="shared" si="6"/>
        <v>24</v>
      </c>
      <c r="B30" s="143" t="s">
        <v>471</v>
      </c>
      <c r="C30" s="111" t="s">
        <v>347</v>
      </c>
      <c r="D30" s="169"/>
      <c r="E30" s="126" t="s">
        <v>407</v>
      </c>
      <c r="F30" s="126"/>
      <c r="G30" s="126"/>
      <c r="H30" s="348" t="s">
        <v>392</v>
      </c>
      <c r="I30" s="419"/>
      <c r="J30" s="337"/>
      <c r="K30" s="317" t="str">
        <f t="shared" si="4"/>
        <v/>
      </c>
      <c r="L30" s="149" t="str">
        <f t="shared" si="0"/>
        <v>.,'Z40D','530A'</v>
      </c>
      <c r="M30" s="123"/>
      <c r="N30" s="123"/>
      <c r="O30" s="123"/>
      <c r="P30" s="123"/>
      <c r="Q30" s="123"/>
      <c r="R30" s="123"/>
      <c r="S30" s="124"/>
      <c r="T30" s="124"/>
      <c r="V30" s="75" t="str">
        <f t="shared" si="5"/>
        <v/>
      </c>
      <c r="AB30" s="149" t="str">
        <f t="shared" si="1"/>
        <v>select distinct(chartid) from events where ecode ='530A' and chartid in ( select distinct(chartid) from events where ecode ='Z40D' and chartid in ( @))</v>
      </c>
      <c r="AC30" s="149" t="str">
        <f t="shared" si="2"/>
        <v/>
      </c>
      <c r="AD30" s="149" t="str">
        <f t="shared" si="3"/>
        <v/>
      </c>
    </row>
    <row r="31" spans="1:30" s="13" customFormat="1">
      <c r="A31" s="340">
        <f t="shared" si="6"/>
        <v>25</v>
      </c>
      <c r="B31" s="143" t="s">
        <v>472</v>
      </c>
      <c r="C31" s="111" t="s">
        <v>347</v>
      </c>
      <c r="D31" s="169"/>
      <c r="E31" s="126" t="s">
        <v>413</v>
      </c>
      <c r="F31" s="126"/>
      <c r="G31" s="126"/>
      <c r="H31" s="348" t="s">
        <v>392</v>
      </c>
      <c r="I31" s="419"/>
      <c r="J31" s="337"/>
      <c r="K31" s="317" t="str">
        <f t="shared" si="4"/>
        <v/>
      </c>
      <c r="L31" s="149" t="str">
        <f t="shared" si="0"/>
        <v>.,'Z40D','530A'</v>
      </c>
      <c r="M31" s="123"/>
      <c r="N31" s="123"/>
      <c r="O31" s="123"/>
      <c r="P31" s="123"/>
      <c r="Q31" s="123"/>
      <c r="R31" s="123"/>
      <c r="S31" s="124"/>
      <c r="T31" s="124"/>
      <c r="V31" s="75" t="str">
        <f t="shared" si="5"/>
        <v/>
      </c>
      <c r="AB31" s="149" t="str">
        <f t="shared" si="1"/>
        <v>select distinct(chartid) from events where ecode ='530A' and chartid in ( select distinct(chartid) from events where ecode ='Z40D' and chartid in ( @))</v>
      </c>
      <c r="AC31" s="149" t="str">
        <f t="shared" si="2"/>
        <v/>
      </c>
      <c r="AD31" s="149" t="str">
        <f t="shared" si="3"/>
        <v/>
      </c>
    </row>
    <row r="32" spans="1:30" s="13" customFormat="1">
      <c r="A32" s="340">
        <f t="shared" si="6"/>
        <v>26</v>
      </c>
      <c r="B32" s="143" t="s">
        <v>473</v>
      </c>
      <c r="C32" s="111" t="s">
        <v>347</v>
      </c>
      <c r="D32" s="169"/>
      <c r="E32" s="126" t="s">
        <v>414</v>
      </c>
      <c r="F32" s="126"/>
      <c r="G32" s="126"/>
      <c r="H32" s="348" t="s">
        <v>392</v>
      </c>
      <c r="I32" s="419"/>
      <c r="J32" s="337"/>
      <c r="K32" s="317" t="str">
        <f t="shared" si="4"/>
        <v/>
      </c>
      <c r="L32" s="149" t="str">
        <f t="shared" si="0"/>
        <v>.,'Z40D','530A'</v>
      </c>
      <c r="M32" s="123"/>
      <c r="N32" s="123"/>
      <c r="O32" s="123"/>
      <c r="P32" s="123"/>
      <c r="Q32" s="123"/>
      <c r="R32" s="123"/>
      <c r="S32" s="124"/>
      <c r="T32" s="124"/>
      <c r="V32" s="75" t="str">
        <f t="shared" si="5"/>
        <v/>
      </c>
      <c r="AB32" s="149" t="str">
        <f t="shared" si="1"/>
        <v>select distinct(chartid) from events where ecode ='530A' and chartid in ( select distinct(chartid) from events where ecode ='Z40D' and chartid in ( @))</v>
      </c>
      <c r="AC32" s="149" t="str">
        <f t="shared" si="2"/>
        <v/>
      </c>
      <c r="AD32" s="149" t="str">
        <f t="shared" si="3"/>
        <v/>
      </c>
    </row>
    <row r="33" spans="1:30" s="13" customFormat="1">
      <c r="A33" s="340">
        <f t="shared" si="6"/>
        <v>27</v>
      </c>
      <c r="B33" s="143" t="s">
        <v>474</v>
      </c>
      <c r="C33" s="111" t="s">
        <v>347</v>
      </c>
      <c r="D33" s="169"/>
      <c r="E33" s="126" t="s">
        <v>408</v>
      </c>
      <c r="F33" s="126"/>
      <c r="G33" s="126"/>
      <c r="H33" s="348" t="s">
        <v>392</v>
      </c>
      <c r="I33" s="419"/>
      <c r="J33" s="337"/>
      <c r="K33" s="317" t="str">
        <f t="shared" si="4"/>
        <v/>
      </c>
      <c r="L33" s="149" t="str">
        <f t="shared" si="0"/>
        <v>.,'Z40D','530A'</v>
      </c>
      <c r="M33" s="123"/>
      <c r="N33" s="123"/>
      <c r="O33" s="123"/>
      <c r="P33" s="123"/>
      <c r="Q33" s="123"/>
      <c r="R33" s="123"/>
      <c r="S33" s="124"/>
      <c r="T33" s="124"/>
      <c r="V33" s="75" t="str">
        <f t="shared" si="5"/>
        <v/>
      </c>
      <c r="AB33" s="149" t="str">
        <f t="shared" si="1"/>
        <v>select distinct(chartid) from events where ecode ='530A' and chartid in ( select distinct(chartid) from events where ecode ='Z40D' and chartid in ( @))</v>
      </c>
      <c r="AC33" s="149" t="str">
        <f t="shared" si="2"/>
        <v/>
      </c>
      <c r="AD33" s="149" t="str">
        <f t="shared" si="3"/>
        <v/>
      </c>
    </row>
    <row r="34" spans="1:30" s="13" customFormat="1">
      <c r="A34" s="340">
        <f t="shared" si="6"/>
        <v>28</v>
      </c>
      <c r="B34" s="143" t="s">
        <v>475</v>
      </c>
      <c r="C34" s="111" t="s">
        <v>347</v>
      </c>
      <c r="D34" s="169"/>
      <c r="E34" s="126" t="s">
        <v>409</v>
      </c>
      <c r="F34" s="126"/>
      <c r="G34" s="126"/>
      <c r="H34" s="348" t="s">
        <v>392</v>
      </c>
      <c r="I34" s="419"/>
      <c r="J34" s="337"/>
      <c r="K34" s="317" t="str">
        <f t="shared" si="4"/>
        <v/>
      </c>
      <c r="L34" s="149" t="str">
        <f t="shared" si="0"/>
        <v>.,'Z40D','530A'</v>
      </c>
      <c r="M34" s="123"/>
      <c r="N34" s="123"/>
      <c r="O34" s="123"/>
      <c r="P34" s="123"/>
      <c r="Q34" s="123"/>
      <c r="R34" s="123"/>
      <c r="S34" s="124"/>
      <c r="T34" s="124"/>
      <c r="V34" s="75" t="str">
        <f t="shared" si="5"/>
        <v/>
      </c>
      <c r="AB34" s="149" t="str">
        <f t="shared" si="1"/>
        <v>select distinct(chartid) from events where ecode ='530A' and chartid in ( select distinct(chartid) from events where ecode ='Z40D' and chartid in ( @))</v>
      </c>
      <c r="AC34" s="149" t="str">
        <f t="shared" si="2"/>
        <v/>
      </c>
      <c r="AD34" s="149" t="str">
        <f t="shared" si="3"/>
        <v/>
      </c>
    </row>
    <row r="35" spans="1:30" s="13" customFormat="1">
      <c r="A35" s="340">
        <f t="shared" si="6"/>
        <v>29</v>
      </c>
      <c r="B35" s="143" t="s">
        <v>476</v>
      </c>
      <c r="C35" s="111" t="s">
        <v>347</v>
      </c>
      <c r="D35" s="169"/>
      <c r="E35" s="126" t="s">
        <v>410</v>
      </c>
      <c r="F35" s="126"/>
      <c r="G35" s="126"/>
      <c r="H35" s="348" t="s">
        <v>392</v>
      </c>
      <c r="I35" s="419"/>
      <c r="J35" s="337"/>
      <c r="K35" s="317" t="str">
        <f t="shared" si="4"/>
        <v/>
      </c>
      <c r="L35" s="149" t="str">
        <f t="shared" si="0"/>
        <v>.,'Z40D','530A'</v>
      </c>
      <c r="M35" s="123"/>
      <c r="N35" s="123"/>
      <c r="O35" s="123"/>
      <c r="P35" s="123"/>
      <c r="Q35" s="123"/>
      <c r="R35" s="123"/>
      <c r="S35" s="124"/>
      <c r="T35" s="124"/>
      <c r="V35" s="75" t="str">
        <f t="shared" si="5"/>
        <v/>
      </c>
      <c r="AB35" s="149" t="str">
        <f t="shared" si="1"/>
        <v>select distinct(chartid) from events where ecode ='530A' and chartid in ( select distinct(chartid) from events where ecode ='Z40D' and chartid in ( @))</v>
      </c>
      <c r="AC35" s="149" t="str">
        <f t="shared" si="2"/>
        <v/>
      </c>
      <c r="AD35" s="149" t="str">
        <f t="shared" si="3"/>
        <v/>
      </c>
    </row>
    <row r="36" spans="1:30" s="13" customFormat="1">
      <c r="A36" s="340">
        <f t="shared" si="6"/>
        <v>30</v>
      </c>
      <c r="B36" s="143" t="s">
        <v>477</v>
      </c>
      <c r="C36" s="111" t="s">
        <v>347</v>
      </c>
      <c r="D36" s="169"/>
      <c r="E36" s="126" t="s">
        <v>354</v>
      </c>
      <c r="F36" s="126"/>
      <c r="G36" s="126"/>
      <c r="H36" s="348" t="s">
        <v>392</v>
      </c>
      <c r="I36" s="419"/>
      <c r="J36" s="337"/>
      <c r="K36" s="317" t="str">
        <f t="shared" si="4"/>
        <v/>
      </c>
      <c r="L36" s="149" t="str">
        <f t="shared" si="0"/>
        <v>.,'Z40D','530A'</v>
      </c>
      <c r="M36" s="123"/>
      <c r="N36" s="123"/>
      <c r="O36" s="123"/>
      <c r="P36" s="123"/>
      <c r="Q36" s="123"/>
      <c r="R36" s="123"/>
      <c r="S36" s="124"/>
      <c r="T36" s="124"/>
      <c r="V36" s="75" t="str">
        <f t="shared" si="5"/>
        <v/>
      </c>
      <c r="AB36" s="149" t="str">
        <f t="shared" si="1"/>
        <v>select distinct(chartid) from events where ecode ='530A' and chartid in ( select distinct(chartid) from events where ecode ='Z40D' and chartid in ( @))</v>
      </c>
      <c r="AC36" s="149" t="str">
        <f t="shared" si="2"/>
        <v/>
      </c>
      <c r="AD36" s="149" t="str">
        <f t="shared" si="3"/>
        <v/>
      </c>
    </row>
    <row r="37" spans="1:30" s="13" customFormat="1">
      <c r="A37" s="340">
        <f t="shared" si="6"/>
        <v>31</v>
      </c>
      <c r="B37" s="143" t="s">
        <v>478</v>
      </c>
      <c r="C37" s="111" t="s">
        <v>347</v>
      </c>
      <c r="D37" s="169"/>
      <c r="E37" s="126" t="s">
        <v>411</v>
      </c>
      <c r="F37" s="126"/>
      <c r="G37" s="126"/>
      <c r="H37" s="348" t="s">
        <v>392</v>
      </c>
      <c r="I37" s="419"/>
      <c r="J37" s="337"/>
      <c r="K37" s="317" t="str">
        <f t="shared" si="4"/>
        <v/>
      </c>
      <c r="L37" s="149" t="str">
        <f t="shared" si="0"/>
        <v>.,'Z40D','530A'</v>
      </c>
      <c r="M37" s="123"/>
      <c r="N37" s="123"/>
      <c r="O37" s="123"/>
      <c r="P37" s="123"/>
      <c r="Q37" s="123"/>
      <c r="R37" s="123"/>
      <c r="S37" s="124"/>
      <c r="T37" s="124"/>
      <c r="V37" s="75" t="str">
        <f t="shared" si="5"/>
        <v/>
      </c>
      <c r="AB37" s="149" t="str">
        <f t="shared" si="1"/>
        <v>select distinct(chartid) from events where ecode ='530A' and chartid in ( select distinct(chartid) from events where ecode ='Z40D' and chartid in ( @))</v>
      </c>
      <c r="AC37" s="149" t="str">
        <f t="shared" si="2"/>
        <v/>
      </c>
      <c r="AD37" s="149" t="str">
        <f t="shared" si="3"/>
        <v/>
      </c>
    </row>
    <row r="38" spans="1:30" s="13" customFormat="1">
      <c r="A38" s="340">
        <f t="shared" si="6"/>
        <v>32</v>
      </c>
      <c r="B38" s="143" t="s">
        <v>479</v>
      </c>
      <c r="C38" s="111" t="s">
        <v>347</v>
      </c>
      <c r="D38" s="169"/>
      <c r="E38" s="126" t="s">
        <v>374</v>
      </c>
      <c r="F38" s="126"/>
      <c r="G38" s="126"/>
      <c r="H38" s="348" t="s">
        <v>392</v>
      </c>
      <c r="I38" s="419"/>
      <c r="J38" s="337"/>
      <c r="K38" s="317" t="str">
        <f t="shared" si="4"/>
        <v/>
      </c>
      <c r="L38" s="149" t="str">
        <f t="shared" si="0"/>
        <v>.,'Z40D','530A'</v>
      </c>
      <c r="M38" s="123"/>
      <c r="N38" s="123"/>
      <c r="O38" s="123"/>
      <c r="P38" s="123"/>
      <c r="Q38" s="123"/>
      <c r="R38" s="123"/>
      <c r="S38" s="124"/>
      <c r="T38" s="124"/>
      <c r="V38" s="75" t="str">
        <f t="shared" si="5"/>
        <v/>
      </c>
      <c r="AB38" s="149" t="str">
        <f t="shared" si="1"/>
        <v>select distinct(chartid) from events where ecode ='530A' and chartid in ( select distinct(chartid) from events where ecode ='Z40D' and chartid in ( @))</v>
      </c>
      <c r="AC38" s="149" t="str">
        <f t="shared" si="2"/>
        <v/>
      </c>
      <c r="AD38" s="149" t="str">
        <f t="shared" si="3"/>
        <v/>
      </c>
    </row>
    <row r="39" spans="1:30" s="13" customFormat="1">
      <c r="A39" s="340">
        <f t="shared" si="6"/>
        <v>33</v>
      </c>
      <c r="B39" s="143" t="s">
        <v>480</v>
      </c>
      <c r="C39" s="111" t="s">
        <v>347</v>
      </c>
      <c r="D39" s="169"/>
      <c r="E39" s="126" t="s">
        <v>412</v>
      </c>
      <c r="F39" s="126"/>
      <c r="G39" s="126"/>
      <c r="H39" s="348" t="s">
        <v>392</v>
      </c>
      <c r="I39" s="419"/>
      <c r="J39" s="337"/>
      <c r="K39" s="317" t="str">
        <f t="shared" si="4"/>
        <v/>
      </c>
      <c r="L39" s="149" t="str">
        <f t="shared" si="0"/>
        <v>.,'Z40D','530A'</v>
      </c>
      <c r="M39" s="123"/>
      <c r="N39" s="123"/>
      <c r="O39" s="123"/>
      <c r="P39" s="123"/>
      <c r="Q39" s="123"/>
      <c r="R39" s="123"/>
      <c r="S39" s="124"/>
      <c r="T39" s="124"/>
      <c r="V39" s="75" t="str">
        <f t="shared" si="5"/>
        <v/>
      </c>
      <c r="AB39" s="149" t="str">
        <f t="shared" si="1"/>
        <v>select distinct(chartid) from events where ecode ='530A' and chartid in ( select distinct(chartid) from events where ecode ='Z40D' and chartid in ( @))</v>
      </c>
      <c r="AC39" s="149" t="str">
        <f t="shared" si="2"/>
        <v/>
      </c>
      <c r="AD39" s="149" t="str">
        <f t="shared" si="3"/>
        <v/>
      </c>
    </row>
    <row r="40" spans="1:30" s="13" customFormat="1">
      <c r="A40" s="340">
        <f t="shared" si="6"/>
        <v>34</v>
      </c>
      <c r="B40" s="143" t="s">
        <v>481</v>
      </c>
      <c r="C40" s="111" t="s">
        <v>419</v>
      </c>
      <c r="D40" s="169"/>
      <c r="E40" s="126" t="s">
        <v>417</v>
      </c>
      <c r="F40" s="126"/>
      <c r="G40" s="126"/>
      <c r="H40" s="348" t="s">
        <v>392</v>
      </c>
      <c r="I40" s="419"/>
      <c r="J40" s="337"/>
      <c r="K40" s="317" t="str">
        <f t="shared" si="4"/>
        <v/>
      </c>
      <c r="L40" s="149" t="str">
        <f t="shared" si="0"/>
        <v>.,'Z40D','530A'</v>
      </c>
      <c r="M40" s="123"/>
      <c r="N40" s="123"/>
      <c r="O40" s="123"/>
      <c r="P40" s="123"/>
      <c r="Q40" s="123"/>
      <c r="R40" s="123"/>
      <c r="S40" s="124"/>
      <c r="T40" s="124"/>
      <c r="V40" s="75" t="str">
        <f t="shared" si="5"/>
        <v/>
      </c>
      <c r="AB40" s="149" t="str">
        <f t="shared" si="1"/>
        <v>select distinct(chartid) from events where ecode ='530A' and chartid in ( select distinct(chartid) from events where ecode ='Z40D' and chartid in ( @))</v>
      </c>
      <c r="AC40" s="149" t="str">
        <f t="shared" si="2"/>
        <v/>
      </c>
      <c r="AD40" s="149" t="str">
        <f t="shared" si="3"/>
        <v/>
      </c>
    </row>
    <row r="41" spans="1:30" s="13" customFormat="1">
      <c r="A41" s="340">
        <f t="shared" si="6"/>
        <v>35</v>
      </c>
      <c r="B41" s="143" t="s">
        <v>482</v>
      </c>
      <c r="C41" s="111" t="s">
        <v>419</v>
      </c>
      <c r="D41" s="169"/>
      <c r="E41" s="126" t="s">
        <v>418</v>
      </c>
      <c r="F41" s="126"/>
      <c r="G41" s="126"/>
      <c r="H41" s="348" t="s">
        <v>392</v>
      </c>
      <c r="I41" s="419"/>
      <c r="J41" s="337"/>
      <c r="K41" s="317" t="str">
        <f t="shared" si="4"/>
        <v/>
      </c>
      <c r="L41" s="149" t="str">
        <f t="shared" si="0"/>
        <v>.,'Z40D','530A'</v>
      </c>
      <c r="M41" s="123"/>
      <c r="N41" s="123"/>
      <c r="O41" s="123"/>
      <c r="P41" s="123"/>
      <c r="Q41" s="123"/>
      <c r="R41" s="123"/>
      <c r="S41" s="124"/>
      <c r="T41" s="124"/>
      <c r="V41" s="75" t="str">
        <f t="shared" si="5"/>
        <v/>
      </c>
      <c r="AB41" s="149" t="str">
        <f t="shared" si="1"/>
        <v>select distinct(chartid) from events where ecode ='530A' and chartid in ( select distinct(chartid) from events where ecode ='Z40D' and chartid in ( @))</v>
      </c>
      <c r="AC41" s="149" t="str">
        <f t="shared" si="2"/>
        <v/>
      </c>
      <c r="AD41" s="149" t="str">
        <f t="shared" si="3"/>
        <v/>
      </c>
    </row>
    <row r="42" spans="1:30" s="13" customFormat="1">
      <c r="A42" s="340">
        <f t="shared" si="6"/>
        <v>36</v>
      </c>
      <c r="B42" s="143" t="s">
        <v>483</v>
      </c>
      <c r="C42" s="111" t="s">
        <v>419</v>
      </c>
      <c r="D42" s="169"/>
      <c r="E42" s="126" t="s">
        <v>378</v>
      </c>
      <c r="F42" s="126"/>
      <c r="G42" s="126"/>
      <c r="H42" s="348" t="s">
        <v>392</v>
      </c>
      <c r="I42" s="419"/>
      <c r="J42" s="337"/>
      <c r="K42" s="317" t="str">
        <f t="shared" si="4"/>
        <v/>
      </c>
      <c r="L42" s="149" t="str">
        <f t="shared" si="0"/>
        <v>.,'Z40D','530A'</v>
      </c>
      <c r="M42" s="123"/>
      <c r="N42" s="123"/>
      <c r="O42" s="123"/>
      <c r="P42" s="123"/>
      <c r="Q42" s="123"/>
      <c r="R42" s="123"/>
      <c r="S42" s="124"/>
      <c r="T42" s="124"/>
      <c r="V42" s="75" t="str">
        <f t="shared" si="5"/>
        <v/>
      </c>
      <c r="AB42" s="149" t="str">
        <f t="shared" si="1"/>
        <v>select distinct(chartid) from events where ecode ='530A' and chartid in ( select distinct(chartid) from events where ecode ='Z40D' and chartid in ( @))</v>
      </c>
      <c r="AC42" s="149" t="str">
        <f t="shared" si="2"/>
        <v/>
      </c>
      <c r="AD42" s="149" t="str">
        <f t="shared" si="3"/>
        <v/>
      </c>
    </row>
    <row r="43" spans="1:30" s="13" customFormat="1">
      <c r="A43" s="340">
        <f t="shared" si="6"/>
        <v>37</v>
      </c>
      <c r="B43" s="143" t="s">
        <v>484</v>
      </c>
      <c r="C43" s="111" t="s">
        <v>419</v>
      </c>
      <c r="D43" s="169"/>
      <c r="E43" s="126" t="s">
        <v>420</v>
      </c>
      <c r="F43" s="126"/>
      <c r="G43" s="126"/>
      <c r="H43" s="348" t="s">
        <v>392</v>
      </c>
      <c r="I43" s="419"/>
      <c r="J43" s="337"/>
      <c r="K43" s="317" t="str">
        <f t="shared" si="4"/>
        <v/>
      </c>
      <c r="L43" s="149" t="str">
        <f t="shared" si="0"/>
        <v>.,'Z40D','530A'</v>
      </c>
      <c r="M43" s="123"/>
      <c r="N43" s="123"/>
      <c r="O43" s="123"/>
      <c r="P43" s="123"/>
      <c r="Q43" s="123"/>
      <c r="R43" s="123"/>
      <c r="S43" s="124"/>
      <c r="T43" s="124"/>
      <c r="V43" s="75" t="str">
        <f t="shared" si="5"/>
        <v/>
      </c>
      <c r="AB43" s="149" t="str">
        <f t="shared" si="1"/>
        <v>select distinct(chartid) from events where ecode ='530A' and chartid in ( select distinct(chartid) from events where ecode ='Z40D' and chartid in ( @))</v>
      </c>
      <c r="AC43" s="149" t="str">
        <f t="shared" si="2"/>
        <v/>
      </c>
      <c r="AD43" s="149" t="str">
        <f t="shared" si="3"/>
        <v/>
      </c>
    </row>
    <row r="44" spans="1:30" s="13" customFormat="1">
      <c r="A44" s="340">
        <f t="shared" si="6"/>
        <v>38</v>
      </c>
      <c r="B44" s="143" t="s">
        <v>485</v>
      </c>
      <c r="C44" s="111" t="s">
        <v>419</v>
      </c>
      <c r="D44" s="169"/>
      <c r="E44" s="126" t="s">
        <v>421</v>
      </c>
      <c r="F44" s="126"/>
      <c r="G44" s="126"/>
      <c r="H44" s="348" t="s">
        <v>392</v>
      </c>
      <c r="I44" s="419"/>
      <c r="J44" s="337"/>
      <c r="K44" s="317" t="str">
        <f t="shared" si="4"/>
        <v/>
      </c>
      <c r="L44" s="149" t="str">
        <f t="shared" si="0"/>
        <v>.,'Z40D','530A'</v>
      </c>
      <c r="M44" s="123"/>
      <c r="N44" s="123"/>
      <c r="O44" s="123"/>
      <c r="P44" s="123"/>
      <c r="Q44" s="123"/>
      <c r="R44" s="123"/>
      <c r="S44" s="124"/>
      <c r="T44" s="124"/>
      <c r="V44" s="75" t="str">
        <f t="shared" si="5"/>
        <v/>
      </c>
      <c r="AB44" s="149" t="str">
        <f t="shared" si="1"/>
        <v>select distinct(chartid) from events where ecode ='530A' and chartid in ( select distinct(chartid) from events where ecode ='Z40D' and chartid in ( @))</v>
      </c>
      <c r="AC44" s="149" t="str">
        <f t="shared" si="2"/>
        <v/>
      </c>
      <c r="AD44" s="149" t="str">
        <f t="shared" si="3"/>
        <v/>
      </c>
    </row>
    <row r="45" spans="1:30" s="13" customFormat="1">
      <c r="A45" s="340">
        <f t="shared" si="6"/>
        <v>39</v>
      </c>
      <c r="B45" s="143" t="s">
        <v>486</v>
      </c>
      <c r="C45" s="111" t="s">
        <v>419</v>
      </c>
      <c r="D45" s="169"/>
      <c r="E45" s="126" t="s">
        <v>422</v>
      </c>
      <c r="F45" s="126"/>
      <c r="G45" s="126"/>
      <c r="H45" s="348" t="s">
        <v>392</v>
      </c>
      <c r="I45" s="419"/>
      <c r="J45" s="337"/>
      <c r="K45" s="317" t="str">
        <f t="shared" si="4"/>
        <v/>
      </c>
      <c r="L45" s="149" t="str">
        <f t="shared" si="0"/>
        <v>.,'Z40D','530A'</v>
      </c>
      <c r="M45" s="123"/>
      <c r="N45" s="123"/>
      <c r="O45" s="123"/>
      <c r="P45" s="123"/>
      <c r="Q45" s="123"/>
      <c r="R45" s="123"/>
      <c r="S45" s="124"/>
      <c r="T45" s="124"/>
      <c r="V45" s="75" t="str">
        <f t="shared" si="5"/>
        <v/>
      </c>
      <c r="AB45" s="149" t="str">
        <f t="shared" si="1"/>
        <v>select distinct(chartid) from events where ecode ='530A' and chartid in ( select distinct(chartid) from events where ecode ='Z40D' and chartid in ( @))</v>
      </c>
      <c r="AC45" s="149" t="str">
        <f t="shared" si="2"/>
        <v/>
      </c>
      <c r="AD45" s="149" t="str">
        <f t="shared" si="3"/>
        <v/>
      </c>
    </row>
    <row r="46" spans="1:30" s="13" customFormat="1">
      <c r="A46" s="340">
        <f t="shared" si="6"/>
        <v>40</v>
      </c>
      <c r="B46" s="143" t="s">
        <v>487</v>
      </c>
      <c r="C46" s="111" t="s">
        <v>419</v>
      </c>
      <c r="D46" s="169"/>
      <c r="E46" s="126" t="s">
        <v>423</v>
      </c>
      <c r="F46" s="126"/>
      <c r="G46" s="126"/>
      <c r="H46" s="348" t="s">
        <v>392</v>
      </c>
      <c r="I46" s="419"/>
      <c r="J46" s="337"/>
      <c r="K46" s="317" t="str">
        <f t="shared" si="4"/>
        <v/>
      </c>
      <c r="L46" s="149" t="str">
        <f t="shared" si="0"/>
        <v>.,'Z40D','530A'</v>
      </c>
      <c r="M46" s="123"/>
      <c r="N46" s="123"/>
      <c r="O46" s="123"/>
      <c r="P46" s="123"/>
      <c r="Q46" s="123"/>
      <c r="R46" s="123"/>
      <c r="S46" s="124"/>
      <c r="T46" s="124"/>
      <c r="V46" s="75" t="str">
        <f t="shared" si="5"/>
        <v/>
      </c>
      <c r="AB46" s="149" t="str">
        <f t="shared" si="1"/>
        <v>select distinct(chartid) from events where ecode ='530A' and chartid in ( select distinct(chartid) from events where ecode ='Z40D' and chartid in ( @))</v>
      </c>
      <c r="AC46" s="149" t="str">
        <f t="shared" si="2"/>
        <v/>
      </c>
      <c r="AD46" s="149" t="str">
        <f t="shared" si="3"/>
        <v/>
      </c>
    </row>
    <row r="47" spans="1:30" s="13" customFormat="1">
      <c r="A47" s="340">
        <f t="shared" si="6"/>
        <v>41</v>
      </c>
      <c r="B47" s="143" t="s">
        <v>488</v>
      </c>
      <c r="C47" s="111" t="s">
        <v>415</v>
      </c>
      <c r="D47" s="169"/>
      <c r="E47" s="126" t="s">
        <v>381</v>
      </c>
      <c r="F47" s="126"/>
      <c r="G47" s="126"/>
      <c r="H47" s="348" t="s">
        <v>392</v>
      </c>
      <c r="I47" s="419"/>
      <c r="J47" s="337"/>
      <c r="K47" s="317" t="str">
        <f t="shared" si="4"/>
        <v/>
      </c>
      <c r="L47" s="149" t="str">
        <f t="shared" si="0"/>
        <v>.,'Z40D','530A'</v>
      </c>
      <c r="M47" s="123"/>
      <c r="N47" s="123"/>
      <c r="O47" s="123"/>
      <c r="P47" s="123"/>
      <c r="Q47" s="123"/>
      <c r="R47" s="123"/>
      <c r="S47" s="124"/>
      <c r="T47" s="124"/>
      <c r="V47" s="75" t="str">
        <f t="shared" si="5"/>
        <v/>
      </c>
      <c r="AB47" s="149" t="str">
        <f t="shared" si="1"/>
        <v>select distinct(chartid) from events where ecode ='530A' and chartid in ( select distinct(chartid) from events where ecode ='Z40D' and chartid in ( @))</v>
      </c>
      <c r="AC47" s="149" t="str">
        <f t="shared" si="2"/>
        <v/>
      </c>
      <c r="AD47" s="149" t="str">
        <f t="shared" si="3"/>
        <v/>
      </c>
    </row>
    <row r="48" spans="1:30" s="13" customFormat="1">
      <c r="A48" s="340">
        <f t="shared" si="6"/>
        <v>42</v>
      </c>
      <c r="B48" s="143" t="s">
        <v>489</v>
      </c>
      <c r="C48" s="111" t="s">
        <v>415</v>
      </c>
      <c r="D48" s="169"/>
      <c r="E48" s="126" t="s">
        <v>356</v>
      </c>
      <c r="F48" s="126"/>
      <c r="G48" s="126"/>
      <c r="H48" s="348" t="s">
        <v>392</v>
      </c>
      <c r="I48" s="419"/>
      <c r="J48" s="337"/>
      <c r="K48" s="317" t="str">
        <f t="shared" si="4"/>
        <v/>
      </c>
      <c r="L48" s="149" t="str">
        <f t="shared" si="0"/>
        <v>.,'Z40D','530A'</v>
      </c>
      <c r="M48" s="123"/>
      <c r="N48" s="123"/>
      <c r="O48" s="123"/>
      <c r="P48" s="123"/>
      <c r="Q48" s="123"/>
      <c r="R48" s="123"/>
      <c r="S48" s="124"/>
      <c r="T48" s="124"/>
      <c r="V48" s="75" t="str">
        <f t="shared" si="5"/>
        <v/>
      </c>
      <c r="AB48" s="149" t="str">
        <f t="shared" si="1"/>
        <v>select distinct(chartid) from events where ecode ='530A' and chartid in ( select distinct(chartid) from events where ecode ='Z40D' and chartid in ( @))</v>
      </c>
      <c r="AC48" s="149" t="str">
        <f t="shared" si="2"/>
        <v/>
      </c>
      <c r="AD48" s="149" t="str">
        <f t="shared" si="3"/>
        <v/>
      </c>
    </row>
    <row r="49" spans="1:30" s="13" customFormat="1">
      <c r="A49" s="340">
        <f t="shared" si="6"/>
        <v>43</v>
      </c>
      <c r="B49" s="143" t="s">
        <v>490</v>
      </c>
      <c r="C49" s="111" t="s">
        <v>415</v>
      </c>
      <c r="D49" s="169"/>
      <c r="E49" s="126" t="s">
        <v>355</v>
      </c>
      <c r="F49" s="126"/>
      <c r="G49" s="126"/>
      <c r="H49" s="348" t="s">
        <v>303</v>
      </c>
      <c r="I49" s="419"/>
      <c r="J49" s="337"/>
      <c r="K49" s="317" t="str">
        <f t="shared" si="4"/>
        <v>'530A'</v>
      </c>
      <c r="L49" s="149" t="str">
        <f t="shared" si="0"/>
        <v>.,'Z40D','530A'</v>
      </c>
      <c r="M49" s="123"/>
      <c r="N49" s="123"/>
      <c r="O49" s="123"/>
      <c r="P49" s="123"/>
      <c r="Q49" s="123"/>
      <c r="R49" s="123"/>
      <c r="S49" s="124"/>
      <c r="T49" s="124"/>
      <c r="V49" s="75" t="str">
        <f t="shared" si="5"/>
        <v>select distinct(chartid) from events where ecode ='530A'</v>
      </c>
      <c r="AB49" s="149" t="str">
        <f t="shared" si="1"/>
        <v>select distinct(chartid) from events where ecode ='530A' and chartid in ( select distinct(chartid) from events where ecode ='Z40D' and chartid in ( @))</v>
      </c>
      <c r="AC49" s="149" t="str">
        <f t="shared" si="2"/>
        <v/>
      </c>
      <c r="AD49" s="149" t="str">
        <f t="shared" si="3"/>
        <v/>
      </c>
    </row>
    <row r="50" spans="1:30" s="13" customFormat="1">
      <c r="A50" s="340">
        <f t="shared" si="6"/>
        <v>44</v>
      </c>
      <c r="B50" s="143" t="s">
        <v>491</v>
      </c>
      <c r="C50" s="111" t="s">
        <v>415</v>
      </c>
      <c r="D50" s="169"/>
      <c r="E50" s="126" t="s">
        <v>416</v>
      </c>
      <c r="F50" s="126"/>
      <c r="G50" s="126"/>
      <c r="H50" s="348" t="s">
        <v>392</v>
      </c>
      <c r="I50" s="419"/>
      <c r="J50" s="337"/>
      <c r="K50" s="317" t="str">
        <f t="shared" si="4"/>
        <v/>
      </c>
      <c r="L50" s="149" t="str">
        <f t="shared" si="0"/>
        <v>.,'Z40D'</v>
      </c>
      <c r="M50" s="123"/>
      <c r="N50" s="123"/>
      <c r="O50" s="123"/>
      <c r="P50" s="123"/>
      <c r="Q50" s="123"/>
      <c r="R50" s="123"/>
      <c r="S50" s="124"/>
      <c r="T50" s="124"/>
      <c r="V50" s="75" t="str">
        <f t="shared" si="5"/>
        <v/>
      </c>
      <c r="AB50" s="149" t="str">
        <f t="shared" si="1"/>
        <v>select distinct(chartid) from events where ecode ='Z40D' and chartid in ( @)</v>
      </c>
      <c r="AC50" s="149" t="str">
        <f t="shared" si="2"/>
        <v/>
      </c>
      <c r="AD50" s="149" t="str">
        <f t="shared" si="3"/>
        <v/>
      </c>
    </row>
    <row r="51" spans="1:30" s="13" customFormat="1">
      <c r="A51" s="340">
        <f t="shared" si="6"/>
        <v>45</v>
      </c>
      <c r="B51" s="143" t="s">
        <v>492</v>
      </c>
      <c r="C51" s="111" t="s">
        <v>424</v>
      </c>
      <c r="D51" s="169"/>
      <c r="E51" s="126" t="s">
        <v>361</v>
      </c>
      <c r="F51" s="126"/>
      <c r="G51" s="126"/>
      <c r="H51" s="348" t="s">
        <v>392</v>
      </c>
      <c r="I51" s="419"/>
      <c r="J51" s="337"/>
      <c r="K51" s="317" t="str">
        <f t="shared" si="4"/>
        <v/>
      </c>
      <c r="L51" s="149" t="str">
        <f t="shared" si="0"/>
        <v>.,'Z40D'</v>
      </c>
      <c r="M51" s="123"/>
      <c r="N51" s="123"/>
      <c r="O51" s="123"/>
      <c r="P51" s="123"/>
      <c r="Q51" s="123"/>
      <c r="R51" s="123"/>
      <c r="S51" s="124"/>
      <c r="T51" s="124"/>
      <c r="V51" s="75" t="str">
        <f t="shared" si="5"/>
        <v/>
      </c>
      <c r="AB51" s="149" t="str">
        <f t="shared" si="1"/>
        <v>select distinct(chartid) from events where ecode ='Z40D' and chartid in ( @)</v>
      </c>
      <c r="AC51" s="149" t="str">
        <f t="shared" si="2"/>
        <v/>
      </c>
      <c r="AD51" s="149" t="str">
        <f t="shared" si="3"/>
        <v/>
      </c>
    </row>
    <row r="52" spans="1:30" s="13" customFormat="1">
      <c r="A52" s="340">
        <f t="shared" si="6"/>
        <v>46</v>
      </c>
      <c r="B52" s="143" t="s">
        <v>493</v>
      </c>
      <c r="C52" s="111" t="s">
        <v>424</v>
      </c>
      <c r="D52" s="169"/>
      <c r="E52" s="126" t="s">
        <v>425</v>
      </c>
      <c r="F52" s="126"/>
      <c r="G52" s="126"/>
      <c r="H52" s="348" t="s">
        <v>392</v>
      </c>
      <c r="I52" s="419"/>
      <c r="J52" s="337"/>
      <c r="K52" s="317" t="str">
        <f t="shared" si="4"/>
        <v/>
      </c>
      <c r="L52" s="149" t="str">
        <f t="shared" si="0"/>
        <v>.,'Z40D'</v>
      </c>
      <c r="M52" s="123"/>
      <c r="N52" s="123"/>
      <c r="O52" s="123"/>
      <c r="P52" s="123"/>
      <c r="Q52" s="123"/>
      <c r="R52" s="123"/>
      <c r="S52" s="124"/>
      <c r="T52" s="124"/>
      <c r="V52" s="75" t="str">
        <f t="shared" si="5"/>
        <v/>
      </c>
      <c r="AB52" s="149" t="str">
        <f t="shared" si="1"/>
        <v>select distinct(chartid) from events where ecode ='Z40D' and chartid in ( @)</v>
      </c>
      <c r="AC52" s="149" t="str">
        <f t="shared" si="2"/>
        <v/>
      </c>
      <c r="AD52" s="149" t="str">
        <f t="shared" si="3"/>
        <v/>
      </c>
    </row>
    <row r="53" spans="1:30" s="13" customFormat="1">
      <c r="A53" s="340">
        <f t="shared" si="6"/>
        <v>47</v>
      </c>
      <c r="B53" s="143" t="s">
        <v>494</v>
      </c>
      <c r="C53" s="111" t="s">
        <v>424</v>
      </c>
      <c r="D53" s="169"/>
      <c r="E53" s="126" t="s">
        <v>426</v>
      </c>
      <c r="F53" s="126"/>
      <c r="G53" s="126"/>
      <c r="H53" s="348" t="s">
        <v>392</v>
      </c>
      <c r="I53" s="419"/>
      <c r="J53" s="337"/>
      <c r="K53" s="317" t="str">
        <f t="shared" si="4"/>
        <v/>
      </c>
      <c r="L53" s="149" t="str">
        <f t="shared" si="0"/>
        <v>.,'Z40D'</v>
      </c>
      <c r="M53" s="123"/>
      <c r="N53" s="123"/>
      <c r="O53" s="123"/>
      <c r="P53" s="123"/>
      <c r="Q53" s="123"/>
      <c r="R53" s="123"/>
      <c r="S53" s="124"/>
      <c r="T53" s="124"/>
      <c r="V53" s="75" t="str">
        <f t="shared" si="5"/>
        <v/>
      </c>
      <c r="AB53" s="149" t="str">
        <f t="shared" si="1"/>
        <v>select distinct(chartid) from events where ecode ='Z40D' and chartid in ( @)</v>
      </c>
      <c r="AC53" s="149" t="str">
        <f t="shared" si="2"/>
        <v/>
      </c>
      <c r="AD53" s="149" t="str">
        <f t="shared" si="3"/>
        <v/>
      </c>
    </row>
    <row r="54" spans="1:30" s="13" customFormat="1">
      <c r="A54" s="340">
        <f t="shared" si="6"/>
        <v>48</v>
      </c>
      <c r="B54" s="143" t="s">
        <v>495</v>
      </c>
      <c r="C54" s="111" t="s">
        <v>424</v>
      </c>
      <c r="D54" s="169"/>
      <c r="E54" s="126" t="s">
        <v>364</v>
      </c>
      <c r="F54" s="126"/>
      <c r="G54" s="126"/>
      <c r="H54" s="348" t="s">
        <v>392</v>
      </c>
      <c r="I54" s="419"/>
      <c r="J54" s="337"/>
      <c r="K54" s="317" t="str">
        <f t="shared" si="4"/>
        <v/>
      </c>
      <c r="L54" s="149" t="str">
        <f t="shared" si="0"/>
        <v>.,'Z40D'</v>
      </c>
      <c r="M54" s="123"/>
      <c r="N54" s="123"/>
      <c r="O54" s="123"/>
      <c r="P54" s="123"/>
      <c r="Q54" s="123"/>
      <c r="R54" s="123"/>
      <c r="S54" s="124"/>
      <c r="T54" s="124"/>
      <c r="V54" s="75" t="str">
        <f t="shared" si="5"/>
        <v/>
      </c>
      <c r="AB54" s="149" t="str">
        <f t="shared" si="1"/>
        <v>select distinct(chartid) from events where ecode ='Z40D' and chartid in ( @)</v>
      </c>
      <c r="AC54" s="149" t="str">
        <f t="shared" si="2"/>
        <v/>
      </c>
      <c r="AD54" s="149" t="str">
        <f t="shared" si="3"/>
        <v/>
      </c>
    </row>
    <row r="55" spans="1:30" s="13" customFormat="1">
      <c r="A55" s="340">
        <f t="shared" si="6"/>
        <v>49</v>
      </c>
      <c r="B55" s="143" t="s">
        <v>496</v>
      </c>
      <c r="C55" s="111" t="s">
        <v>348</v>
      </c>
      <c r="D55" s="169"/>
      <c r="E55" s="126" t="s">
        <v>427</v>
      </c>
      <c r="F55" s="126"/>
      <c r="G55" s="126"/>
      <c r="H55" s="348" t="s">
        <v>392</v>
      </c>
      <c r="I55" s="419"/>
      <c r="J55" s="337"/>
      <c r="K55" s="317" t="str">
        <f t="shared" si="4"/>
        <v/>
      </c>
      <c r="L55" s="149" t="str">
        <f t="shared" si="0"/>
        <v>.,'Z40D'</v>
      </c>
      <c r="M55" s="123"/>
      <c r="N55" s="123"/>
      <c r="O55" s="123"/>
      <c r="P55" s="123"/>
      <c r="Q55" s="123"/>
      <c r="R55" s="123"/>
      <c r="S55" s="124"/>
      <c r="T55" s="124"/>
      <c r="V55" s="75" t="str">
        <f t="shared" si="5"/>
        <v/>
      </c>
      <c r="AB55" s="149" t="str">
        <f t="shared" si="1"/>
        <v>select distinct(chartid) from events where ecode ='Z40D' and chartid in ( @)</v>
      </c>
      <c r="AC55" s="149" t="str">
        <f t="shared" si="2"/>
        <v/>
      </c>
      <c r="AD55" s="149" t="str">
        <f t="shared" si="3"/>
        <v/>
      </c>
    </row>
    <row r="56" spans="1:30" s="13" customFormat="1">
      <c r="A56" s="340">
        <f t="shared" si="6"/>
        <v>50</v>
      </c>
      <c r="B56" s="143" t="s">
        <v>497</v>
      </c>
      <c r="C56" s="111" t="s">
        <v>348</v>
      </c>
      <c r="D56" s="169"/>
      <c r="E56" s="126" t="s">
        <v>373</v>
      </c>
      <c r="F56" s="126"/>
      <c r="G56" s="126"/>
      <c r="H56" s="348" t="s">
        <v>392</v>
      </c>
      <c r="I56" s="419"/>
      <c r="J56" s="337"/>
      <c r="K56" s="317" t="str">
        <f t="shared" si="4"/>
        <v/>
      </c>
      <c r="L56" s="149" t="str">
        <f t="shared" si="0"/>
        <v>.,'Z40D'</v>
      </c>
      <c r="M56" s="123"/>
      <c r="N56" s="123"/>
      <c r="O56" s="123"/>
      <c r="P56" s="123"/>
      <c r="Q56" s="123"/>
      <c r="R56" s="123"/>
      <c r="S56" s="124"/>
      <c r="T56" s="124"/>
      <c r="V56" s="75" t="str">
        <f t="shared" si="5"/>
        <v/>
      </c>
      <c r="AB56" s="149" t="str">
        <f t="shared" si="1"/>
        <v>select distinct(chartid) from events where ecode ='Z40D' and chartid in ( @)</v>
      </c>
      <c r="AC56" s="149" t="str">
        <f t="shared" si="2"/>
        <v/>
      </c>
      <c r="AD56" s="149" t="str">
        <f t="shared" si="3"/>
        <v/>
      </c>
    </row>
    <row r="57" spans="1:30" s="13" customFormat="1">
      <c r="A57" s="340">
        <f t="shared" si="6"/>
        <v>51</v>
      </c>
      <c r="B57" s="143" t="s">
        <v>498</v>
      </c>
      <c r="C57" s="111" t="s">
        <v>348</v>
      </c>
      <c r="D57" s="169"/>
      <c r="E57" s="126" t="s">
        <v>428</v>
      </c>
      <c r="F57" s="126"/>
      <c r="G57" s="126"/>
      <c r="H57" s="348" t="s">
        <v>392</v>
      </c>
      <c r="I57" s="419"/>
      <c r="J57" s="337"/>
      <c r="K57" s="317" t="str">
        <f t="shared" si="4"/>
        <v/>
      </c>
      <c r="L57" s="149" t="str">
        <f t="shared" si="0"/>
        <v>.,'Z40D'</v>
      </c>
      <c r="M57" s="123"/>
      <c r="N57" s="123"/>
      <c r="O57" s="123"/>
      <c r="P57" s="123"/>
      <c r="Q57" s="123"/>
      <c r="R57" s="123"/>
      <c r="S57" s="124"/>
      <c r="T57" s="124"/>
      <c r="V57" s="75" t="str">
        <f t="shared" si="5"/>
        <v/>
      </c>
      <c r="AB57" s="149" t="str">
        <f t="shared" si="1"/>
        <v>select distinct(chartid) from events where ecode ='Z40D' and chartid in ( @)</v>
      </c>
      <c r="AC57" s="149" t="str">
        <f t="shared" si="2"/>
        <v/>
      </c>
      <c r="AD57" s="149" t="str">
        <f t="shared" si="3"/>
        <v/>
      </c>
    </row>
    <row r="58" spans="1:30" s="13" customFormat="1">
      <c r="A58" s="340">
        <f t="shared" si="6"/>
        <v>52</v>
      </c>
      <c r="B58" s="143" t="s">
        <v>499</v>
      </c>
      <c r="C58" s="111" t="s">
        <v>348</v>
      </c>
      <c r="D58" s="169"/>
      <c r="E58" s="126" t="s">
        <v>429</v>
      </c>
      <c r="F58" s="126"/>
      <c r="G58" s="126"/>
      <c r="H58" s="348" t="s">
        <v>392</v>
      </c>
      <c r="I58" s="419"/>
      <c r="J58" s="337"/>
      <c r="K58" s="317" t="str">
        <f t="shared" si="4"/>
        <v/>
      </c>
      <c r="L58" s="149" t="str">
        <f t="shared" si="0"/>
        <v>.,'Z40D'</v>
      </c>
      <c r="M58" s="123"/>
      <c r="N58" s="123"/>
      <c r="O58" s="123"/>
      <c r="P58" s="123"/>
      <c r="Q58" s="123"/>
      <c r="R58" s="123"/>
      <c r="S58" s="124"/>
      <c r="T58" s="124"/>
      <c r="V58" s="75" t="str">
        <f t="shared" si="5"/>
        <v/>
      </c>
      <c r="AB58" s="149" t="str">
        <f t="shared" si="1"/>
        <v>select distinct(chartid) from events where ecode ='Z40D' and chartid in ( @)</v>
      </c>
      <c r="AC58" s="149" t="str">
        <f t="shared" si="2"/>
        <v/>
      </c>
      <c r="AD58" s="149" t="str">
        <f t="shared" si="3"/>
        <v/>
      </c>
    </row>
    <row r="59" spans="1:30" s="13" customFormat="1">
      <c r="A59" s="340">
        <f t="shared" si="6"/>
        <v>53</v>
      </c>
      <c r="B59" s="143" t="s">
        <v>500</v>
      </c>
      <c r="C59" s="111" t="s">
        <v>348</v>
      </c>
      <c r="D59" s="169"/>
      <c r="E59" s="126" t="s">
        <v>364</v>
      </c>
      <c r="F59" s="126"/>
      <c r="G59" s="126"/>
      <c r="H59" s="348" t="s">
        <v>392</v>
      </c>
      <c r="I59" s="419"/>
      <c r="J59" s="337"/>
      <c r="K59" s="317" t="str">
        <f t="shared" si="4"/>
        <v/>
      </c>
      <c r="L59" s="149" t="str">
        <f t="shared" si="0"/>
        <v>.,'Z40D'</v>
      </c>
      <c r="M59" s="123"/>
      <c r="N59" s="123"/>
      <c r="O59" s="123"/>
      <c r="P59" s="123"/>
      <c r="Q59" s="123"/>
      <c r="R59" s="123"/>
      <c r="S59" s="124"/>
      <c r="T59" s="124"/>
      <c r="V59" s="75" t="str">
        <f t="shared" si="5"/>
        <v/>
      </c>
      <c r="AB59" s="149" t="str">
        <f t="shared" si="1"/>
        <v>select distinct(chartid) from events where ecode ='Z40D' and chartid in ( @)</v>
      </c>
      <c r="AC59" s="149" t="str">
        <f t="shared" si="2"/>
        <v/>
      </c>
      <c r="AD59" s="149" t="str">
        <f t="shared" si="3"/>
        <v/>
      </c>
    </row>
    <row r="60" spans="1:30" s="13" customFormat="1">
      <c r="A60" s="340">
        <f t="shared" si="6"/>
        <v>54</v>
      </c>
      <c r="B60" s="143" t="s">
        <v>501</v>
      </c>
      <c r="C60" s="111" t="s">
        <v>349</v>
      </c>
      <c r="D60" s="169"/>
      <c r="E60" s="126" t="s">
        <v>430</v>
      </c>
      <c r="F60" s="126"/>
      <c r="G60" s="126"/>
      <c r="H60" s="348" t="s">
        <v>392</v>
      </c>
      <c r="I60" s="419"/>
      <c r="J60" s="337"/>
      <c r="K60" s="317" t="str">
        <f t="shared" si="4"/>
        <v/>
      </c>
      <c r="L60" s="149" t="str">
        <f t="shared" si="0"/>
        <v>.,'Z40D'</v>
      </c>
      <c r="M60" s="123"/>
      <c r="N60" s="123"/>
      <c r="O60" s="123"/>
      <c r="P60" s="123"/>
      <c r="Q60" s="123"/>
      <c r="R60" s="123"/>
      <c r="S60" s="124"/>
      <c r="T60" s="124"/>
      <c r="V60" s="75" t="str">
        <f t="shared" si="5"/>
        <v/>
      </c>
      <c r="AB60" s="149" t="str">
        <f t="shared" si="1"/>
        <v>select distinct(chartid) from events where ecode ='Z40D' and chartid in ( @)</v>
      </c>
      <c r="AC60" s="149" t="str">
        <f t="shared" si="2"/>
        <v/>
      </c>
      <c r="AD60" s="149" t="str">
        <f t="shared" si="3"/>
        <v/>
      </c>
    </row>
    <row r="61" spans="1:30" s="13" customFormat="1">
      <c r="A61" s="340">
        <f t="shared" si="6"/>
        <v>55</v>
      </c>
      <c r="B61" s="143" t="s">
        <v>502</v>
      </c>
      <c r="C61" s="111" t="s">
        <v>349</v>
      </c>
      <c r="D61" s="169"/>
      <c r="E61" s="126" t="s">
        <v>431</v>
      </c>
      <c r="F61" s="126"/>
      <c r="G61" s="126"/>
      <c r="H61" s="348" t="s">
        <v>392</v>
      </c>
      <c r="I61" s="419"/>
      <c r="J61" s="337"/>
      <c r="K61" s="317" t="str">
        <f t="shared" si="4"/>
        <v/>
      </c>
      <c r="L61" s="149" t="str">
        <f t="shared" si="0"/>
        <v>.,'Z40D'</v>
      </c>
      <c r="M61" s="123"/>
      <c r="N61" s="123"/>
      <c r="O61" s="123"/>
      <c r="P61" s="123"/>
      <c r="Q61" s="123"/>
      <c r="R61" s="123"/>
      <c r="S61" s="124"/>
      <c r="T61" s="124"/>
      <c r="V61" s="75" t="str">
        <f t="shared" si="5"/>
        <v/>
      </c>
      <c r="AB61" s="149" t="str">
        <f t="shared" si="1"/>
        <v>select distinct(chartid) from events where ecode ='Z40D' and chartid in ( @)</v>
      </c>
      <c r="AC61" s="149" t="str">
        <f t="shared" si="2"/>
        <v/>
      </c>
      <c r="AD61" s="149" t="str">
        <f t="shared" si="3"/>
        <v/>
      </c>
    </row>
    <row r="62" spans="1:30" s="13" customFormat="1">
      <c r="A62" s="340">
        <f t="shared" si="6"/>
        <v>56</v>
      </c>
      <c r="B62" s="143" t="s">
        <v>503</v>
      </c>
      <c r="C62" s="111" t="s">
        <v>349</v>
      </c>
      <c r="D62" s="169"/>
      <c r="E62" s="126" t="s">
        <v>432</v>
      </c>
      <c r="F62" s="126"/>
      <c r="G62" s="126"/>
      <c r="H62" s="348" t="s">
        <v>392</v>
      </c>
      <c r="I62" s="419"/>
      <c r="J62" s="337"/>
      <c r="K62" s="317" t="str">
        <f t="shared" si="4"/>
        <v/>
      </c>
      <c r="L62" s="149" t="str">
        <f t="shared" si="0"/>
        <v>.,'Z40D'</v>
      </c>
      <c r="M62" s="123"/>
      <c r="N62" s="123"/>
      <c r="O62" s="123"/>
      <c r="P62" s="123"/>
      <c r="Q62" s="123"/>
      <c r="R62" s="123"/>
      <c r="S62" s="124"/>
      <c r="T62" s="124"/>
      <c r="V62" s="75" t="str">
        <f t="shared" si="5"/>
        <v/>
      </c>
      <c r="AB62" s="149" t="str">
        <f t="shared" si="1"/>
        <v>select distinct(chartid) from events where ecode ='Z40D' and chartid in ( @)</v>
      </c>
      <c r="AC62" s="149" t="str">
        <f t="shared" si="2"/>
        <v/>
      </c>
      <c r="AD62" s="149" t="str">
        <f t="shared" si="3"/>
        <v/>
      </c>
    </row>
    <row r="63" spans="1:30" s="13" customFormat="1">
      <c r="A63" s="340">
        <f t="shared" si="6"/>
        <v>57</v>
      </c>
      <c r="B63" s="143" t="s">
        <v>504</v>
      </c>
      <c r="C63" s="111" t="s">
        <v>349</v>
      </c>
      <c r="D63" s="169"/>
      <c r="E63" s="126" t="s">
        <v>433</v>
      </c>
      <c r="F63" s="126"/>
      <c r="G63" s="126"/>
      <c r="H63" s="348" t="s">
        <v>392</v>
      </c>
      <c r="I63" s="419"/>
      <c r="J63" s="337"/>
      <c r="K63" s="317" t="str">
        <f t="shared" si="4"/>
        <v/>
      </c>
      <c r="L63" s="149" t="str">
        <f t="shared" si="0"/>
        <v>.,'Z40D'</v>
      </c>
      <c r="M63" s="123"/>
      <c r="N63" s="123"/>
      <c r="O63" s="123"/>
      <c r="P63" s="123"/>
      <c r="Q63" s="123"/>
      <c r="R63" s="123"/>
      <c r="S63" s="124"/>
      <c r="T63" s="124"/>
      <c r="V63" s="75" t="str">
        <f t="shared" si="5"/>
        <v/>
      </c>
      <c r="AB63" s="149" t="str">
        <f t="shared" si="1"/>
        <v>select distinct(chartid) from events where ecode ='Z40D' and chartid in ( @)</v>
      </c>
      <c r="AC63" s="149" t="str">
        <f t="shared" si="2"/>
        <v/>
      </c>
      <c r="AD63" s="149" t="str">
        <f t="shared" si="3"/>
        <v/>
      </c>
    </row>
    <row r="64" spans="1:30" s="13" customFormat="1">
      <c r="A64" s="340">
        <f t="shared" si="6"/>
        <v>58</v>
      </c>
      <c r="B64" s="143" t="s">
        <v>505</v>
      </c>
      <c r="C64" s="111" t="s">
        <v>434</v>
      </c>
      <c r="D64" s="169"/>
      <c r="E64" s="126" t="s">
        <v>435</v>
      </c>
      <c r="F64" s="126"/>
      <c r="G64" s="126"/>
      <c r="H64" s="348" t="s">
        <v>392</v>
      </c>
      <c r="I64" s="419"/>
      <c r="J64" s="337"/>
      <c r="K64" s="317" t="str">
        <f t="shared" si="4"/>
        <v/>
      </c>
      <c r="L64" s="149" t="str">
        <f t="shared" si="0"/>
        <v>.,'Z40D'</v>
      </c>
      <c r="M64" s="123"/>
      <c r="N64" s="123"/>
      <c r="O64" s="123"/>
      <c r="P64" s="123"/>
      <c r="Q64" s="123"/>
      <c r="R64" s="123"/>
      <c r="S64" s="124"/>
      <c r="T64" s="124"/>
      <c r="V64" s="75" t="str">
        <f t="shared" si="5"/>
        <v/>
      </c>
      <c r="AB64" s="149" t="str">
        <f t="shared" si="1"/>
        <v>select distinct(chartid) from events where ecode ='Z40D' and chartid in ( @)</v>
      </c>
      <c r="AC64" s="149" t="str">
        <f t="shared" si="2"/>
        <v/>
      </c>
      <c r="AD64" s="149" t="str">
        <f t="shared" si="3"/>
        <v/>
      </c>
    </row>
    <row r="65" spans="1:30" s="13" customFormat="1">
      <c r="A65" s="340">
        <f t="shared" si="6"/>
        <v>59</v>
      </c>
      <c r="B65" s="143" t="s">
        <v>506</v>
      </c>
      <c r="C65" s="111" t="s">
        <v>434</v>
      </c>
      <c r="D65" s="169"/>
      <c r="E65" s="126" t="s">
        <v>436</v>
      </c>
      <c r="F65" s="126"/>
      <c r="G65" s="126"/>
      <c r="H65" s="348" t="s">
        <v>392</v>
      </c>
      <c r="I65" s="419"/>
      <c r="J65" s="337"/>
      <c r="K65" s="317" t="str">
        <f t="shared" si="4"/>
        <v/>
      </c>
      <c r="L65" s="149" t="str">
        <f t="shared" si="0"/>
        <v>.,'Z40D'</v>
      </c>
      <c r="M65" s="123"/>
      <c r="N65" s="123"/>
      <c r="O65" s="123"/>
      <c r="P65" s="123"/>
      <c r="Q65" s="123"/>
      <c r="R65" s="123"/>
      <c r="S65" s="124"/>
      <c r="T65" s="124"/>
      <c r="V65" s="75" t="str">
        <f t="shared" si="5"/>
        <v/>
      </c>
      <c r="AB65" s="149" t="str">
        <f t="shared" si="1"/>
        <v>select distinct(chartid) from events where ecode ='Z40D' and chartid in ( @)</v>
      </c>
      <c r="AC65" s="149" t="str">
        <f t="shared" si="2"/>
        <v/>
      </c>
      <c r="AD65" s="149" t="str">
        <f t="shared" si="3"/>
        <v/>
      </c>
    </row>
    <row r="66" spans="1:30" s="13" customFormat="1">
      <c r="A66" s="340">
        <f t="shared" si="6"/>
        <v>60</v>
      </c>
      <c r="B66" s="143" t="s">
        <v>507</v>
      </c>
      <c r="C66" s="111" t="s">
        <v>434</v>
      </c>
      <c r="D66" s="169"/>
      <c r="E66" s="126" t="s">
        <v>437</v>
      </c>
      <c r="F66" s="126"/>
      <c r="G66" s="126"/>
      <c r="H66" s="348" t="s">
        <v>392</v>
      </c>
      <c r="I66" s="419"/>
      <c r="J66" s="337"/>
      <c r="K66" s="317" t="str">
        <f t="shared" si="4"/>
        <v/>
      </c>
      <c r="L66" s="149" t="str">
        <f t="shared" si="0"/>
        <v>.,'Z40D'</v>
      </c>
      <c r="M66" s="123"/>
      <c r="N66" s="123"/>
      <c r="O66" s="123"/>
      <c r="P66" s="123"/>
      <c r="Q66" s="123"/>
      <c r="R66" s="123"/>
      <c r="S66" s="124"/>
      <c r="T66" s="124"/>
      <c r="V66" s="75" t="str">
        <f t="shared" si="5"/>
        <v/>
      </c>
      <c r="AB66" s="149" t="str">
        <f t="shared" si="1"/>
        <v>select distinct(chartid) from events where ecode ='Z40D' and chartid in ( @)</v>
      </c>
      <c r="AC66" s="149" t="str">
        <f t="shared" si="2"/>
        <v/>
      </c>
      <c r="AD66" s="149" t="str">
        <f t="shared" si="3"/>
        <v/>
      </c>
    </row>
    <row r="67" spans="1:30" s="13" customFormat="1">
      <c r="A67" s="340">
        <f t="shared" si="6"/>
        <v>61</v>
      </c>
      <c r="B67" s="143" t="s">
        <v>508</v>
      </c>
      <c r="C67" s="111" t="s">
        <v>351</v>
      </c>
      <c r="D67" s="169"/>
      <c r="E67" s="126" t="s">
        <v>438</v>
      </c>
      <c r="F67" s="126"/>
      <c r="G67" s="126"/>
      <c r="H67" s="348" t="s">
        <v>392</v>
      </c>
      <c r="I67" s="419"/>
      <c r="J67" s="337"/>
      <c r="K67" s="317" t="str">
        <f t="shared" si="4"/>
        <v/>
      </c>
      <c r="L67" s="149" t="str">
        <f t="shared" si="0"/>
        <v>.,'Z40D'</v>
      </c>
      <c r="M67" s="123"/>
      <c r="N67" s="123"/>
      <c r="O67" s="123"/>
      <c r="P67" s="123"/>
      <c r="Q67" s="123"/>
      <c r="R67" s="123"/>
      <c r="S67" s="124"/>
      <c r="T67" s="124"/>
      <c r="V67" s="75" t="str">
        <f t="shared" si="5"/>
        <v/>
      </c>
      <c r="AB67" s="149" t="str">
        <f t="shared" si="1"/>
        <v>select distinct(chartid) from events where ecode ='Z40D' and chartid in ( @)</v>
      </c>
      <c r="AC67" s="149" t="str">
        <f t="shared" si="2"/>
        <v/>
      </c>
      <c r="AD67" s="149" t="str">
        <f t="shared" si="3"/>
        <v/>
      </c>
    </row>
    <row r="68" spans="1:30" s="13" customFormat="1">
      <c r="A68" s="340">
        <f t="shared" si="6"/>
        <v>62</v>
      </c>
      <c r="B68" s="143" t="s">
        <v>509</v>
      </c>
      <c r="C68" s="111" t="s">
        <v>351</v>
      </c>
      <c r="D68" s="169"/>
      <c r="E68" s="126" t="s">
        <v>439</v>
      </c>
      <c r="F68" s="126"/>
      <c r="G68" s="126"/>
      <c r="H68" s="348" t="s">
        <v>392</v>
      </c>
      <c r="I68" s="419"/>
      <c r="J68" s="337"/>
      <c r="K68" s="317" t="str">
        <f t="shared" si="4"/>
        <v/>
      </c>
      <c r="L68" s="149" t="str">
        <f t="shared" si="0"/>
        <v>.,'Z40D'</v>
      </c>
      <c r="M68" s="123"/>
      <c r="N68" s="123"/>
      <c r="O68" s="123"/>
      <c r="P68" s="123"/>
      <c r="Q68" s="123"/>
      <c r="R68" s="123"/>
      <c r="S68" s="124"/>
      <c r="T68" s="124"/>
      <c r="V68" s="75" t="str">
        <f t="shared" si="5"/>
        <v/>
      </c>
      <c r="AB68" s="149" t="str">
        <f t="shared" si="1"/>
        <v>select distinct(chartid) from events where ecode ='Z40D' and chartid in ( @)</v>
      </c>
      <c r="AC68" s="149" t="str">
        <f t="shared" si="2"/>
        <v/>
      </c>
      <c r="AD68" s="149" t="str">
        <f t="shared" si="3"/>
        <v/>
      </c>
    </row>
    <row r="69" spans="1:30" s="13" customFormat="1">
      <c r="A69" s="340">
        <f t="shared" si="6"/>
        <v>63</v>
      </c>
      <c r="B69" s="143" t="s">
        <v>510</v>
      </c>
      <c r="C69" s="111" t="s">
        <v>351</v>
      </c>
      <c r="D69" s="169"/>
      <c r="E69" s="126" t="s">
        <v>440</v>
      </c>
      <c r="F69" s="126"/>
      <c r="G69" s="126"/>
      <c r="H69" s="348" t="s">
        <v>392</v>
      </c>
      <c r="I69" s="419"/>
      <c r="J69" s="337"/>
      <c r="K69" s="317" t="str">
        <f t="shared" si="4"/>
        <v/>
      </c>
      <c r="L69" s="149" t="str">
        <f t="shared" si="0"/>
        <v>.,'Z40D'</v>
      </c>
      <c r="M69" s="123"/>
      <c r="N69" s="123"/>
      <c r="O69" s="123"/>
      <c r="P69" s="123"/>
      <c r="Q69" s="123"/>
      <c r="R69" s="123"/>
      <c r="S69" s="124"/>
      <c r="T69" s="124"/>
      <c r="V69" s="75" t="str">
        <f t="shared" si="5"/>
        <v/>
      </c>
      <c r="AB69" s="149" t="str">
        <f t="shared" si="1"/>
        <v>select distinct(chartid) from events where ecode ='Z40D' and chartid in ( @)</v>
      </c>
      <c r="AC69" s="149" t="str">
        <f t="shared" si="2"/>
        <v/>
      </c>
      <c r="AD69" s="149" t="str">
        <f t="shared" si="3"/>
        <v/>
      </c>
    </row>
    <row r="70" spans="1:30" s="13" customFormat="1">
      <c r="A70" s="340">
        <f t="shared" si="6"/>
        <v>64</v>
      </c>
      <c r="B70" s="143" t="s">
        <v>511</v>
      </c>
      <c r="C70" s="111" t="s">
        <v>441</v>
      </c>
      <c r="D70" s="169"/>
      <c r="E70" s="126" t="s">
        <v>357</v>
      </c>
      <c r="F70" s="126"/>
      <c r="G70" s="126"/>
      <c r="H70" s="348" t="s">
        <v>392</v>
      </c>
      <c r="I70" s="419"/>
      <c r="J70" s="337"/>
      <c r="K70" s="317" t="str">
        <f t="shared" si="4"/>
        <v/>
      </c>
      <c r="L70" s="149" t="str">
        <f t="shared" ref="L70:L111" si="7">IF(K70="",CONCATENATE(L71,K70),CONCATENATE(L71,",",K70))</f>
        <v>.,'Z40D'</v>
      </c>
      <c r="M70" s="123"/>
      <c r="N70" s="123"/>
      <c r="O70" s="123"/>
      <c r="P70" s="123"/>
      <c r="Q70" s="123"/>
      <c r="R70" s="123"/>
      <c r="S70" s="124"/>
      <c r="T70" s="124"/>
      <c r="V70" s="75" t="str">
        <f t="shared" si="5"/>
        <v/>
      </c>
      <c r="AB70" s="149" t="str">
        <f t="shared" ref="AB70:AB110" si="8">IF(V70="",CONCATENATE(V70,AB71),CONCATENATE(V70," and chartid in ( ",AB71,")"))</f>
        <v>select distinct(chartid) from events where ecode ='Z40D' and chartid in ( @)</v>
      </c>
      <c r="AC70" s="149" t="str">
        <f t="shared" ref="AC70:AC110" si="9">IF(W70="",CONCATENATE(W70,AC71),CONCATENATE(W70," and chartid in ( ",AC71,")"))</f>
        <v/>
      </c>
      <c r="AD70" s="149" t="str">
        <f t="shared" ref="AD70:AD110" si="10">IF(X70="",CONCATENATE(X70,AD71),CONCATENATE(X70," and chartid in ( ",AD71,")"))</f>
        <v/>
      </c>
    </row>
    <row r="71" spans="1:30" s="13" customFormat="1">
      <c r="A71" s="340">
        <f t="shared" si="6"/>
        <v>65</v>
      </c>
      <c r="B71" s="143" t="s">
        <v>512</v>
      </c>
      <c r="C71" s="111" t="s">
        <v>441</v>
      </c>
      <c r="D71" s="169"/>
      <c r="E71" s="126" t="s">
        <v>358</v>
      </c>
      <c r="F71" s="126"/>
      <c r="G71" s="126"/>
      <c r="H71" s="348" t="s">
        <v>392</v>
      </c>
      <c r="I71" s="419"/>
      <c r="J71" s="337"/>
      <c r="K71" s="317" t="str">
        <f t="shared" ref="K71:K110" si="11">IF(H71="Y",CONCATENATE("'",B71,"'"),"")</f>
        <v/>
      </c>
      <c r="L71" s="149" t="str">
        <f t="shared" si="7"/>
        <v>.,'Z40D'</v>
      </c>
      <c r="M71" s="123"/>
      <c r="N71" s="123"/>
      <c r="O71" s="123"/>
      <c r="P71" s="123"/>
      <c r="Q71" s="123"/>
      <c r="R71" s="123"/>
      <c r="S71" s="124"/>
      <c r="T71" s="124"/>
      <c r="V71" s="75" t="str">
        <f t="shared" ref="V71:V111" si="12">IF(H71="Y",CONCATENATE(V$114,K71),"")</f>
        <v/>
      </c>
      <c r="AB71" s="149" t="str">
        <f t="shared" si="8"/>
        <v>select distinct(chartid) from events where ecode ='Z40D' and chartid in ( @)</v>
      </c>
      <c r="AC71" s="149" t="str">
        <f t="shared" si="9"/>
        <v/>
      </c>
      <c r="AD71" s="149" t="str">
        <f t="shared" si="10"/>
        <v/>
      </c>
    </row>
    <row r="72" spans="1:30" s="13" customFormat="1">
      <c r="A72" s="340">
        <f t="shared" si="6"/>
        <v>66</v>
      </c>
      <c r="B72" s="143" t="s">
        <v>513</v>
      </c>
      <c r="C72" s="111" t="s">
        <v>441</v>
      </c>
      <c r="D72" s="169"/>
      <c r="E72" s="126" t="s">
        <v>371</v>
      </c>
      <c r="F72" s="126"/>
      <c r="G72" s="126"/>
      <c r="H72" s="348" t="s">
        <v>392</v>
      </c>
      <c r="I72" s="419"/>
      <c r="J72" s="337"/>
      <c r="K72" s="317" t="str">
        <f t="shared" si="11"/>
        <v/>
      </c>
      <c r="L72" s="149" t="str">
        <f t="shared" si="7"/>
        <v>.,'Z40D'</v>
      </c>
      <c r="M72" s="123"/>
      <c r="N72" s="123"/>
      <c r="O72" s="123"/>
      <c r="P72" s="123"/>
      <c r="Q72" s="123"/>
      <c r="R72" s="123"/>
      <c r="S72" s="124"/>
      <c r="T72" s="124"/>
      <c r="V72" s="75" t="str">
        <f t="shared" si="12"/>
        <v/>
      </c>
      <c r="AB72" s="149" t="str">
        <f t="shared" si="8"/>
        <v>select distinct(chartid) from events where ecode ='Z40D' and chartid in ( @)</v>
      </c>
      <c r="AC72" s="149" t="str">
        <f t="shared" si="9"/>
        <v/>
      </c>
      <c r="AD72" s="149" t="str">
        <f t="shared" si="10"/>
        <v/>
      </c>
    </row>
    <row r="73" spans="1:30" s="13" customFormat="1">
      <c r="A73" s="340">
        <f t="shared" si="6"/>
        <v>67</v>
      </c>
      <c r="B73" s="143" t="s">
        <v>514</v>
      </c>
      <c r="C73" s="111" t="s">
        <v>441</v>
      </c>
      <c r="D73" s="169"/>
      <c r="E73" s="126" t="s">
        <v>372</v>
      </c>
      <c r="F73" s="126"/>
      <c r="G73" s="126"/>
      <c r="H73" s="348" t="s">
        <v>392</v>
      </c>
      <c r="I73" s="419"/>
      <c r="J73" s="337"/>
      <c r="K73" s="317" t="str">
        <f t="shared" si="11"/>
        <v/>
      </c>
      <c r="L73" s="149" t="str">
        <f t="shared" si="7"/>
        <v>.,'Z40D'</v>
      </c>
      <c r="M73" s="123"/>
      <c r="N73" s="123"/>
      <c r="O73" s="123"/>
      <c r="P73" s="123"/>
      <c r="Q73" s="123"/>
      <c r="R73" s="123"/>
      <c r="S73" s="124"/>
      <c r="T73" s="124"/>
      <c r="V73" s="75" t="str">
        <f t="shared" si="12"/>
        <v/>
      </c>
      <c r="AB73" s="149" t="str">
        <f t="shared" si="8"/>
        <v>select distinct(chartid) from events where ecode ='Z40D' and chartid in ( @)</v>
      </c>
      <c r="AC73" s="149" t="str">
        <f t="shared" si="9"/>
        <v/>
      </c>
      <c r="AD73" s="149" t="str">
        <f t="shared" si="10"/>
        <v/>
      </c>
    </row>
    <row r="74" spans="1:30" s="13" customFormat="1">
      <c r="A74" s="340">
        <f t="shared" si="6"/>
        <v>68</v>
      </c>
      <c r="B74" s="143" t="s">
        <v>515</v>
      </c>
      <c r="C74" s="111" t="s">
        <v>441</v>
      </c>
      <c r="D74" s="169"/>
      <c r="E74" s="126" t="s">
        <v>359</v>
      </c>
      <c r="F74" s="126"/>
      <c r="G74" s="126"/>
      <c r="H74" s="348" t="s">
        <v>392</v>
      </c>
      <c r="I74" s="419"/>
      <c r="J74" s="337"/>
      <c r="K74" s="317" t="str">
        <f t="shared" si="11"/>
        <v/>
      </c>
      <c r="L74" s="149" t="str">
        <f t="shared" si="7"/>
        <v>.,'Z40D'</v>
      </c>
      <c r="M74" s="123"/>
      <c r="N74" s="123"/>
      <c r="O74" s="123"/>
      <c r="P74" s="123"/>
      <c r="Q74" s="123"/>
      <c r="R74" s="123"/>
      <c r="S74" s="124"/>
      <c r="T74" s="124"/>
      <c r="V74" s="75" t="str">
        <f t="shared" si="12"/>
        <v/>
      </c>
      <c r="AB74" s="149" t="str">
        <f t="shared" si="8"/>
        <v>select distinct(chartid) from events where ecode ='Z40D' and chartid in ( @)</v>
      </c>
      <c r="AC74" s="149" t="str">
        <f t="shared" si="9"/>
        <v/>
      </c>
      <c r="AD74" s="149" t="str">
        <f t="shared" si="10"/>
        <v/>
      </c>
    </row>
    <row r="75" spans="1:30" s="13" customFormat="1">
      <c r="A75" s="340">
        <f t="shared" si="6"/>
        <v>69</v>
      </c>
      <c r="B75" s="143" t="s">
        <v>516</v>
      </c>
      <c r="C75" s="111" t="s">
        <v>441</v>
      </c>
      <c r="D75" s="169"/>
      <c r="E75" s="126" t="s">
        <v>360</v>
      </c>
      <c r="F75" s="126"/>
      <c r="G75" s="126"/>
      <c r="H75" s="348" t="s">
        <v>392</v>
      </c>
      <c r="I75" s="419"/>
      <c r="J75" s="337"/>
      <c r="K75" s="317" t="str">
        <f t="shared" si="11"/>
        <v/>
      </c>
      <c r="L75" s="149" t="str">
        <f t="shared" si="7"/>
        <v>.,'Z40D'</v>
      </c>
      <c r="M75" s="123"/>
      <c r="N75" s="123"/>
      <c r="O75" s="123"/>
      <c r="P75" s="123"/>
      <c r="Q75" s="123"/>
      <c r="R75" s="123"/>
      <c r="S75" s="124"/>
      <c r="T75" s="124"/>
      <c r="V75" s="75" t="str">
        <f t="shared" si="12"/>
        <v/>
      </c>
      <c r="AB75" s="149" t="str">
        <f t="shared" si="8"/>
        <v>select distinct(chartid) from events where ecode ='Z40D' and chartid in ( @)</v>
      </c>
      <c r="AC75" s="149" t="str">
        <f t="shared" si="9"/>
        <v/>
      </c>
      <c r="AD75" s="149" t="str">
        <f t="shared" si="10"/>
        <v/>
      </c>
    </row>
    <row r="76" spans="1:30" s="13" customFormat="1">
      <c r="A76" s="340">
        <f t="shared" si="6"/>
        <v>70</v>
      </c>
      <c r="B76" s="143" t="s">
        <v>517</v>
      </c>
      <c r="C76" s="111" t="s">
        <v>441</v>
      </c>
      <c r="D76" s="169"/>
      <c r="E76" s="126" t="s">
        <v>442</v>
      </c>
      <c r="F76" s="126"/>
      <c r="G76" s="126"/>
      <c r="H76" s="348" t="s">
        <v>392</v>
      </c>
      <c r="I76" s="419"/>
      <c r="J76" s="337"/>
      <c r="K76" s="317" t="str">
        <f t="shared" si="11"/>
        <v/>
      </c>
      <c r="L76" s="149" t="str">
        <f t="shared" si="7"/>
        <v>.,'Z40D'</v>
      </c>
      <c r="M76" s="123"/>
      <c r="N76" s="123"/>
      <c r="O76" s="123"/>
      <c r="P76" s="123"/>
      <c r="Q76" s="123"/>
      <c r="R76" s="123"/>
      <c r="S76" s="124"/>
      <c r="T76" s="124"/>
      <c r="V76" s="75" t="str">
        <f t="shared" si="12"/>
        <v/>
      </c>
      <c r="AB76" s="149" t="str">
        <f t="shared" si="8"/>
        <v>select distinct(chartid) from events where ecode ='Z40D' and chartid in ( @)</v>
      </c>
      <c r="AC76" s="149" t="str">
        <f t="shared" si="9"/>
        <v/>
      </c>
      <c r="AD76" s="149" t="str">
        <f t="shared" si="10"/>
        <v/>
      </c>
    </row>
    <row r="77" spans="1:30" s="13" customFormat="1">
      <c r="A77" s="340">
        <f t="shared" ref="A77:A112" si="13">ROW()-ROW($A$7)+1</f>
        <v>71</v>
      </c>
      <c r="B77" s="143" t="s">
        <v>518</v>
      </c>
      <c r="C77" s="111" t="s">
        <v>443</v>
      </c>
      <c r="D77" s="169"/>
      <c r="E77" s="126" t="s">
        <v>379</v>
      </c>
      <c r="F77" s="126"/>
      <c r="G77" s="126"/>
      <c r="H77" s="348" t="s">
        <v>392</v>
      </c>
      <c r="I77" s="419"/>
      <c r="J77" s="337"/>
      <c r="K77" s="317" t="str">
        <f t="shared" si="11"/>
        <v/>
      </c>
      <c r="L77" s="149" t="str">
        <f t="shared" si="7"/>
        <v>.,'Z40D'</v>
      </c>
      <c r="M77" s="123"/>
      <c r="N77" s="123"/>
      <c r="O77" s="123"/>
      <c r="P77" s="123"/>
      <c r="Q77" s="123"/>
      <c r="R77" s="123"/>
      <c r="S77" s="124"/>
      <c r="T77" s="124"/>
      <c r="V77" s="75" t="str">
        <f t="shared" si="12"/>
        <v/>
      </c>
      <c r="AB77" s="149" t="str">
        <f t="shared" si="8"/>
        <v>select distinct(chartid) from events where ecode ='Z40D' and chartid in ( @)</v>
      </c>
      <c r="AC77" s="149" t="str">
        <f t="shared" si="9"/>
        <v/>
      </c>
      <c r="AD77" s="149" t="str">
        <f t="shared" si="10"/>
        <v/>
      </c>
    </row>
    <row r="78" spans="1:30" s="13" customFormat="1">
      <c r="A78" s="340">
        <f t="shared" si="13"/>
        <v>72</v>
      </c>
      <c r="B78" s="143" t="s">
        <v>519</v>
      </c>
      <c r="C78" s="111" t="s">
        <v>443</v>
      </c>
      <c r="D78" s="169"/>
      <c r="E78" s="126" t="s">
        <v>361</v>
      </c>
      <c r="F78" s="126"/>
      <c r="G78" s="126"/>
      <c r="H78" s="348" t="s">
        <v>392</v>
      </c>
      <c r="I78" s="419"/>
      <c r="J78" s="337"/>
      <c r="K78" s="317" t="str">
        <f t="shared" si="11"/>
        <v/>
      </c>
      <c r="L78" s="149" t="str">
        <f t="shared" si="7"/>
        <v>.,'Z40D'</v>
      </c>
      <c r="M78" s="123"/>
      <c r="N78" s="123"/>
      <c r="O78" s="123"/>
      <c r="P78" s="123"/>
      <c r="Q78" s="123"/>
      <c r="R78" s="123"/>
      <c r="S78" s="124"/>
      <c r="T78" s="124"/>
      <c r="V78" s="75" t="str">
        <f t="shared" si="12"/>
        <v/>
      </c>
      <c r="AB78" s="149" t="str">
        <f t="shared" si="8"/>
        <v>select distinct(chartid) from events where ecode ='Z40D' and chartid in ( @)</v>
      </c>
      <c r="AC78" s="149" t="str">
        <f t="shared" si="9"/>
        <v/>
      </c>
      <c r="AD78" s="149" t="str">
        <f t="shared" si="10"/>
        <v/>
      </c>
    </row>
    <row r="79" spans="1:30" s="13" customFormat="1">
      <c r="A79" s="340">
        <f t="shared" si="13"/>
        <v>73</v>
      </c>
      <c r="B79" s="143" t="s">
        <v>520</v>
      </c>
      <c r="C79" s="111" t="s">
        <v>443</v>
      </c>
      <c r="D79" s="169"/>
      <c r="E79" s="126" t="s">
        <v>376</v>
      </c>
      <c r="F79" s="126"/>
      <c r="G79" s="126"/>
      <c r="H79" s="348" t="s">
        <v>392</v>
      </c>
      <c r="I79" s="419"/>
      <c r="J79" s="337"/>
      <c r="K79" s="317" t="str">
        <f t="shared" si="11"/>
        <v/>
      </c>
      <c r="L79" s="149" t="str">
        <f t="shared" si="7"/>
        <v>.,'Z40D'</v>
      </c>
      <c r="M79" s="123"/>
      <c r="N79" s="123"/>
      <c r="O79" s="123"/>
      <c r="P79" s="123"/>
      <c r="Q79" s="123"/>
      <c r="R79" s="123"/>
      <c r="S79" s="124"/>
      <c r="T79" s="124"/>
      <c r="V79" s="75" t="str">
        <f t="shared" si="12"/>
        <v/>
      </c>
      <c r="AB79" s="149" t="str">
        <f t="shared" si="8"/>
        <v>select distinct(chartid) from events where ecode ='Z40D' and chartid in ( @)</v>
      </c>
      <c r="AC79" s="149" t="str">
        <f t="shared" si="9"/>
        <v/>
      </c>
      <c r="AD79" s="149" t="str">
        <f t="shared" si="10"/>
        <v/>
      </c>
    </row>
    <row r="80" spans="1:30" s="13" customFormat="1">
      <c r="A80" s="340">
        <f t="shared" si="13"/>
        <v>74</v>
      </c>
      <c r="B80" s="143" t="s">
        <v>521</v>
      </c>
      <c r="C80" s="111" t="s">
        <v>443</v>
      </c>
      <c r="D80" s="169"/>
      <c r="E80" s="126" t="s">
        <v>362</v>
      </c>
      <c r="F80" s="126"/>
      <c r="G80" s="126"/>
      <c r="H80" s="348" t="s">
        <v>392</v>
      </c>
      <c r="I80" s="419"/>
      <c r="J80" s="337"/>
      <c r="K80" s="317" t="str">
        <f t="shared" si="11"/>
        <v/>
      </c>
      <c r="L80" s="149" t="str">
        <f t="shared" si="7"/>
        <v>.,'Z40D'</v>
      </c>
      <c r="M80" s="123"/>
      <c r="N80" s="123"/>
      <c r="O80" s="123"/>
      <c r="P80" s="123"/>
      <c r="Q80" s="123"/>
      <c r="R80" s="123"/>
      <c r="S80" s="124"/>
      <c r="T80" s="124"/>
      <c r="V80" s="75" t="str">
        <f t="shared" si="12"/>
        <v/>
      </c>
      <c r="AB80" s="149" t="str">
        <f t="shared" si="8"/>
        <v>select distinct(chartid) from events where ecode ='Z40D' and chartid in ( @)</v>
      </c>
      <c r="AC80" s="149" t="str">
        <f t="shared" si="9"/>
        <v/>
      </c>
      <c r="AD80" s="149" t="str">
        <f t="shared" si="10"/>
        <v/>
      </c>
    </row>
    <row r="81" spans="1:30" s="13" customFormat="1">
      <c r="A81" s="340">
        <f t="shared" si="13"/>
        <v>75</v>
      </c>
      <c r="B81" s="143" t="s">
        <v>522</v>
      </c>
      <c r="C81" s="111" t="s">
        <v>443</v>
      </c>
      <c r="D81" s="169"/>
      <c r="E81" s="126" t="s">
        <v>363</v>
      </c>
      <c r="F81" s="126"/>
      <c r="G81" s="126"/>
      <c r="H81" s="348" t="s">
        <v>392</v>
      </c>
      <c r="I81" s="419"/>
      <c r="J81" s="337"/>
      <c r="K81" s="317" t="str">
        <f t="shared" si="11"/>
        <v/>
      </c>
      <c r="L81" s="149" t="str">
        <f t="shared" si="7"/>
        <v>.,'Z40D'</v>
      </c>
      <c r="M81" s="123"/>
      <c r="N81" s="123"/>
      <c r="O81" s="123"/>
      <c r="P81" s="123"/>
      <c r="Q81" s="123"/>
      <c r="R81" s="123"/>
      <c r="S81" s="124"/>
      <c r="T81" s="124"/>
      <c r="V81" s="75" t="str">
        <f t="shared" si="12"/>
        <v/>
      </c>
      <c r="AB81" s="149" t="str">
        <f t="shared" si="8"/>
        <v>select distinct(chartid) from events where ecode ='Z40D' and chartid in ( @)</v>
      </c>
      <c r="AC81" s="149" t="str">
        <f t="shared" si="9"/>
        <v/>
      </c>
      <c r="AD81" s="149" t="str">
        <f t="shared" si="10"/>
        <v/>
      </c>
    </row>
    <row r="82" spans="1:30" s="13" customFormat="1">
      <c r="A82" s="340">
        <f t="shared" si="13"/>
        <v>76</v>
      </c>
      <c r="B82" s="143" t="s">
        <v>523</v>
      </c>
      <c r="C82" s="111" t="s">
        <v>443</v>
      </c>
      <c r="D82" s="169"/>
      <c r="E82" s="126" t="s">
        <v>364</v>
      </c>
      <c r="F82" s="126"/>
      <c r="G82" s="126"/>
      <c r="H82" s="348" t="s">
        <v>392</v>
      </c>
      <c r="I82" s="419"/>
      <c r="J82" s="337"/>
      <c r="K82" s="317" t="str">
        <f t="shared" si="11"/>
        <v/>
      </c>
      <c r="L82" s="149" t="str">
        <f t="shared" si="7"/>
        <v>.,'Z40D'</v>
      </c>
      <c r="M82" s="123"/>
      <c r="N82" s="123"/>
      <c r="O82" s="123"/>
      <c r="P82" s="123"/>
      <c r="Q82" s="123"/>
      <c r="R82" s="123"/>
      <c r="S82" s="124"/>
      <c r="T82" s="124"/>
      <c r="V82" s="75" t="str">
        <f t="shared" si="12"/>
        <v/>
      </c>
      <c r="AB82" s="149" t="str">
        <f t="shared" si="8"/>
        <v>select distinct(chartid) from events where ecode ='Z40D' and chartid in ( @)</v>
      </c>
      <c r="AC82" s="149" t="str">
        <f t="shared" si="9"/>
        <v/>
      </c>
      <c r="AD82" s="149" t="str">
        <f t="shared" si="10"/>
        <v/>
      </c>
    </row>
    <row r="83" spans="1:30" s="13" customFormat="1">
      <c r="A83" s="340">
        <f t="shared" si="13"/>
        <v>77</v>
      </c>
      <c r="B83" s="143" t="s">
        <v>524</v>
      </c>
      <c r="C83" s="111" t="s">
        <v>376</v>
      </c>
      <c r="D83" s="169"/>
      <c r="E83" s="126" t="s">
        <v>365</v>
      </c>
      <c r="F83" s="126"/>
      <c r="G83" s="126"/>
      <c r="H83" s="348" t="s">
        <v>392</v>
      </c>
      <c r="I83" s="419"/>
      <c r="J83" s="337"/>
      <c r="K83" s="317" t="str">
        <f t="shared" si="11"/>
        <v/>
      </c>
      <c r="L83" s="149" t="str">
        <f t="shared" si="7"/>
        <v>.,'Z40D'</v>
      </c>
      <c r="M83" s="123"/>
      <c r="N83" s="123"/>
      <c r="O83" s="123"/>
      <c r="P83" s="123"/>
      <c r="Q83" s="123"/>
      <c r="R83" s="123"/>
      <c r="S83" s="124"/>
      <c r="T83" s="124"/>
      <c r="V83" s="75" t="str">
        <f t="shared" si="12"/>
        <v/>
      </c>
      <c r="AB83" s="149" t="str">
        <f t="shared" si="8"/>
        <v>select distinct(chartid) from events where ecode ='Z40D' and chartid in ( @)</v>
      </c>
      <c r="AC83" s="149" t="str">
        <f t="shared" si="9"/>
        <v/>
      </c>
      <c r="AD83" s="149" t="str">
        <f t="shared" si="10"/>
        <v/>
      </c>
    </row>
    <row r="84" spans="1:30" s="13" customFormat="1">
      <c r="A84" s="340">
        <f t="shared" si="13"/>
        <v>78</v>
      </c>
      <c r="B84" s="143" t="s">
        <v>525</v>
      </c>
      <c r="C84" s="111" t="s">
        <v>376</v>
      </c>
      <c r="D84" s="169"/>
      <c r="E84" s="126" t="s">
        <v>366</v>
      </c>
      <c r="F84" s="126"/>
      <c r="G84" s="126"/>
      <c r="H84" s="348" t="s">
        <v>392</v>
      </c>
      <c r="I84" s="419"/>
      <c r="J84" s="337"/>
      <c r="K84" s="317" t="str">
        <f t="shared" si="11"/>
        <v/>
      </c>
      <c r="L84" s="149" t="str">
        <f t="shared" si="7"/>
        <v>.,'Z40D'</v>
      </c>
      <c r="M84" s="123"/>
      <c r="N84" s="123"/>
      <c r="O84" s="123"/>
      <c r="P84" s="123"/>
      <c r="Q84" s="123"/>
      <c r="R84" s="123"/>
      <c r="S84" s="124"/>
      <c r="T84" s="124"/>
      <c r="V84" s="75" t="str">
        <f t="shared" si="12"/>
        <v/>
      </c>
      <c r="AB84" s="149" t="str">
        <f t="shared" si="8"/>
        <v>select distinct(chartid) from events where ecode ='Z40D' and chartid in ( @)</v>
      </c>
      <c r="AC84" s="149" t="str">
        <f t="shared" si="9"/>
        <v/>
      </c>
      <c r="AD84" s="149" t="str">
        <f t="shared" si="10"/>
        <v/>
      </c>
    </row>
    <row r="85" spans="1:30" s="13" customFormat="1">
      <c r="A85" s="340">
        <f t="shared" si="13"/>
        <v>79</v>
      </c>
      <c r="B85" s="143" t="s">
        <v>526</v>
      </c>
      <c r="C85" s="111" t="s">
        <v>376</v>
      </c>
      <c r="D85" s="169"/>
      <c r="E85" s="126" t="s">
        <v>367</v>
      </c>
      <c r="F85" s="126"/>
      <c r="G85" s="126"/>
      <c r="H85" s="348" t="s">
        <v>392</v>
      </c>
      <c r="I85" s="419"/>
      <c r="J85" s="337"/>
      <c r="K85" s="317" t="str">
        <f t="shared" si="11"/>
        <v/>
      </c>
      <c r="L85" s="149" t="str">
        <f t="shared" si="7"/>
        <v>.,'Z40D'</v>
      </c>
      <c r="M85" s="123"/>
      <c r="N85" s="123"/>
      <c r="O85" s="123"/>
      <c r="P85" s="123"/>
      <c r="Q85" s="123"/>
      <c r="R85" s="123"/>
      <c r="S85" s="124"/>
      <c r="T85" s="124"/>
      <c r="V85" s="75" t="str">
        <f t="shared" si="12"/>
        <v/>
      </c>
      <c r="AB85" s="149" t="str">
        <f t="shared" si="8"/>
        <v>select distinct(chartid) from events where ecode ='Z40D' and chartid in ( @)</v>
      </c>
      <c r="AC85" s="149" t="str">
        <f t="shared" si="9"/>
        <v/>
      </c>
      <c r="AD85" s="149" t="str">
        <f t="shared" si="10"/>
        <v/>
      </c>
    </row>
    <row r="86" spans="1:30" s="13" customFormat="1">
      <c r="A86" s="340">
        <f t="shared" si="13"/>
        <v>80</v>
      </c>
      <c r="B86" s="143" t="s">
        <v>527</v>
      </c>
      <c r="C86" s="111" t="s">
        <v>376</v>
      </c>
      <c r="D86" s="169"/>
      <c r="E86" s="126" t="s">
        <v>368</v>
      </c>
      <c r="F86" s="126"/>
      <c r="G86" s="126"/>
      <c r="H86" s="348" t="s">
        <v>392</v>
      </c>
      <c r="I86" s="419"/>
      <c r="J86" s="337"/>
      <c r="K86" s="317" t="str">
        <f t="shared" si="11"/>
        <v/>
      </c>
      <c r="L86" s="149" t="str">
        <f t="shared" si="7"/>
        <v>.,'Z40D'</v>
      </c>
      <c r="M86" s="123"/>
      <c r="N86" s="123"/>
      <c r="O86" s="123"/>
      <c r="P86" s="123"/>
      <c r="Q86" s="123"/>
      <c r="R86" s="123"/>
      <c r="S86" s="124"/>
      <c r="T86" s="124"/>
      <c r="V86" s="75" t="str">
        <f t="shared" si="12"/>
        <v/>
      </c>
      <c r="AB86" s="149" t="str">
        <f t="shared" si="8"/>
        <v>select distinct(chartid) from events where ecode ='Z40D' and chartid in ( @)</v>
      </c>
      <c r="AC86" s="149" t="str">
        <f t="shared" si="9"/>
        <v/>
      </c>
      <c r="AD86" s="149" t="str">
        <f t="shared" si="10"/>
        <v/>
      </c>
    </row>
    <row r="87" spans="1:30" s="13" customFormat="1">
      <c r="A87" s="340">
        <f t="shared" si="13"/>
        <v>81</v>
      </c>
      <c r="B87" s="143" t="s">
        <v>528</v>
      </c>
      <c r="C87" s="111" t="s">
        <v>376</v>
      </c>
      <c r="D87" s="169"/>
      <c r="E87" s="126" t="s">
        <v>369</v>
      </c>
      <c r="F87" s="126"/>
      <c r="G87" s="126"/>
      <c r="H87" s="348" t="s">
        <v>392</v>
      </c>
      <c r="I87" s="419"/>
      <c r="J87" s="337"/>
      <c r="K87" s="317" t="str">
        <f t="shared" si="11"/>
        <v/>
      </c>
      <c r="L87" s="149" t="str">
        <f t="shared" si="7"/>
        <v>.,'Z40D'</v>
      </c>
      <c r="M87" s="123"/>
      <c r="N87" s="123"/>
      <c r="O87" s="123"/>
      <c r="P87" s="123"/>
      <c r="Q87" s="123"/>
      <c r="R87" s="123"/>
      <c r="S87" s="124"/>
      <c r="T87" s="124"/>
      <c r="V87" s="75" t="str">
        <f t="shared" si="12"/>
        <v/>
      </c>
      <c r="AB87" s="149" t="str">
        <f t="shared" si="8"/>
        <v>select distinct(chartid) from events where ecode ='Z40D' and chartid in ( @)</v>
      </c>
      <c r="AC87" s="149" t="str">
        <f t="shared" si="9"/>
        <v/>
      </c>
      <c r="AD87" s="149" t="str">
        <f t="shared" si="10"/>
        <v/>
      </c>
    </row>
    <row r="88" spans="1:30" s="13" customFormat="1">
      <c r="A88" s="340">
        <f t="shared" si="13"/>
        <v>82</v>
      </c>
      <c r="B88" s="143" t="s">
        <v>529</v>
      </c>
      <c r="C88" s="111" t="s">
        <v>376</v>
      </c>
      <c r="D88" s="169"/>
      <c r="E88" s="126" t="s">
        <v>370</v>
      </c>
      <c r="F88" s="126"/>
      <c r="G88" s="126"/>
      <c r="H88" s="348" t="s">
        <v>392</v>
      </c>
      <c r="I88" s="419"/>
      <c r="J88" s="337"/>
      <c r="K88" s="317" t="str">
        <f t="shared" si="11"/>
        <v/>
      </c>
      <c r="L88" s="149" t="str">
        <f t="shared" si="7"/>
        <v>.,'Z40D'</v>
      </c>
      <c r="M88" s="123"/>
      <c r="N88" s="123"/>
      <c r="O88" s="123"/>
      <c r="P88" s="123"/>
      <c r="Q88" s="123"/>
      <c r="R88" s="123"/>
      <c r="S88" s="124"/>
      <c r="T88" s="124"/>
      <c r="V88" s="75" t="str">
        <f t="shared" si="12"/>
        <v/>
      </c>
      <c r="AB88" s="149" t="str">
        <f t="shared" si="8"/>
        <v>select distinct(chartid) from events where ecode ='Z40D' and chartid in ( @)</v>
      </c>
      <c r="AC88" s="149" t="str">
        <f t="shared" si="9"/>
        <v/>
      </c>
      <c r="AD88" s="149" t="str">
        <f t="shared" si="10"/>
        <v/>
      </c>
    </row>
    <row r="89" spans="1:30" s="13" customFormat="1">
      <c r="A89" s="340">
        <f t="shared" si="13"/>
        <v>83</v>
      </c>
      <c r="B89" s="143" t="s">
        <v>530</v>
      </c>
      <c r="C89" s="111" t="s">
        <v>376</v>
      </c>
      <c r="D89" s="169"/>
      <c r="E89" s="126" t="s">
        <v>364</v>
      </c>
      <c r="F89" s="126"/>
      <c r="G89" s="126"/>
      <c r="H89" s="348" t="s">
        <v>392</v>
      </c>
      <c r="I89" s="419"/>
      <c r="J89" s="337"/>
      <c r="K89" s="317" t="str">
        <f t="shared" si="11"/>
        <v/>
      </c>
      <c r="L89" s="149" t="str">
        <f t="shared" si="7"/>
        <v>.,'Z40D'</v>
      </c>
      <c r="M89" s="123"/>
      <c r="N89" s="123"/>
      <c r="O89" s="123"/>
      <c r="P89" s="123"/>
      <c r="Q89" s="123"/>
      <c r="R89" s="123"/>
      <c r="S89" s="124"/>
      <c r="T89" s="124"/>
      <c r="V89" s="75" t="str">
        <f t="shared" si="12"/>
        <v/>
      </c>
      <c r="AB89" s="149" t="str">
        <f t="shared" si="8"/>
        <v>select distinct(chartid) from events where ecode ='Z40D' and chartid in ( @)</v>
      </c>
      <c r="AC89" s="149" t="str">
        <f t="shared" si="9"/>
        <v/>
      </c>
      <c r="AD89" s="149" t="str">
        <f t="shared" si="10"/>
        <v/>
      </c>
    </row>
    <row r="90" spans="1:30" s="13" customFormat="1">
      <c r="A90" s="340">
        <f t="shared" si="13"/>
        <v>84</v>
      </c>
      <c r="B90" s="143" t="s">
        <v>531</v>
      </c>
      <c r="C90" s="111" t="s">
        <v>377</v>
      </c>
      <c r="D90" s="169"/>
      <c r="E90" s="126" t="s">
        <v>444</v>
      </c>
      <c r="F90" s="126"/>
      <c r="G90" s="126"/>
      <c r="H90" s="348" t="s">
        <v>392</v>
      </c>
      <c r="I90" s="419"/>
      <c r="J90" s="337"/>
      <c r="K90" s="317" t="str">
        <f t="shared" si="11"/>
        <v/>
      </c>
      <c r="L90" s="149" t="str">
        <f t="shared" si="7"/>
        <v>.,'Z40D'</v>
      </c>
      <c r="M90" s="123"/>
      <c r="N90" s="123"/>
      <c r="O90" s="123"/>
      <c r="P90" s="123"/>
      <c r="Q90" s="123"/>
      <c r="R90" s="123"/>
      <c r="S90" s="124"/>
      <c r="T90" s="124"/>
      <c r="V90" s="75" t="str">
        <f t="shared" si="12"/>
        <v/>
      </c>
      <c r="AB90" s="149" t="str">
        <f t="shared" si="8"/>
        <v>select distinct(chartid) from events where ecode ='Z40D' and chartid in ( @)</v>
      </c>
      <c r="AC90" s="149" t="str">
        <f t="shared" si="9"/>
        <v/>
      </c>
      <c r="AD90" s="149" t="str">
        <f t="shared" si="10"/>
        <v/>
      </c>
    </row>
    <row r="91" spans="1:30" s="13" customFormat="1">
      <c r="A91" s="340">
        <f t="shared" si="13"/>
        <v>85</v>
      </c>
      <c r="B91" s="143" t="s">
        <v>532</v>
      </c>
      <c r="C91" s="111" t="s">
        <v>377</v>
      </c>
      <c r="D91" s="169"/>
      <c r="E91" s="126" t="s">
        <v>444</v>
      </c>
      <c r="F91" s="126"/>
      <c r="G91" s="126"/>
      <c r="H91" s="348" t="s">
        <v>392</v>
      </c>
      <c r="I91" s="419"/>
      <c r="J91" s="337"/>
      <c r="K91" s="317" t="str">
        <f t="shared" si="11"/>
        <v/>
      </c>
      <c r="L91" s="149" t="str">
        <f t="shared" si="7"/>
        <v>.,'Z40D'</v>
      </c>
      <c r="M91" s="123"/>
      <c r="N91" s="123"/>
      <c r="O91" s="123"/>
      <c r="P91" s="123"/>
      <c r="Q91" s="123"/>
      <c r="R91" s="123"/>
      <c r="S91" s="124"/>
      <c r="T91" s="124"/>
      <c r="V91" s="75" t="str">
        <f t="shared" si="12"/>
        <v/>
      </c>
      <c r="AB91" s="149" t="str">
        <f t="shared" si="8"/>
        <v>select distinct(chartid) from events where ecode ='Z40D' and chartid in ( @)</v>
      </c>
      <c r="AC91" s="149" t="str">
        <f t="shared" si="9"/>
        <v/>
      </c>
      <c r="AD91" s="149" t="str">
        <f t="shared" si="10"/>
        <v/>
      </c>
    </row>
    <row r="92" spans="1:30" s="13" customFormat="1">
      <c r="A92" s="340">
        <f t="shared" si="13"/>
        <v>86</v>
      </c>
      <c r="B92" s="143" t="s">
        <v>533</v>
      </c>
      <c r="C92" s="111" t="s">
        <v>377</v>
      </c>
      <c r="D92" s="169"/>
      <c r="E92" s="126" t="s">
        <v>444</v>
      </c>
      <c r="F92" s="126"/>
      <c r="G92" s="126"/>
      <c r="H92" s="348" t="s">
        <v>392</v>
      </c>
      <c r="I92" s="419"/>
      <c r="J92" s="337"/>
      <c r="K92" s="317" t="str">
        <f t="shared" si="11"/>
        <v/>
      </c>
      <c r="L92" s="149" t="str">
        <f t="shared" si="7"/>
        <v>.,'Z40D'</v>
      </c>
      <c r="M92" s="123"/>
      <c r="N92" s="123"/>
      <c r="O92" s="123"/>
      <c r="P92" s="123"/>
      <c r="Q92" s="123"/>
      <c r="R92" s="123"/>
      <c r="S92" s="124"/>
      <c r="T92" s="124"/>
      <c r="V92" s="75" t="str">
        <f t="shared" si="12"/>
        <v/>
      </c>
      <c r="AB92" s="149" t="str">
        <f t="shared" si="8"/>
        <v>select distinct(chartid) from events where ecode ='Z40D' and chartid in ( @)</v>
      </c>
      <c r="AC92" s="149" t="str">
        <f t="shared" si="9"/>
        <v/>
      </c>
      <c r="AD92" s="149" t="str">
        <f t="shared" si="10"/>
        <v/>
      </c>
    </row>
    <row r="93" spans="1:30" s="13" customFormat="1">
      <c r="A93" s="340">
        <f t="shared" si="13"/>
        <v>87</v>
      </c>
      <c r="B93" s="143" t="s">
        <v>534</v>
      </c>
      <c r="C93" s="111" t="s">
        <v>377</v>
      </c>
      <c r="D93" s="169"/>
      <c r="E93" s="126" t="s">
        <v>444</v>
      </c>
      <c r="F93" s="126"/>
      <c r="G93" s="126"/>
      <c r="H93" s="348" t="s">
        <v>392</v>
      </c>
      <c r="I93" s="419"/>
      <c r="J93" s="337"/>
      <c r="K93" s="317" t="str">
        <f t="shared" si="11"/>
        <v/>
      </c>
      <c r="L93" s="149" t="str">
        <f t="shared" si="7"/>
        <v>.,'Z40D'</v>
      </c>
      <c r="M93" s="123"/>
      <c r="N93" s="123"/>
      <c r="O93" s="123"/>
      <c r="P93" s="123"/>
      <c r="Q93" s="123"/>
      <c r="R93" s="123"/>
      <c r="S93" s="124"/>
      <c r="T93" s="124"/>
      <c r="V93" s="75" t="str">
        <f t="shared" si="12"/>
        <v/>
      </c>
      <c r="AB93" s="149" t="str">
        <f t="shared" si="8"/>
        <v>select distinct(chartid) from events where ecode ='Z40D' and chartid in ( @)</v>
      </c>
      <c r="AC93" s="149" t="str">
        <f t="shared" si="9"/>
        <v/>
      </c>
      <c r="AD93" s="149" t="str">
        <f t="shared" si="10"/>
        <v/>
      </c>
    </row>
    <row r="94" spans="1:30" s="13" customFormat="1">
      <c r="A94" s="340">
        <f t="shared" si="13"/>
        <v>88</v>
      </c>
      <c r="B94" s="143" t="s">
        <v>535</v>
      </c>
      <c r="C94" s="111" t="s">
        <v>377</v>
      </c>
      <c r="D94" s="169"/>
      <c r="E94" s="126" t="s">
        <v>444</v>
      </c>
      <c r="F94" s="126"/>
      <c r="G94" s="126"/>
      <c r="H94" s="348" t="s">
        <v>392</v>
      </c>
      <c r="I94" s="419"/>
      <c r="J94" s="337"/>
      <c r="K94" s="317" t="str">
        <f t="shared" si="11"/>
        <v/>
      </c>
      <c r="L94" s="149" t="str">
        <f t="shared" si="7"/>
        <v>.,'Z40D'</v>
      </c>
      <c r="M94" s="123"/>
      <c r="N94" s="123"/>
      <c r="O94" s="123"/>
      <c r="P94" s="123"/>
      <c r="Q94" s="123"/>
      <c r="R94" s="123"/>
      <c r="S94" s="124"/>
      <c r="T94" s="124"/>
      <c r="V94" s="75" t="str">
        <f t="shared" si="12"/>
        <v/>
      </c>
      <c r="AB94" s="149" t="str">
        <f t="shared" si="8"/>
        <v>select distinct(chartid) from events where ecode ='Z40D' and chartid in ( @)</v>
      </c>
      <c r="AC94" s="149" t="str">
        <f t="shared" si="9"/>
        <v/>
      </c>
      <c r="AD94" s="149" t="str">
        <f t="shared" si="10"/>
        <v/>
      </c>
    </row>
    <row r="95" spans="1:30" s="13" customFormat="1">
      <c r="A95" s="340">
        <f t="shared" si="13"/>
        <v>89</v>
      </c>
      <c r="B95" s="143" t="s">
        <v>536</v>
      </c>
      <c r="C95" s="111" t="s">
        <v>445</v>
      </c>
      <c r="D95" s="169"/>
      <c r="E95" s="126" t="s">
        <v>380</v>
      </c>
      <c r="F95" s="126"/>
      <c r="G95" s="126"/>
      <c r="H95" s="348" t="s">
        <v>392</v>
      </c>
      <c r="I95" s="419"/>
      <c r="J95" s="337"/>
      <c r="K95" s="317" t="str">
        <f t="shared" si="11"/>
        <v/>
      </c>
      <c r="L95" s="149" t="str">
        <f t="shared" si="7"/>
        <v>.,'Z40D'</v>
      </c>
      <c r="M95" s="123"/>
      <c r="N95" s="123"/>
      <c r="O95" s="123"/>
      <c r="P95" s="123"/>
      <c r="Q95" s="123"/>
      <c r="R95" s="123"/>
      <c r="S95" s="124"/>
      <c r="T95" s="124"/>
      <c r="V95" s="75" t="str">
        <f t="shared" si="12"/>
        <v/>
      </c>
      <c r="AB95" s="149" t="str">
        <f t="shared" si="8"/>
        <v>select distinct(chartid) from events where ecode ='Z40D' and chartid in ( @)</v>
      </c>
      <c r="AC95" s="149" t="str">
        <f t="shared" si="9"/>
        <v/>
      </c>
      <c r="AD95" s="149" t="str">
        <f t="shared" si="10"/>
        <v/>
      </c>
    </row>
    <row r="96" spans="1:30" s="13" customFormat="1">
      <c r="A96" s="340">
        <f t="shared" si="13"/>
        <v>90</v>
      </c>
      <c r="B96" s="143" t="s">
        <v>537</v>
      </c>
      <c r="C96" s="111" t="s">
        <v>445</v>
      </c>
      <c r="D96" s="169"/>
      <c r="E96" s="126" t="s">
        <v>427</v>
      </c>
      <c r="F96" s="126"/>
      <c r="G96" s="126"/>
      <c r="H96" s="348" t="s">
        <v>392</v>
      </c>
      <c r="I96" s="419"/>
      <c r="J96" s="337"/>
      <c r="K96" s="317" t="str">
        <f t="shared" si="11"/>
        <v/>
      </c>
      <c r="L96" s="149" t="str">
        <f t="shared" si="7"/>
        <v>.,'Z40D'</v>
      </c>
      <c r="M96" s="123"/>
      <c r="N96" s="123"/>
      <c r="O96" s="123"/>
      <c r="P96" s="123"/>
      <c r="Q96" s="123"/>
      <c r="R96" s="123"/>
      <c r="S96" s="124"/>
      <c r="T96" s="124"/>
      <c r="V96" s="75" t="str">
        <f t="shared" si="12"/>
        <v/>
      </c>
      <c r="AB96" s="149" t="str">
        <f t="shared" si="8"/>
        <v>select distinct(chartid) from events where ecode ='Z40D' and chartid in ( @)</v>
      </c>
      <c r="AC96" s="149" t="str">
        <f t="shared" si="9"/>
        <v/>
      </c>
      <c r="AD96" s="149" t="str">
        <f t="shared" si="10"/>
        <v/>
      </c>
    </row>
    <row r="97" spans="1:30" s="13" customFormat="1">
      <c r="A97" s="340">
        <f t="shared" si="13"/>
        <v>91</v>
      </c>
      <c r="B97" s="143" t="s">
        <v>538</v>
      </c>
      <c r="C97" s="111" t="s">
        <v>446</v>
      </c>
      <c r="D97" s="169"/>
      <c r="E97" s="126" t="s">
        <v>447</v>
      </c>
      <c r="F97" s="126"/>
      <c r="G97" s="126"/>
      <c r="H97" s="348" t="s">
        <v>392</v>
      </c>
      <c r="I97" s="419"/>
      <c r="J97" s="337"/>
      <c r="K97" s="317" t="str">
        <f t="shared" si="11"/>
        <v/>
      </c>
      <c r="L97" s="149" t="str">
        <f t="shared" si="7"/>
        <v>.,'Z40D'</v>
      </c>
      <c r="M97" s="123"/>
      <c r="N97" s="123"/>
      <c r="O97" s="123"/>
      <c r="P97" s="123"/>
      <c r="Q97" s="123"/>
      <c r="R97" s="123"/>
      <c r="S97" s="124"/>
      <c r="T97" s="124"/>
      <c r="V97" s="75" t="str">
        <f t="shared" si="12"/>
        <v/>
      </c>
      <c r="AB97" s="149" t="str">
        <f t="shared" si="8"/>
        <v>select distinct(chartid) from events where ecode ='Z40D' and chartid in ( @)</v>
      </c>
      <c r="AC97" s="149" t="str">
        <f t="shared" si="9"/>
        <v/>
      </c>
      <c r="AD97" s="149" t="str">
        <f t="shared" si="10"/>
        <v/>
      </c>
    </row>
    <row r="98" spans="1:30" s="13" customFormat="1">
      <c r="A98" s="340">
        <f t="shared" si="13"/>
        <v>92</v>
      </c>
      <c r="B98" s="143" t="s">
        <v>539</v>
      </c>
      <c r="C98" s="111" t="s">
        <v>446</v>
      </c>
      <c r="D98" s="169"/>
      <c r="E98" s="126" t="s">
        <v>448</v>
      </c>
      <c r="F98" s="126"/>
      <c r="G98" s="126"/>
      <c r="H98" s="348" t="s">
        <v>392</v>
      </c>
      <c r="I98" s="419"/>
      <c r="J98" s="337"/>
      <c r="K98" s="317" t="str">
        <f t="shared" si="11"/>
        <v/>
      </c>
      <c r="L98" s="149" t="str">
        <f t="shared" si="7"/>
        <v>.,'Z40D'</v>
      </c>
      <c r="M98" s="123"/>
      <c r="N98" s="123"/>
      <c r="O98" s="123"/>
      <c r="P98" s="123"/>
      <c r="Q98" s="123"/>
      <c r="R98" s="123"/>
      <c r="S98" s="124"/>
      <c r="T98" s="124"/>
      <c r="V98" s="75" t="str">
        <f t="shared" si="12"/>
        <v/>
      </c>
      <c r="AB98" s="149" t="str">
        <f t="shared" si="8"/>
        <v>select distinct(chartid) from events where ecode ='Z40D' and chartid in ( @)</v>
      </c>
      <c r="AC98" s="149" t="str">
        <f t="shared" si="9"/>
        <v/>
      </c>
      <c r="AD98" s="149" t="str">
        <f t="shared" si="10"/>
        <v/>
      </c>
    </row>
    <row r="99" spans="1:30" s="13" customFormat="1">
      <c r="A99" s="340">
        <f t="shared" si="13"/>
        <v>93</v>
      </c>
      <c r="B99" s="143" t="s">
        <v>540</v>
      </c>
      <c r="C99" s="111" t="s">
        <v>446</v>
      </c>
      <c r="D99" s="169"/>
      <c r="E99" s="126" t="s">
        <v>449</v>
      </c>
      <c r="F99" s="126"/>
      <c r="G99" s="126"/>
      <c r="H99" s="348" t="s">
        <v>392</v>
      </c>
      <c r="I99" s="419"/>
      <c r="J99" s="337"/>
      <c r="K99" s="317" t="str">
        <f t="shared" si="11"/>
        <v/>
      </c>
      <c r="L99" s="149" t="str">
        <f t="shared" si="7"/>
        <v>.,'Z40D'</v>
      </c>
      <c r="M99" s="123"/>
      <c r="N99" s="123"/>
      <c r="O99" s="123"/>
      <c r="P99" s="123"/>
      <c r="Q99" s="123"/>
      <c r="R99" s="123"/>
      <c r="S99" s="124"/>
      <c r="T99" s="124"/>
      <c r="V99" s="75" t="str">
        <f t="shared" si="12"/>
        <v/>
      </c>
      <c r="AB99" s="149" t="str">
        <f t="shared" si="8"/>
        <v>select distinct(chartid) from events where ecode ='Z40D' and chartid in ( @)</v>
      </c>
      <c r="AC99" s="149" t="str">
        <f t="shared" si="9"/>
        <v/>
      </c>
      <c r="AD99" s="149" t="str">
        <f t="shared" si="10"/>
        <v/>
      </c>
    </row>
    <row r="100" spans="1:30" s="13" customFormat="1">
      <c r="A100" s="340">
        <f t="shared" si="13"/>
        <v>94</v>
      </c>
      <c r="B100" s="143" t="s">
        <v>541</v>
      </c>
      <c r="C100" s="111" t="s">
        <v>446</v>
      </c>
      <c r="D100" s="169"/>
      <c r="E100" s="126" t="s">
        <v>450</v>
      </c>
      <c r="F100" s="126"/>
      <c r="G100" s="126"/>
      <c r="H100" s="348" t="s">
        <v>392</v>
      </c>
      <c r="I100" s="419"/>
      <c r="J100" s="337"/>
      <c r="K100" s="317" t="str">
        <f t="shared" si="11"/>
        <v/>
      </c>
      <c r="L100" s="149" t="str">
        <f t="shared" si="7"/>
        <v>.,'Z40D'</v>
      </c>
      <c r="M100" s="123"/>
      <c r="N100" s="123"/>
      <c r="O100" s="123"/>
      <c r="P100" s="123"/>
      <c r="Q100" s="123"/>
      <c r="R100" s="123"/>
      <c r="S100" s="124"/>
      <c r="T100" s="124"/>
      <c r="V100" s="75" t="str">
        <f t="shared" si="12"/>
        <v/>
      </c>
      <c r="AB100" s="149" t="str">
        <f t="shared" si="8"/>
        <v>select distinct(chartid) from events where ecode ='Z40D' and chartid in ( @)</v>
      </c>
      <c r="AC100" s="149" t="str">
        <f t="shared" si="9"/>
        <v/>
      </c>
      <c r="AD100" s="149" t="str">
        <f t="shared" si="10"/>
        <v/>
      </c>
    </row>
    <row r="101" spans="1:30" s="13" customFormat="1">
      <c r="A101" s="340">
        <f t="shared" si="13"/>
        <v>95</v>
      </c>
      <c r="B101" s="143" t="s">
        <v>542</v>
      </c>
      <c r="C101" s="111" t="s">
        <v>446</v>
      </c>
      <c r="D101" s="169"/>
      <c r="E101" s="126" t="s">
        <v>387</v>
      </c>
      <c r="F101" s="126"/>
      <c r="G101" s="126"/>
      <c r="H101" s="348" t="s">
        <v>392</v>
      </c>
      <c r="I101" s="419"/>
      <c r="J101" s="337"/>
      <c r="K101" s="317" t="str">
        <f t="shared" si="11"/>
        <v/>
      </c>
      <c r="L101" s="149" t="str">
        <f t="shared" si="7"/>
        <v>.,'Z40D'</v>
      </c>
      <c r="M101" s="123"/>
      <c r="N101" s="123"/>
      <c r="O101" s="123"/>
      <c r="P101" s="123"/>
      <c r="Q101" s="123"/>
      <c r="R101" s="123"/>
      <c r="S101" s="124"/>
      <c r="T101" s="124"/>
      <c r="V101" s="75" t="str">
        <f t="shared" si="12"/>
        <v/>
      </c>
      <c r="AB101" s="149" t="str">
        <f t="shared" si="8"/>
        <v>select distinct(chartid) from events where ecode ='Z40D' and chartid in ( @)</v>
      </c>
      <c r="AC101" s="149" t="str">
        <f t="shared" si="9"/>
        <v/>
      </c>
      <c r="AD101" s="149" t="str">
        <f t="shared" si="10"/>
        <v/>
      </c>
    </row>
    <row r="102" spans="1:30" s="13" customFormat="1">
      <c r="A102" s="340">
        <f t="shared" si="13"/>
        <v>96</v>
      </c>
      <c r="B102" s="143" t="s">
        <v>543</v>
      </c>
      <c r="C102" s="111" t="s">
        <v>350</v>
      </c>
      <c r="D102" s="169"/>
      <c r="E102" s="126" t="s">
        <v>451</v>
      </c>
      <c r="F102" s="126"/>
      <c r="G102" s="126"/>
      <c r="H102" s="348" t="s">
        <v>392</v>
      </c>
      <c r="I102" s="419"/>
      <c r="J102" s="337"/>
      <c r="K102" s="317" t="str">
        <f t="shared" si="11"/>
        <v/>
      </c>
      <c r="L102" s="149" t="str">
        <f t="shared" si="7"/>
        <v>.,'Z40D'</v>
      </c>
      <c r="M102" s="123"/>
      <c r="N102" s="123"/>
      <c r="O102" s="123"/>
      <c r="P102" s="123"/>
      <c r="Q102" s="123"/>
      <c r="R102" s="123"/>
      <c r="S102" s="124"/>
      <c r="T102" s="124"/>
      <c r="V102" s="75" t="str">
        <f t="shared" si="12"/>
        <v/>
      </c>
      <c r="AB102" s="149" t="str">
        <f t="shared" si="8"/>
        <v>select distinct(chartid) from events where ecode ='Z40D' and chartid in ( @)</v>
      </c>
      <c r="AC102" s="149" t="str">
        <f t="shared" si="9"/>
        <v/>
      </c>
      <c r="AD102" s="149" t="str">
        <f t="shared" si="10"/>
        <v/>
      </c>
    </row>
    <row r="103" spans="1:30" s="13" customFormat="1">
      <c r="A103" s="340">
        <f t="shared" si="13"/>
        <v>97</v>
      </c>
      <c r="B103" s="143" t="s">
        <v>544</v>
      </c>
      <c r="C103" s="111" t="s">
        <v>350</v>
      </c>
      <c r="D103" s="169"/>
      <c r="E103" s="126" t="s">
        <v>242</v>
      </c>
      <c r="F103" s="126"/>
      <c r="G103" s="126"/>
      <c r="H103" s="348" t="s">
        <v>392</v>
      </c>
      <c r="I103" s="419"/>
      <c r="J103" s="337"/>
      <c r="K103" s="317" t="str">
        <f t="shared" si="11"/>
        <v/>
      </c>
      <c r="L103" s="149" t="str">
        <f t="shared" si="7"/>
        <v>.,'Z40D'</v>
      </c>
      <c r="M103" s="123"/>
      <c r="N103" s="123"/>
      <c r="O103" s="123"/>
      <c r="P103" s="123"/>
      <c r="Q103" s="123"/>
      <c r="R103" s="123"/>
      <c r="S103" s="124"/>
      <c r="T103" s="124"/>
      <c r="V103" s="75" t="str">
        <f t="shared" si="12"/>
        <v/>
      </c>
      <c r="AB103" s="149" t="str">
        <f t="shared" si="8"/>
        <v>select distinct(chartid) from events where ecode ='Z40D' and chartid in ( @)</v>
      </c>
      <c r="AC103" s="149" t="str">
        <f t="shared" si="9"/>
        <v/>
      </c>
      <c r="AD103" s="149" t="str">
        <f t="shared" si="10"/>
        <v/>
      </c>
    </row>
    <row r="104" spans="1:30" s="13" customFormat="1">
      <c r="A104" s="340">
        <f t="shared" si="13"/>
        <v>98</v>
      </c>
      <c r="B104" s="143" t="s">
        <v>545</v>
      </c>
      <c r="C104" s="111" t="s">
        <v>350</v>
      </c>
      <c r="D104" s="169"/>
      <c r="E104" s="126" t="s">
        <v>243</v>
      </c>
      <c r="F104" s="126"/>
      <c r="G104" s="126"/>
      <c r="H104" s="348" t="s">
        <v>392</v>
      </c>
      <c r="I104" s="419"/>
      <c r="J104" s="337"/>
      <c r="K104" s="317" t="str">
        <f t="shared" si="11"/>
        <v/>
      </c>
      <c r="L104" s="149" t="str">
        <f t="shared" si="7"/>
        <v>.,'Z40D'</v>
      </c>
      <c r="M104" s="123"/>
      <c r="N104" s="123"/>
      <c r="O104" s="123"/>
      <c r="P104" s="123"/>
      <c r="Q104" s="123"/>
      <c r="R104" s="123"/>
      <c r="S104" s="124"/>
      <c r="T104" s="124"/>
      <c r="V104" s="75" t="str">
        <f t="shared" si="12"/>
        <v/>
      </c>
      <c r="AB104" s="149" t="str">
        <f t="shared" si="8"/>
        <v>select distinct(chartid) from events where ecode ='Z40D' and chartid in ( @)</v>
      </c>
      <c r="AC104" s="149" t="str">
        <f t="shared" si="9"/>
        <v/>
      </c>
      <c r="AD104" s="149" t="str">
        <f t="shared" si="10"/>
        <v/>
      </c>
    </row>
    <row r="105" spans="1:30" s="13" customFormat="1">
      <c r="A105" s="340">
        <f t="shared" si="13"/>
        <v>99</v>
      </c>
      <c r="B105" s="143" t="s">
        <v>546</v>
      </c>
      <c r="C105" s="111" t="s">
        <v>350</v>
      </c>
      <c r="D105" s="169"/>
      <c r="E105" s="126" t="s">
        <v>237</v>
      </c>
      <c r="F105" s="126"/>
      <c r="G105" s="126"/>
      <c r="H105" s="348" t="s">
        <v>392</v>
      </c>
      <c r="I105" s="419"/>
      <c r="J105" s="337"/>
      <c r="K105" s="317" t="str">
        <f t="shared" si="11"/>
        <v/>
      </c>
      <c r="L105" s="149" t="str">
        <f t="shared" si="7"/>
        <v>.,'Z40D'</v>
      </c>
      <c r="M105" s="123"/>
      <c r="N105" s="123"/>
      <c r="O105" s="123"/>
      <c r="P105" s="123"/>
      <c r="Q105" s="123"/>
      <c r="R105" s="123"/>
      <c r="S105" s="124"/>
      <c r="T105" s="124"/>
      <c r="V105" s="75" t="str">
        <f t="shared" si="12"/>
        <v/>
      </c>
      <c r="AB105" s="149" t="str">
        <f t="shared" si="8"/>
        <v>select distinct(chartid) from events where ecode ='Z40D' and chartid in ( @)</v>
      </c>
      <c r="AC105" s="149" t="str">
        <f t="shared" si="9"/>
        <v/>
      </c>
      <c r="AD105" s="149" t="str">
        <f t="shared" si="10"/>
        <v/>
      </c>
    </row>
    <row r="106" spans="1:30" s="13" customFormat="1">
      <c r="A106" s="340">
        <f t="shared" si="13"/>
        <v>100</v>
      </c>
      <c r="B106" s="143" t="s">
        <v>547</v>
      </c>
      <c r="C106" s="111" t="s">
        <v>350</v>
      </c>
      <c r="D106" s="169"/>
      <c r="E106" s="126" t="s">
        <v>238</v>
      </c>
      <c r="F106" s="126"/>
      <c r="G106" s="126"/>
      <c r="H106" s="348" t="s">
        <v>392</v>
      </c>
      <c r="I106" s="419"/>
      <c r="J106" s="337"/>
      <c r="K106" s="317" t="str">
        <f t="shared" si="11"/>
        <v/>
      </c>
      <c r="L106" s="149" t="str">
        <f t="shared" si="7"/>
        <v>.,'Z40D'</v>
      </c>
      <c r="M106" s="123"/>
      <c r="N106" s="123"/>
      <c r="O106" s="123"/>
      <c r="P106" s="123"/>
      <c r="Q106" s="123"/>
      <c r="R106" s="123"/>
      <c r="S106" s="124"/>
      <c r="T106" s="124"/>
      <c r="V106" s="75" t="str">
        <f t="shared" si="12"/>
        <v/>
      </c>
      <c r="AB106" s="149" t="str">
        <f t="shared" si="8"/>
        <v>select distinct(chartid) from events where ecode ='Z40D' and chartid in ( @)</v>
      </c>
      <c r="AC106" s="149" t="str">
        <f t="shared" si="9"/>
        <v/>
      </c>
      <c r="AD106" s="149" t="str">
        <f t="shared" si="10"/>
        <v/>
      </c>
    </row>
    <row r="107" spans="1:30" s="13" customFormat="1">
      <c r="A107" s="340">
        <f t="shared" si="13"/>
        <v>101</v>
      </c>
      <c r="B107" s="143" t="s">
        <v>548</v>
      </c>
      <c r="C107" s="111" t="s">
        <v>386</v>
      </c>
      <c r="D107" s="169"/>
      <c r="E107" s="126" t="s">
        <v>387</v>
      </c>
      <c r="F107" s="126"/>
      <c r="G107" s="126"/>
      <c r="H107" s="348" t="s">
        <v>392</v>
      </c>
      <c r="I107" s="419"/>
      <c r="J107" s="337"/>
      <c r="K107" s="317" t="str">
        <f t="shared" si="11"/>
        <v/>
      </c>
      <c r="L107" s="149" t="str">
        <f t="shared" si="7"/>
        <v>.,'Z40D'</v>
      </c>
      <c r="M107" s="123"/>
      <c r="N107" s="123"/>
      <c r="O107" s="123"/>
      <c r="P107" s="123"/>
      <c r="Q107" s="123"/>
      <c r="R107" s="123"/>
      <c r="S107" s="124"/>
      <c r="T107" s="124"/>
      <c r="V107" s="75" t="str">
        <f t="shared" si="12"/>
        <v/>
      </c>
      <c r="AB107" s="149" t="str">
        <f t="shared" si="8"/>
        <v>select distinct(chartid) from events where ecode ='Z40D' and chartid in ( @)</v>
      </c>
      <c r="AC107" s="149" t="str">
        <f t="shared" si="9"/>
        <v/>
      </c>
      <c r="AD107" s="149" t="str">
        <f t="shared" si="10"/>
        <v/>
      </c>
    </row>
    <row r="108" spans="1:30" s="13" customFormat="1">
      <c r="A108" s="340">
        <f t="shared" si="13"/>
        <v>102</v>
      </c>
      <c r="B108" s="143" t="s">
        <v>549</v>
      </c>
      <c r="C108" s="111" t="s">
        <v>452</v>
      </c>
      <c r="D108" s="169"/>
      <c r="E108" s="126" t="s">
        <v>453</v>
      </c>
      <c r="F108" s="126"/>
      <c r="G108" s="126"/>
      <c r="H108" s="348" t="s">
        <v>392</v>
      </c>
      <c r="I108" s="419"/>
      <c r="J108" s="337"/>
      <c r="K108" s="317" t="str">
        <f t="shared" si="11"/>
        <v/>
      </c>
      <c r="L108" s="149" t="str">
        <f t="shared" si="7"/>
        <v>.,'Z40D'</v>
      </c>
      <c r="M108" s="123"/>
      <c r="N108" s="123"/>
      <c r="O108" s="123"/>
      <c r="P108" s="123"/>
      <c r="Q108" s="123"/>
      <c r="R108" s="123"/>
      <c r="S108" s="124"/>
      <c r="T108" s="124"/>
      <c r="V108" s="75" t="str">
        <f t="shared" si="12"/>
        <v/>
      </c>
      <c r="AB108" s="149" t="str">
        <f t="shared" si="8"/>
        <v>select distinct(chartid) from events where ecode ='Z40D' and chartid in ( @)</v>
      </c>
      <c r="AC108" s="149" t="str">
        <f t="shared" si="9"/>
        <v/>
      </c>
      <c r="AD108" s="149" t="str">
        <f t="shared" si="10"/>
        <v/>
      </c>
    </row>
    <row r="109" spans="1:30" s="13" customFormat="1">
      <c r="A109" s="340">
        <f t="shared" si="13"/>
        <v>103</v>
      </c>
      <c r="B109" s="143" t="s">
        <v>550</v>
      </c>
      <c r="C109" s="111" t="s">
        <v>452</v>
      </c>
      <c r="D109" s="169"/>
      <c r="E109" s="126" t="s">
        <v>453</v>
      </c>
      <c r="F109" s="126"/>
      <c r="G109" s="126"/>
      <c r="H109" s="348" t="s">
        <v>392</v>
      </c>
      <c r="I109" s="419"/>
      <c r="J109" s="337"/>
      <c r="K109" s="317" t="str">
        <f t="shared" si="11"/>
        <v/>
      </c>
      <c r="L109" s="149" t="str">
        <f t="shared" si="7"/>
        <v>.,'Z40D'</v>
      </c>
      <c r="M109" s="123"/>
      <c r="N109" s="123"/>
      <c r="O109" s="123"/>
      <c r="P109" s="123"/>
      <c r="Q109" s="123"/>
      <c r="R109" s="123"/>
      <c r="S109" s="124"/>
      <c r="T109" s="124"/>
      <c r="V109" s="75" t="str">
        <f t="shared" si="12"/>
        <v/>
      </c>
      <c r="AB109" s="149" t="str">
        <f t="shared" si="8"/>
        <v>select distinct(chartid) from events where ecode ='Z40D' and chartid in ( @)</v>
      </c>
      <c r="AC109" s="149" t="str">
        <f t="shared" si="9"/>
        <v/>
      </c>
      <c r="AD109" s="149" t="str">
        <f t="shared" si="10"/>
        <v/>
      </c>
    </row>
    <row r="110" spans="1:30" s="13" customFormat="1">
      <c r="A110" s="340">
        <f t="shared" si="13"/>
        <v>104</v>
      </c>
      <c r="B110" s="143" t="s">
        <v>551</v>
      </c>
      <c r="C110" s="111" t="s">
        <v>452</v>
      </c>
      <c r="D110" s="169"/>
      <c r="E110" s="126" t="s">
        <v>453</v>
      </c>
      <c r="F110" s="126"/>
      <c r="G110" s="126"/>
      <c r="H110" s="348" t="s">
        <v>392</v>
      </c>
      <c r="I110" s="419"/>
      <c r="J110" s="337"/>
      <c r="K110" s="317" t="str">
        <f t="shared" si="11"/>
        <v/>
      </c>
      <c r="L110" s="149" t="str">
        <f t="shared" si="7"/>
        <v>.,'Z40D'</v>
      </c>
      <c r="M110" s="123"/>
      <c r="N110" s="123"/>
      <c r="O110" s="123"/>
      <c r="P110" s="123"/>
      <c r="Q110" s="123"/>
      <c r="R110" s="123"/>
      <c r="S110" s="124"/>
      <c r="T110" s="124"/>
      <c r="V110" s="75" t="str">
        <f t="shared" si="12"/>
        <v/>
      </c>
      <c r="AB110" s="149" t="str">
        <f t="shared" si="8"/>
        <v>select distinct(chartid) from events where ecode ='Z40D' and chartid in ( @)</v>
      </c>
      <c r="AC110" s="149" t="str">
        <f t="shared" si="9"/>
        <v/>
      </c>
      <c r="AD110" s="149" t="str">
        <f t="shared" si="10"/>
        <v/>
      </c>
    </row>
    <row r="111" spans="1:30" s="13" customFormat="1">
      <c r="A111" s="340">
        <f t="shared" si="13"/>
        <v>105</v>
      </c>
      <c r="B111" s="143" t="s">
        <v>552</v>
      </c>
      <c r="C111" s="111" t="s">
        <v>452</v>
      </c>
      <c r="D111" s="169"/>
      <c r="E111" s="126" t="s">
        <v>453</v>
      </c>
      <c r="F111" s="126"/>
      <c r="G111" s="126"/>
      <c r="H111" s="348" t="s">
        <v>303</v>
      </c>
      <c r="I111" s="419"/>
      <c r="J111" s="337"/>
      <c r="K111" s="317" t="str">
        <f>IF(H111="Y",CONCATENATE("'",B111,"'"),"")</f>
        <v>'Z40D'</v>
      </c>
      <c r="L111" s="149" t="str">
        <f t="shared" si="7"/>
        <v>.,'Z40D'</v>
      </c>
      <c r="M111" s="123"/>
      <c r="N111" s="123"/>
      <c r="O111" s="123"/>
      <c r="P111" s="123"/>
      <c r="Q111" s="123"/>
      <c r="R111" s="123"/>
      <c r="S111" s="124"/>
      <c r="T111" s="124"/>
      <c r="V111" s="75" t="str">
        <f t="shared" si="12"/>
        <v>select distinct(chartid) from events where ecode ='Z40D'</v>
      </c>
      <c r="AB111" s="149" t="str">
        <f>IF(V111="",CONCATENATE(V111,AB112),CONCATENATE(V111," and chartid in ( ",AB112,")"))</f>
        <v>select distinct(chartid) from events where ecode ='Z40D' and chartid in ( @)</v>
      </c>
    </row>
    <row r="112" spans="1:30" s="13" customFormat="1" ht="13.8" thickBot="1">
      <c r="A112" s="467">
        <f t="shared" si="13"/>
        <v>106</v>
      </c>
      <c r="B112" s="468" t="s">
        <v>577</v>
      </c>
      <c r="C112" s="469" t="s">
        <v>386</v>
      </c>
      <c r="D112" s="470"/>
      <c r="E112" s="471" t="s">
        <v>387</v>
      </c>
      <c r="F112" s="471"/>
      <c r="G112" s="471"/>
      <c r="H112" s="472" t="s">
        <v>392</v>
      </c>
      <c r="I112" s="473"/>
      <c r="J112" s="474"/>
      <c r="K112" s="475" t="str">
        <f>IF(H112="Y",CONCATENATE("""",B112,""""),"")</f>
        <v/>
      </c>
      <c r="L112" s="483" t="str">
        <f>IF(K112="",CONCATENATE(L113,K112),CONCATENATE(L113,",",K112))</f>
        <v>.</v>
      </c>
      <c r="M112" s="476"/>
      <c r="N112" s="476"/>
      <c r="O112" s="476"/>
      <c r="P112" s="476"/>
      <c r="Q112" s="476"/>
      <c r="R112" s="476"/>
      <c r="S112" s="476"/>
      <c r="T112" s="476"/>
      <c r="U112" s="477"/>
      <c r="V112" s="428" t="str">
        <f>IF(H112="Y",CONCATENATE(V$114,K112),"")</f>
        <v/>
      </c>
      <c r="AB112" s="483" t="str">
        <f>IF(V112="",CONCATENATE(V112,AB113),CONCATENATE(V112," ",AB113))</f>
        <v>@</v>
      </c>
    </row>
    <row r="113" spans="1:28" s="13" customFormat="1" ht="13.8" thickTop="1">
      <c r="B113" s="123"/>
      <c r="C113" s="111"/>
      <c r="D113" s="111"/>
      <c r="E113" s="125"/>
      <c r="F113" s="125"/>
      <c r="G113" s="125"/>
      <c r="H113" s="125"/>
      <c r="I113" s="419"/>
      <c r="J113" s="337"/>
      <c r="K113" s="317"/>
      <c r="L113" s="190" t="s">
        <v>585</v>
      </c>
      <c r="M113" s="123"/>
      <c r="N113" s="123"/>
      <c r="O113" s="123"/>
      <c r="P113" s="123"/>
      <c r="Q113" s="123"/>
      <c r="R113" s="123"/>
      <c r="S113" s="124"/>
      <c r="T113" s="124"/>
      <c r="AB113" s="150" t="s">
        <v>590</v>
      </c>
    </row>
    <row r="114" spans="1:28">
      <c r="A114" s="478"/>
      <c r="B114" s="347"/>
      <c r="C114" s="479"/>
      <c r="D114" s="479"/>
      <c r="E114" s="479"/>
      <c r="F114" s="479"/>
      <c r="G114" s="479"/>
      <c r="H114" s="480"/>
      <c r="I114" s="478"/>
      <c r="J114" s="479"/>
      <c r="K114" s="347"/>
      <c r="L114" s="149" t="s">
        <v>587</v>
      </c>
      <c r="M114" s="14"/>
      <c r="N114" s="14"/>
      <c r="O114" s="14"/>
      <c r="P114" s="14"/>
      <c r="Q114" s="14"/>
      <c r="R114" s="14"/>
      <c r="S114" s="14"/>
      <c r="T114" s="75"/>
      <c r="U114" s="75"/>
      <c r="V114" s="150" t="s">
        <v>589</v>
      </c>
      <c r="AB114" s="1" t="s">
        <v>591</v>
      </c>
    </row>
    <row r="115" spans="1:28">
      <c r="A115" s="13"/>
      <c r="B115" s="15"/>
      <c r="C115" s="13"/>
      <c r="D115" s="13"/>
      <c r="E115" s="122"/>
      <c r="F115" s="122"/>
      <c r="G115" s="122"/>
      <c r="H115" s="122"/>
      <c r="I115" s="138"/>
      <c r="J115" s="13"/>
      <c r="K115" s="122"/>
      <c r="L115" s="125" t="s">
        <v>583</v>
      </c>
      <c r="M115" s="147"/>
      <c r="N115" s="147"/>
      <c r="O115" s="147"/>
      <c r="P115" s="147"/>
      <c r="Q115" s="147"/>
      <c r="R115" s="147"/>
      <c r="S115" s="15"/>
      <c r="T115" s="15"/>
      <c r="U115" s="13"/>
      <c r="AB115" s="125" t="s">
        <v>586</v>
      </c>
    </row>
    <row r="116" spans="1:28">
      <c r="A116" s="13"/>
      <c r="B116" s="123"/>
      <c r="C116" s="111"/>
      <c r="D116" s="111"/>
      <c r="E116" s="125"/>
      <c r="F116" s="125"/>
      <c r="G116" s="125"/>
      <c r="H116" s="125"/>
      <c r="I116" s="419"/>
      <c r="J116" s="337"/>
      <c r="K116" s="317"/>
      <c r="L116" s="125"/>
      <c r="M116" s="123"/>
      <c r="N116" s="123"/>
      <c r="O116" s="123"/>
      <c r="P116" s="123"/>
      <c r="Q116" s="123"/>
      <c r="R116" s="123"/>
      <c r="S116" s="124"/>
      <c r="T116" s="124"/>
      <c r="U116" s="13"/>
      <c r="AB116" s="149" t="s">
        <v>588</v>
      </c>
    </row>
    <row r="117" spans="1:28">
      <c r="A117" s="13"/>
      <c r="B117" s="15"/>
      <c r="C117" s="13"/>
      <c r="D117" s="13"/>
      <c r="E117" s="122"/>
      <c r="F117" s="122"/>
      <c r="G117" s="122"/>
      <c r="H117" s="122"/>
      <c r="I117" s="13"/>
      <c r="J117" s="13"/>
      <c r="K117" s="122"/>
      <c r="L117" s="125"/>
      <c r="M117" s="15"/>
      <c r="N117" s="15"/>
      <c r="O117" s="15"/>
      <c r="P117" s="15"/>
      <c r="Q117" s="15"/>
      <c r="R117" s="15"/>
      <c r="S117" s="15"/>
      <c r="T117" s="15"/>
      <c r="U117" s="13"/>
    </row>
    <row r="118" spans="1:28">
      <c r="A118" s="13"/>
      <c r="B118" s="15"/>
      <c r="C118" s="13"/>
      <c r="D118" s="13"/>
      <c r="E118" s="122"/>
      <c r="F118" s="122"/>
      <c r="G118" s="122"/>
      <c r="H118" s="122"/>
      <c r="I118" s="13"/>
      <c r="J118" s="13"/>
      <c r="K118" s="122"/>
      <c r="L118" s="125"/>
      <c r="M118" s="15"/>
      <c r="N118" s="15"/>
      <c r="O118" s="15"/>
      <c r="P118" s="15"/>
      <c r="Q118" s="15"/>
      <c r="R118" s="15"/>
      <c r="S118" s="15"/>
      <c r="T118" s="15"/>
      <c r="U118" s="13"/>
    </row>
    <row r="119" spans="1:28">
      <c r="A119" s="13"/>
      <c r="B119" s="15"/>
      <c r="C119" s="13"/>
      <c r="D119" s="13"/>
      <c r="E119" s="122"/>
      <c r="F119" s="122"/>
      <c r="G119" s="122"/>
      <c r="H119" s="146" t="s">
        <v>303</v>
      </c>
      <c r="I119" s="150"/>
      <c r="J119" s="13"/>
      <c r="K119" s="148"/>
      <c r="L119" s="125"/>
      <c r="M119" s="15"/>
      <c r="N119" s="15"/>
      <c r="O119" s="15"/>
      <c r="P119" s="15"/>
      <c r="Q119" s="15"/>
      <c r="R119" s="15"/>
      <c r="S119" s="15"/>
      <c r="T119" s="15"/>
      <c r="U119" s="13"/>
    </row>
    <row r="120" spans="1:28">
      <c r="A120" s="13"/>
      <c r="B120" s="15"/>
      <c r="C120" s="13"/>
      <c r="D120" s="13"/>
      <c r="E120" s="122"/>
      <c r="F120" s="122"/>
      <c r="G120" s="122"/>
      <c r="H120" s="146" t="s">
        <v>392</v>
      </c>
      <c r="I120" s="150"/>
      <c r="J120" s="13"/>
      <c r="K120" s="148"/>
      <c r="L120" s="125"/>
      <c r="M120" s="15"/>
      <c r="N120" s="15"/>
      <c r="O120" s="15"/>
      <c r="P120" s="15"/>
      <c r="Q120" s="15"/>
      <c r="R120" s="15"/>
      <c r="S120" s="15"/>
      <c r="T120" s="15"/>
      <c r="U120" s="13"/>
    </row>
    <row r="121" spans="1:28">
      <c r="A121" s="13"/>
      <c r="B121" s="15"/>
      <c r="C121" s="13"/>
      <c r="D121" s="13"/>
      <c r="E121" s="122"/>
      <c r="F121" s="122"/>
      <c r="G121" s="122"/>
      <c r="H121" s="122"/>
      <c r="I121" s="150"/>
      <c r="J121" s="13"/>
      <c r="K121" s="148"/>
      <c r="L121" s="125"/>
      <c r="M121" s="15"/>
      <c r="N121" s="15"/>
      <c r="O121" s="15"/>
      <c r="P121" s="15"/>
      <c r="Q121" s="15"/>
      <c r="R121" s="15"/>
      <c r="S121" s="15"/>
      <c r="T121" s="15"/>
      <c r="U121" s="13"/>
    </row>
    <row r="122" spans="1:28">
      <c r="A122" s="13"/>
      <c r="B122" s="15"/>
      <c r="C122" s="13"/>
      <c r="D122" s="13"/>
      <c r="E122" s="122"/>
      <c r="F122" s="122"/>
      <c r="G122" s="122"/>
      <c r="H122" s="122"/>
      <c r="I122" s="150"/>
      <c r="J122" s="13"/>
      <c r="K122" s="148"/>
      <c r="L122" s="125"/>
      <c r="M122" s="15"/>
      <c r="N122" s="15"/>
      <c r="O122" s="15"/>
      <c r="P122" s="15"/>
      <c r="Q122" s="15"/>
      <c r="R122" s="15"/>
      <c r="S122" s="15"/>
      <c r="T122" s="15"/>
      <c r="U122" s="13"/>
    </row>
    <row r="123" spans="1:28">
      <c r="A123" s="13"/>
      <c r="B123" s="15"/>
      <c r="C123" s="13"/>
      <c r="D123" s="13"/>
      <c r="E123" s="122"/>
      <c r="F123" s="122"/>
      <c r="G123" s="122"/>
      <c r="H123" s="122"/>
      <c r="I123" s="150"/>
      <c r="J123" s="13"/>
      <c r="K123" s="148"/>
      <c r="L123" s="125"/>
      <c r="M123" s="15"/>
      <c r="N123" s="15"/>
      <c r="O123" s="15"/>
      <c r="P123" s="15"/>
      <c r="Q123" s="15"/>
      <c r="R123" s="15"/>
      <c r="S123" s="15"/>
      <c r="T123" s="15"/>
      <c r="U123" s="13"/>
    </row>
    <row r="124" spans="1:28">
      <c r="A124" s="13"/>
      <c r="B124" s="15"/>
      <c r="C124" s="13"/>
      <c r="D124" s="13"/>
      <c r="E124" s="122"/>
      <c r="F124" s="122"/>
      <c r="G124" s="122"/>
      <c r="H124" s="122"/>
      <c r="I124" s="150"/>
      <c r="J124" s="13"/>
      <c r="K124" s="148"/>
      <c r="L124" s="125"/>
      <c r="M124" s="15"/>
      <c r="N124" s="15"/>
      <c r="O124" s="15"/>
      <c r="P124" s="15"/>
      <c r="Q124" s="15"/>
      <c r="R124" s="15"/>
      <c r="S124" s="15"/>
      <c r="T124" s="15"/>
      <c r="U124" s="13"/>
    </row>
    <row r="125" spans="1:28">
      <c r="A125" s="13"/>
      <c r="B125" s="15"/>
      <c r="C125" s="13"/>
      <c r="D125" s="13"/>
      <c r="E125" s="122"/>
      <c r="F125" s="122"/>
      <c r="G125" s="122"/>
      <c r="H125" s="122"/>
      <c r="I125" s="150"/>
      <c r="J125" s="13"/>
      <c r="K125" s="122"/>
      <c r="L125" s="125"/>
      <c r="M125" s="15"/>
      <c r="N125" s="15"/>
      <c r="O125" s="15"/>
      <c r="P125" s="15"/>
      <c r="Q125" s="15"/>
      <c r="R125" s="15"/>
      <c r="S125" s="15"/>
      <c r="T125" s="15"/>
      <c r="U125" s="13"/>
    </row>
    <row r="126" spans="1:28">
      <c r="A126" s="13"/>
      <c r="B126" s="15"/>
      <c r="C126" s="13"/>
      <c r="D126" s="13"/>
      <c r="E126" s="122"/>
      <c r="F126" s="122"/>
      <c r="G126" s="122"/>
      <c r="H126" s="122"/>
      <c r="I126" s="150"/>
      <c r="J126" s="13"/>
      <c r="K126" s="122"/>
      <c r="L126" s="125"/>
      <c r="M126" s="15"/>
      <c r="N126" s="15"/>
      <c r="O126" s="15"/>
      <c r="P126" s="15"/>
      <c r="Q126" s="15"/>
      <c r="R126" s="15"/>
      <c r="S126" s="15"/>
      <c r="T126" s="15"/>
      <c r="U126" s="13"/>
    </row>
    <row r="127" spans="1:28">
      <c r="A127" s="13"/>
      <c r="B127" s="15"/>
      <c r="C127" s="13"/>
      <c r="D127" s="13"/>
      <c r="E127" s="122"/>
      <c r="F127" s="122"/>
      <c r="G127" s="122"/>
      <c r="H127" s="122"/>
      <c r="I127" s="150"/>
      <c r="J127" s="13"/>
      <c r="K127" s="122"/>
      <c r="L127" s="125"/>
      <c r="M127" s="15"/>
      <c r="N127" s="15"/>
      <c r="O127" s="15"/>
      <c r="P127" s="15"/>
      <c r="Q127" s="15"/>
      <c r="R127" s="15"/>
      <c r="S127" s="15"/>
      <c r="T127" s="15"/>
      <c r="U127" s="13"/>
    </row>
  </sheetData>
  <mergeCells count="2">
    <mergeCell ref="E2:G2"/>
    <mergeCell ref="H4:I4"/>
  </mergeCells>
  <phoneticPr fontId="55" type="noConversion"/>
  <conditionalFormatting sqref="H7:H112">
    <cfRule type="expression" dxfId="1" priority="2" stopIfTrue="1">
      <formula>H7="Y"</formula>
    </cfRule>
  </conditionalFormatting>
  <dataValidations count="1">
    <dataValidation type="list" allowBlank="1" showInputMessage="1" showErrorMessage="1" sqref="H116 H7:H113">
      <formula1>$H$119:$H$120</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sheetPr>
  <dimension ref="A1:IV154"/>
  <sheetViews>
    <sheetView topLeftCell="A28" workbookViewId="0">
      <selection activeCell="AC16" sqref="AC16"/>
    </sheetView>
  </sheetViews>
  <sheetFormatPr defaultColWidth="11.5546875" defaultRowHeight="13.2"/>
  <cols>
    <col min="1" max="1" width="5.44140625" style="13" customWidth="1"/>
    <col min="2" max="2" width="3.33203125" style="123" customWidth="1"/>
    <col min="3" max="3" width="11.88671875" style="125" customWidth="1"/>
    <col min="4" max="4" width="13.5546875" style="13" customWidth="1"/>
    <col min="5" max="14" width="3.6640625" style="15" customWidth="1"/>
    <col min="15" max="15" width="0.88671875" style="15" customWidth="1"/>
    <col min="16" max="27" width="3.6640625" style="15" customWidth="1"/>
    <col min="28" max="28" width="0.88671875" style="15" customWidth="1"/>
    <col min="29" max="40" width="3.6640625" style="15" customWidth="1"/>
    <col min="41" max="16384" width="11.5546875" style="13"/>
  </cols>
  <sheetData>
    <row r="1" spans="1:256" ht="12" customHeight="1">
      <c r="C1" s="174" t="s">
        <v>384</v>
      </c>
      <c r="D1" s="150" t="s">
        <v>278</v>
      </c>
      <c r="E1" s="10"/>
      <c r="F1" s="10"/>
      <c r="G1" s="10"/>
      <c r="H1" s="10"/>
      <c r="I1" s="10"/>
      <c r="J1" s="10"/>
      <c r="K1" s="10"/>
      <c r="L1" s="10"/>
      <c r="M1" s="10"/>
      <c r="N1" s="10"/>
      <c r="O1" s="227"/>
      <c r="P1" s="226"/>
      <c r="Q1" s="226"/>
      <c r="R1" s="226"/>
      <c r="S1" s="226"/>
      <c r="T1" s="226"/>
      <c r="U1" s="226"/>
      <c r="V1" s="226"/>
      <c r="W1" s="226"/>
      <c r="X1" s="226"/>
      <c r="Y1" s="226"/>
      <c r="Z1" s="226"/>
      <c r="AA1" s="226"/>
      <c r="AB1" s="226"/>
      <c r="AC1" s="10"/>
      <c r="AD1" s="10"/>
      <c r="AE1" s="10"/>
      <c r="AF1" s="10"/>
      <c r="AG1" s="10"/>
      <c r="AH1" s="10"/>
      <c r="AI1" s="10"/>
      <c r="AJ1" s="10"/>
      <c r="AK1" s="11"/>
      <c r="AL1" s="11"/>
      <c r="AM1" s="11"/>
      <c r="AN1" s="12"/>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row>
    <row r="2" spans="1:256" ht="12" customHeight="1" thickBot="1">
      <c r="C2" s="236" t="str">
        <f ca="1">INDIRECT("'"&amp;$C$1&amp;"'!c2")</f>
        <v>Male</v>
      </c>
      <c r="D2" s="236" t="str">
        <f ca="1">INDIRECT("'"&amp;$C$1&amp;"'!D2")</f>
        <v>natal</v>
      </c>
      <c r="E2" s="239"/>
      <c r="F2" s="242"/>
      <c r="G2" s="236" t="str">
        <f ca="1">INDIRECT("'"&amp;$C$1&amp;"'!G2")</f>
        <v>saturn</v>
      </c>
      <c r="H2" s="242"/>
      <c r="I2" s="236" t="str">
        <f ca="1">INDIRECT("'"&amp;$C$1&amp;"'!I2")</f>
        <v>ketu</v>
      </c>
      <c r="J2" s="242"/>
      <c r="K2" s="236" t="str">
        <f ca="1">INDIRECT("'"&amp;$C$1&amp;"'!K2")</f>
        <v>saturn</v>
      </c>
      <c r="L2" s="242"/>
      <c r="M2" s="242"/>
      <c r="N2" s="242"/>
      <c r="O2" s="243"/>
      <c r="P2" s="243"/>
      <c r="Q2" s="243"/>
      <c r="R2" s="243"/>
      <c r="S2" s="236">
        <f ca="1">INDIRECT("'"&amp;$C$1&amp;"'!S2")</f>
        <v>72</v>
      </c>
      <c r="T2" s="236">
        <f ca="1">INDIRECT("'"&amp;$C$1&amp;"'!T2")</f>
        <v>36</v>
      </c>
      <c r="U2" s="236" t="str">
        <f ca="1">INDIRECT("'"&amp;$C$1&amp;"'!U2")</f>
        <v>East</v>
      </c>
      <c r="V2" s="243"/>
      <c r="W2" s="236">
        <f ca="1">INDIRECT("'"&amp;$C$1&amp;"'!W2")</f>
        <v>23</v>
      </c>
      <c r="X2" s="236">
        <f ca="1">INDIRECT("'"&amp;$C$1&amp;"'!X2")</f>
        <v>48</v>
      </c>
      <c r="Y2" s="236" t="str">
        <f ca="1">INDIRECT("'"&amp;$C$1&amp;"'!Y2")</f>
        <v>North</v>
      </c>
      <c r="Z2" s="243"/>
      <c r="AA2" s="243"/>
      <c r="AB2" s="568">
        <f ca="1">INDIRECT("'"&amp;$C$1&amp;"'!AA2")</f>
        <v>18523</v>
      </c>
      <c r="AC2" s="544"/>
      <c r="AD2" s="544"/>
      <c r="AE2" s="544"/>
      <c r="AF2" s="242"/>
      <c r="AG2" s="569">
        <f ca="1">INDIRECT("'"&amp;$C$1&amp;"'!AG2")</f>
        <v>0.39861111111111108</v>
      </c>
      <c r="AH2" s="543"/>
      <c r="AI2" s="534"/>
      <c r="AJ2" s="242"/>
      <c r="AK2" s="242"/>
      <c r="AL2" s="242"/>
      <c r="AM2" s="242"/>
      <c r="AN2" s="236" t="str">
        <f ca="1">INDIRECT("'"&amp;$C$1&amp;"'!AN2")</f>
        <v>NDM179934000</v>
      </c>
      <c r="AO2" s="244"/>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ht="12" customHeight="1" thickTop="1">
      <c r="D3" s="111"/>
      <c r="E3" s="14"/>
      <c r="F3" s="73"/>
      <c r="G3" s="141"/>
      <c r="H3" s="141"/>
      <c r="I3" s="141"/>
      <c r="J3" s="89"/>
      <c r="K3" s="89"/>
      <c r="L3" s="89"/>
      <c r="M3" s="73"/>
      <c r="N3" s="122"/>
      <c r="O3" s="122"/>
      <c r="P3" s="122"/>
      <c r="AC3" s="4"/>
      <c r="AD3" s="4"/>
      <c r="AE3" s="4"/>
      <c r="AF3" s="4"/>
      <c r="AG3" s="4"/>
      <c r="AH3" s="4"/>
      <c r="AI3" s="4"/>
      <c r="AJ3" s="4"/>
      <c r="AK3" s="4"/>
      <c r="AL3" s="4"/>
      <c r="AM3" s="4"/>
      <c r="AN3" s="4"/>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ht="9.9" customHeight="1">
      <c r="E4" s="14"/>
      <c r="F4" s="4"/>
      <c r="G4" s="4"/>
      <c r="H4" s="4"/>
      <c r="I4" s="4"/>
      <c r="J4" s="4"/>
      <c r="K4" s="4"/>
      <c r="L4" s="4"/>
      <c r="M4" s="4"/>
      <c r="N4" s="4"/>
      <c r="AC4" s="4"/>
      <c r="AD4" s="4"/>
      <c r="AE4" s="4"/>
      <c r="AF4" s="4"/>
      <c r="AG4" s="4"/>
      <c r="AH4" s="4"/>
      <c r="AI4" s="4"/>
      <c r="AJ4" s="4"/>
      <c r="AK4" s="4"/>
      <c r="AL4" s="4"/>
      <c r="AM4" s="4"/>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ht="9.9" customHeight="1">
      <c r="D5" s="5"/>
      <c r="E5" s="4"/>
      <c r="F5" s="4"/>
      <c r="G5" s="4"/>
      <c r="H5" s="4"/>
      <c r="I5" s="4"/>
      <c r="J5" s="4"/>
      <c r="K5" s="4"/>
      <c r="L5" s="4"/>
      <c r="M5" s="4"/>
      <c r="N5" s="4"/>
      <c r="AC5" s="4"/>
      <c r="AD5" s="4"/>
      <c r="AE5" s="4"/>
      <c r="AF5" s="4"/>
      <c r="AG5" s="4"/>
      <c r="AH5" s="4"/>
      <c r="AI5" s="4"/>
      <c r="AJ5" s="4"/>
      <c r="AK5" s="4"/>
      <c r="AL5" s="4"/>
      <c r="AM5" s="4"/>
      <c r="AN5" s="16"/>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7" spans="1:256" ht="38.4">
      <c r="A7" s="131" t="s">
        <v>262</v>
      </c>
      <c r="C7" s="4"/>
      <c r="D7" s="4"/>
      <c r="E7" s="4"/>
      <c r="F7" s="4"/>
      <c r="G7" s="4"/>
      <c r="H7" s="4"/>
      <c r="I7" s="4"/>
      <c r="J7" s="4"/>
      <c r="L7" s="4"/>
      <c r="M7" s="204" t="s">
        <v>281</v>
      </c>
      <c r="N7" s="209" t="s">
        <v>282</v>
      </c>
      <c r="O7" s="142"/>
      <c r="S7" s="4"/>
      <c r="T7" s="4"/>
      <c r="U7" s="4"/>
      <c r="V7" s="4"/>
      <c r="W7" s="4"/>
      <c r="X7" s="4"/>
      <c r="Y7" s="4"/>
      <c r="Z7" s="4"/>
      <c r="AA7" s="4"/>
      <c r="AB7" s="4"/>
      <c r="AC7" s="4"/>
      <c r="AD7" s="4"/>
      <c r="AE7" s="4"/>
      <c r="AF7" s="4"/>
      <c r="AG7" s="4"/>
      <c r="AH7" s="4"/>
      <c r="AI7" s="4"/>
      <c r="AJ7" s="4"/>
      <c r="AK7" s="4"/>
      <c r="AL7" s="4"/>
      <c r="AM7" s="4"/>
      <c r="AN7" s="4"/>
    </row>
    <row r="8" spans="1:256" ht="15.6">
      <c r="A8" s="131" t="s">
        <v>263</v>
      </c>
      <c r="C8" s="15"/>
      <c r="D8" s="4"/>
      <c r="E8" s="4"/>
      <c r="F8" s="4"/>
      <c r="G8" s="4"/>
      <c r="H8" s="4"/>
      <c r="I8" s="4"/>
      <c r="J8" s="4"/>
      <c r="L8" s="4"/>
      <c r="M8" s="205"/>
      <c r="N8" s="210"/>
      <c r="S8" s="4"/>
      <c r="T8" s="4"/>
      <c r="U8" s="4"/>
      <c r="V8" s="4"/>
      <c r="W8" s="4"/>
      <c r="X8" s="4"/>
      <c r="Y8" s="4"/>
      <c r="Z8" s="4"/>
      <c r="AA8" s="4"/>
      <c r="AB8" s="4"/>
      <c r="AC8" s="4"/>
      <c r="AD8" s="142"/>
      <c r="AE8" s="142"/>
      <c r="AF8" s="142"/>
      <c r="AG8" s="142"/>
      <c r="AH8" s="142"/>
      <c r="AI8" s="142"/>
      <c r="AJ8" s="142"/>
      <c r="AK8" s="142"/>
      <c r="AL8" s="142"/>
      <c r="AM8" s="142"/>
      <c r="AN8" s="4"/>
    </row>
    <row r="9" spans="1:256">
      <c r="A9" s="143" t="s">
        <v>267</v>
      </c>
      <c r="C9" s="128" t="s">
        <v>26</v>
      </c>
      <c r="D9" s="129" t="s">
        <v>142</v>
      </c>
      <c r="E9" s="560" t="s">
        <v>27</v>
      </c>
      <c r="F9" s="560"/>
      <c r="G9" s="560"/>
      <c r="H9" s="560"/>
      <c r="M9" s="206" t="str">
        <f t="shared" ref="M9:M18" ca="1" si="0">VLOOKUP(CONCATENATE(D9," ",E9),$C$66:$AM$152,HLOOKUP(C9,$E$58:$AN$59,2,FALSE)+2,FALSE)</f>
        <v/>
      </c>
      <c r="N9" s="107" t="str">
        <f t="shared" ref="N9:N18" ca="1" si="1">IF(M9="Y","P","")</f>
        <v/>
      </c>
      <c r="Q9" s="148" t="s">
        <v>279</v>
      </c>
      <c r="S9" s="4"/>
      <c r="T9" s="4"/>
      <c r="U9" s="4"/>
      <c r="V9" s="4"/>
      <c r="W9" s="4"/>
      <c r="X9" s="4"/>
      <c r="Y9" s="4"/>
      <c r="Z9" s="4"/>
      <c r="AA9" s="4"/>
      <c r="AB9" s="4"/>
      <c r="AC9" s="4"/>
      <c r="AD9" s="142"/>
      <c r="AE9" s="146"/>
      <c r="AF9" s="142"/>
      <c r="AG9" s="142"/>
      <c r="AH9" s="142"/>
      <c r="AI9" s="142"/>
      <c r="AJ9" s="142"/>
      <c r="AK9" s="142"/>
      <c r="AL9" s="142"/>
      <c r="AM9" s="142"/>
      <c r="AN9" s="4"/>
    </row>
    <row r="10" spans="1:256">
      <c r="A10" s="143" t="s">
        <v>268</v>
      </c>
      <c r="C10" s="128" t="s">
        <v>26</v>
      </c>
      <c r="D10" s="129" t="s">
        <v>142</v>
      </c>
      <c r="E10" s="560" t="s">
        <v>30</v>
      </c>
      <c r="F10" s="560"/>
      <c r="G10" s="560"/>
      <c r="H10" s="560"/>
      <c r="M10" s="206" t="str">
        <f t="shared" ca="1" si="0"/>
        <v>Y</v>
      </c>
      <c r="N10" s="107" t="str">
        <f t="shared" ca="1" si="1"/>
        <v>P</v>
      </c>
      <c r="Q10" s="148" t="s">
        <v>279</v>
      </c>
      <c r="S10" s="4"/>
      <c r="T10" s="4"/>
      <c r="U10" s="4"/>
      <c r="V10" s="4"/>
      <c r="W10" s="4"/>
      <c r="X10" s="4"/>
      <c r="Y10" s="4"/>
      <c r="Z10" s="4"/>
      <c r="AA10" s="4"/>
      <c r="AB10" s="4"/>
      <c r="AC10" s="4"/>
      <c r="AD10" s="142"/>
      <c r="AE10" s="146"/>
      <c r="AF10" s="142"/>
      <c r="AG10" s="142"/>
      <c r="AH10" s="142"/>
      <c r="AI10" s="142"/>
      <c r="AJ10" s="142"/>
      <c r="AK10" s="142"/>
      <c r="AL10" s="142"/>
      <c r="AM10" s="142"/>
      <c r="AN10" s="4"/>
    </row>
    <row r="11" spans="1:256">
      <c r="A11" s="143" t="s">
        <v>269</v>
      </c>
      <c r="C11" s="128" t="s">
        <v>26</v>
      </c>
      <c r="D11" s="129" t="s">
        <v>142</v>
      </c>
      <c r="E11" s="560" t="s">
        <v>34</v>
      </c>
      <c r="F11" s="560"/>
      <c r="G11" s="560"/>
      <c r="H11" s="560"/>
      <c r="M11" s="206" t="str">
        <f t="shared" ca="1" si="0"/>
        <v/>
      </c>
      <c r="N11" s="107" t="str">
        <f t="shared" ca="1" si="1"/>
        <v/>
      </c>
      <c r="Q11" s="148" t="s">
        <v>279</v>
      </c>
      <c r="S11" s="4"/>
      <c r="T11" s="4"/>
      <c r="U11" s="4"/>
      <c r="V11" s="4"/>
      <c r="W11" s="4"/>
      <c r="X11" s="4"/>
      <c r="Y11" s="4"/>
      <c r="Z11" s="4"/>
      <c r="AA11" s="4"/>
      <c r="AB11" s="4"/>
      <c r="AC11" s="4"/>
      <c r="AD11" s="142"/>
      <c r="AE11" s="146"/>
      <c r="AF11" s="142"/>
      <c r="AG11" s="142"/>
      <c r="AH11" s="142"/>
      <c r="AI11" s="142"/>
      <c r="AJ11" s="142"/>
      <c r="AK11" s="142"/>
      <c r="AL11" s="142"/>
      <c r="AM11" s="142"/>
      <c r="AN11" s="4"/>
    </row>
    <row r="12" spans="1:256">
      <c r="A12" s="143" t="s">
        <v>270</v>
      </c>
      <c r="C12" s="128" t="s">
        <v>27</v>
      </c>
      <c r="D12" s="129" t="s">
        <v>142</v>
      </c>
      <c r="E12" s="560" t="s">
        <v>30</v>
      </c>
      <c r="F12" s="560"/>
      <c r="G12" s="560"/>
      <c r="H12" s="560"/>
      <c r="M12" s="206" t="str">
        <f t="shared" ca="1" si="0"/>
        <v/>
      </c>
      <c r="N12" s="107" t="str">
        <f t="shared" ca="1" si="1"/>
        <v/>
      </c>
      <c r="Q12" s="148" t="s">
        <v>279</v>
      </c>
      <c r="S12" s="4"/>
      <c r="T12" s="4"/>
      <c r="U12" s="4"/>
      <c r="V12" s="4"/>
      <c r="W12" s="4"/>
      <c r="X12" s="4"/>
      <c r="Y12" s="4"/>
      <c r="Z12" s="4"/>
      <c r="AA12" s="4"/>
      <c r="AB12" s="4"/>
      <c r="AC12" s="4"/>
      <c r="AD12" s="142"/>
      <c r="AE12" s="146"/>
      <c r="AF12" s="142"/>
      <c r="AG12" s="142"/>
      <c r="AH12" s="142"/>
      <c r="AI12" s="142"/>
      <c r="AJ12" s="142"/>
      <c r="AK12" s="142"/>
      <c r="AL12" s="142"/>
      <c r="AM12" s="142"/>
      <c r="AN12" s="4"/>
    </row>
    <row r="13" spans="1:256">
      <c r="A13" s="143" t="s">
        <v>271</v>
      </c>
      <c r="C13" s="128" t="s">
        <v>27</v>
      </c>
      <c r="D13" s="129" t="s">
        <v>142</v>
      </c>
      <c r="E13" s="560" t="s">
        <v>34</v>
      </c>
      <c r="F13" s="560"/>
      <c r="G13" s="560"/>
      <c r="H13" s="560"/>
      <c r="M13" s="206" t="str">
        <f t="shared" ca="1" si="0"/>
        <v/>
      </c>
      <c r="N13" s="107" t="str">
        <f t="shared" ca="1" si="1"/>
        <v/>
      </c>
      <c r="Q13" s="148" t="s">
        <v>279</v>
      </c>
      <c r="S13" s="4"/>
      <c r="T13" s="4"/>
      <c r="U13" s="4"/>
      <c r="V13" s="4"/>
      <c r="W13" s="4"/>
      <c r="X13" s="4"/>
      <c r="Y13" s="4"/>
      <c r="Z13" s="4"/>
      <c r="AA13" s="4"/>
      <c r="AB13" s="4"/>
      <c r="AC13" s="4"/>
      <c r="AD13" s="142"/>
      <c r="AE13" s="146"/>
      <c r="AF13" s="142"/>
      <c r="AG13" s="142"/>
      <c r="AH13" s="142"/>
      <c r="AI13" s="142"/>
      <c r="AJ13" s="142"/>
      <c r="AK13" s="142"/>
      <c r="AL13" s="142"/>
      <c r="AM13" s="142"/>
      <c r="AN13" s="4"/>
    </row>
    <row r="14" spans="1:256">
      <c r="A14" s="143" t="s">
        <v>272</v>
      </c>
      <c r="C14" s="128" t="s">
        <v>27</v>
      </c>
      <c r="D14" s="129" t="s">
        <v>142</v>
      </c>
      <c r="E14" s="560" t="s">
        <v>36</v>
      </c>
      <c r="F14" s="560"/>
      <c r="G14" s="560"/>
      <c r="H14" s="560"/>
      <c r="M14" s="206" t="str">
        <f t="shared" ca="1" si="0"/>
        <v/>
      </c>
      <c r="N14" s="107" t="str">
        <f t="shared" ca="1" si="1"/>
        <v/>
      </c>
      <c r="Q14" s="148" t="s">
        <v>279</v>
      </c>
      <c r="S14" s="4"/>
      <c r="T14" s="4"/>
      <c r="U14" s="4"/>
      <c r="V14" s="4"/>
      <c r="W14" s="4"/>
      <c r="X14" s="4"/>
      <c r="Y14" s="4"/>
      <c r="Z14" s="4"/>
      <c r="AA14" s="4"/>
      <c r="AB14" s="4"/>
      <c r="AC14" s="4"/>
      <c r="AD14" s="142"/>
      <c r="AE14" s="146"/>
      <c r="AF14" s="142"/>
      <c r="AG14" s="142"/>
      <c r="AH14" s="142"/>
      <c r="AI14" s="142"/>
      <c r="AJ14" s="142"/>
      <c r="AK14" s="142"/>
      <c r="AL14" s="142"/>
      <c r="AM14" s="142"/>
      <c r="AN14" s="4"/>
    </row>
    <row r="15" spans="1:256">
      <c r="A15" s="143" t="s">
        <v>273</v>
      </c>
      <c r="C15" s="128" t="s">
        <v>30</v>
      </c>
      <c r="D15" s="129" t="s">
        <v>142</v>
      </c>
      <c r="E15" s="560" t="s">
        <v>34</v>
      </c>
      <c r="F15" s="560"/>
      <c r="G15" s="560"/>
      <c r="H15" s="560"/>
      <c r="M15" s="206" t="str">
        <f t="shared" ca="1" si="0"/>
        <v/>
      </c>
      <c r="N15" s="107" t="str">
        <f t="shared" ca="1" si="1"/>
        <v/>
      </c>
      <c r="Q15" s="148" t="s">
        <v>279</v>
      </c>
      <c r="S15" s="4"/>
      <c r="T15" s="4"/>
      <c r="U15" s="4"/>
      <c r="V15" s="4"/>
      <c r="W15" s="4"/>
      <c r="X15" s="4"/>
      <c r="Y15" s="4"/>
      <c r="Z15" s="4"/>
      <c r="AA15" s="4"/>
      <c r="AB15" s="4"/>
      <c r="AC15" s="4"/>
      <c r="AD15" s="142"/>
      <c r="AE15" s="146"/>
      <c r="AF15" s="142"/>
      <c r="AG15" s="142"/>
      <c r="AH15" s="142"/>
      <c r="AI15" s="142"/>
      <c r="AJ15" s="142"/>
      <c r="AK15" s="142"/>
      <c r="AL15" s="142"/>
      <c r="AM15" s="142"/>
      <c r="AN15" s="4"/>
    </row>
    <row r="16" spans="1:256">
      <c r="A16" s="143" t="s">
        <v>274</v>
      </c>
      <c r="C16" s="128" t="s">
        <v>30</v>
      </c>
      <c r="D16" s="129" t="s">
        <v>142</v>
      </c>
      <c r="E16" s="560" t="s">
        <v>36</v>
      </c>
      <c r="F16" s="560"/>
      <c r="G16" s="560"/>
      <c r="H16" s="560"/>
      <c r="M16" s="206" t="str">
        <f t="shared" ca="1" si="0"/>
        <v/>
      </c>
      <c r="N16" s="107" t="str">
        <f t="shared" ca="1" si="1"/>
        <v/>
      </c>
      <c r="Q16" s="148" t="s">
        <v>279</v>
      </c>
      <c r="S16" s="4"/>
      <c r="T16" s="4"/>
      <c r="U16" s="4"/>
      <c r="V16" s="4"/>
      <c r="W16" s="4"/>
      <c r="X16" s="4"/>
      <c r="Y16" s="4"/>
      <c r="Z16" s="4"/>
      <c r="AA16" s="4"/>
      <c r="AB16" s="4"/>
      <c r="AC16" s="4"/>
      <c r="AD16" s="142"/>
      <c r="AE16" s="146"/>
      <c r="AF16" s="142"/>
      <c r="AG16" s="142"/>
      <c r="AH16" s="142"/>
      <c r="AI16" s="142"/>
      <c r="AJ16" s="142"/>
      <c r="AK16" s="142"/>
      <c r="AL16" s="142"/>
      <c r="AM16" s="142"/>
      <c r="AN16" s="4"/>
    </row>
    <row r="17" spans="1:40">
      <c r="A17" s="143" t="s">
        <v>275</v>
      </c>
      <c r="C17" s="128" t="s">
        <v>30</v>
      </c>
      <c r="D17" s="129" t="s">
        <v>142</v>
      </c>
      <c r="E17" s="560" t="s">
        <v>36</v>
      </c>
      <c r="F17" s="560"/>
      <c r="G17" s="560"/>
      <c r="H17" s="560"/>
      <c r="M17" s="206" t="str">
        <f t="shared" ca="1" si="0"/>
        <v/>
      </c>
      <c r="N17" s="107" t="str">
        <f t="shared" ca="1" si="1"/>
        <v/>
      </c>
      <c r="Q17" s="148" t="s">
        <v>279</v>
      </c>
      <c r="S17" s="4"/>
      <c r="T17" s="4"/>
      <c r="U17" s="4"/>
      <c r="V17" s="4"/>
      <c r="W17" s="4"/>
      <c r="X17" s="4"/>
      <c r="Y17" s="4"/>
      <c r="Z17" s="4"/>
      <c r="AA17" s="4"/>
      <c r="AB17" s="4"/>
      <c r="AC17" s="4"/>
      <c r="AD17" s="142"/>
      <c r="AE17" s="146"/>
      <c r="AF17" s="142"/>
      <c r="AG17" s="142"/>
      <c r="AH17" s="142"/>
      <c r="AI17" s="142"/>
      <c r="AJ17" s="142"/>
      <c r="AK17" s="142"/>
      <c r="AL17" s="142"/>
      <c r="AM17" s="142"/>
      <c r="AN17" s="4"/>
    </row>
    <row r="18" spans="1:40">
      <c r="A18" s="124" t="s">
        <v>265</v>
      </c>
      <c r="C18" s="128" t="s">
        <v>34</v>
      </c>
      <c r="D18" s="129" t="s">
        <v>142</v>
      </c>
      <c r="E18" s="560" t="s">
        <v>36</v>
      </c>
      <c r="F18" s="560"/>
      <c r="G18" s="560"/>
      <c r="H18" s="560"/>
      <c r="M18" s="206" t="str">
        <f t="shared" ca="1" si="0"/>
        <v>Y</v>
      </c>
      <c r="N18" s="107" t="str">
        <f t="shared" ca="1" si="1"/>
        <v>P</v>
      </c>
      <c r="Q18" s="148" t="s">
        <v>279</v>
      </c>
      <c r="S18" s="4"/>
      <c r="T18" s="4"/>
      <c r="U18" s="4"/>
      <c r="V18" s="4"/>
      <c r="W18" s="4"/>
      <c r="X18" s="4"/>
      <c r="Y18" s="4"/>
      <c r="Z18" s="4"/>
      <c r="AA18" s="4"/>
      <c r="AB18" s="4"/>
      <c r="AC18" s="4"/>
      <c r="AD18" s="142"/>
      <c r="AE18" s="146"/>
      <c r="AF18" s="142"/>
      <c r="AG18" s="142"/>
      <c r="AH18" s="142"/>
      <c r="AI18" s="142"/>
      <c r="AJ18" s="142"/>
      <c r="AK18" s="142"/>
      <c r="AL18" s="147"/>
      <c r="AM18" s="147"/>
    </row>
    <row r="19" spans="1:40">
      <c r="A19" s="4"/>
      <c r="C19" s="4"/>
      <c r="D19" s="4"/>
      <c r="E19" s="4"/>
      <c r="F19" s="4"/>
      <c r="G19" s="4"/>
      <c r="H19" s="4"/>
      <c r="M19" s="206"/>
      <c r="N19" s="107"/>
      <c r="S19" s="4"/>
      <c r="T19" s="4"/>
      <c r="U19" s="4"/>
      <c r="V19" s="4"/>
      <c r="W19" s="4"/>
      <c r="X19" s="4"/>
      <c r="Y19" s="4"/>
      <c r="Z19" s="4"/>
      <c r="AA19" s="4"/>
      <c r="AB19" s="4"/>
      <c r="AC19" s="4"/>
      <c r="AD19" s="142"/>
      <c r="AE19" s="142"/>
      <c r="AF19" s="142"/>
      <c r="AG19" s="142"/>
      <c r="AH19" s="142"/>
      <c r="AI19" s="142"/>
      <c r="AJ19" s="142"/>
      <c r="AK19" s="142"/>
      <c r="AL19" s="142"/>
      <c r="AM19" s="142"/>
      <c r="AN19" s="4"/>
    </row>
    <row r="20" spans="1:40">
      <c r="A20" s="124" t="s">
        <v>266</v>
      </c>
      <c r="C20" s="128" t="s">
        <v>18</v>
      </c>
      <c r="D20" s="129" t="s">
        <v>142</v>
      </c>
      <c r="E20" s="560" t="s">
        <v>21</v>
      </c>
      <c r="F20" s="560"/>
      <c r="G20" s="560"/>
      <c r="H20" s="560"/>
      <c r="M20" s="206" t="str">
        <f ca="1">VLOOKUP(CONCATENATE(D20," ",E20),$C$66:$AM$152,HLOOKUP(C20,$E$58:$AN$59,2,FALSE)+2,FALSE)</f>
        <v>Y</v>
      </c>
      <c r="N20" s="107" t="str">
        <f ca="1">IF(M20="Y","P","")</f>
        <v>P</v>
      </c>
      <c r="Q20" s="148" t="s">
        <v>279</v>
      </c>
      <c r="S20" s="4"/>
      <c r="T20" s="4"/>
      <c r="U20" s="4"/>
      <c r="V20" s="4"/>
      <c r="W20" s="4"/>
      <c r="X20" s="4"/>
      <c r="Y20" s="4"/>
      <c r="Z20" s="4"/>
      <c r="AA20" s="4"/>
      <c r="AB20" s="4"/>
      <c r="AC20" s="4"/>
      <c r="AD20" s="142"/>
      <c r="AE20" s="146"/>
      <c r="AF20" s="142"/>
      <c r="AG20" s="142"/>
      <c r="AH20" s="142"/>
      <c r="AI20" s="142"/>
      <c r="AJ20" s="142"/>
      <c r="AK20" s="142"/>
      <c r="AL20" s="147"/>
      <c r="AM20" s="142"/>
      <c r="AN20" s="4"/>
    </row>
    <row r="21" spans="1:40">
      <c r="B21" s="14"/>
      <c r="C21" s="73"/>
      <c r="D21" s="89"/>
      <c r="E21" s="73"/>
      <c r="F21" s="122"/>
      <c r="G21" s="122"/>
      <c r="H21" s="122"/>
      <c r="M21" s="206"/>
      <c r="N21" s="107"/>
      <c r="AD21" s="147"/>
      <c r="AE21" s="148"/>
      <c r="AF21" s="147"/>
      <c r="AG21" s="147"/>
      <c r="AH21" s="147"/>
      <c r="AI21" s="147"/>
      <c r="AJ21" s="147"/>
      <c r="AK21" s="147"/>
      <c r="AL21" s="147"/>
      <c r="AM21" s="147"/>
    </row>
    <row r="22" spans="1:40" ht="15.6">
      <c r="A22" s="131" t="s">
        <v>264</v>
      </c>
      <c r="C22" s="15"/>
      <c r="D22" s="4"/>
      <c r="E22" s="4"/>
      <c r="F22" s="4"/>
      <c r="G22" s="4"/>
      <c r="H22" s="4"/>
      <c r="M22" s="206"/>
      <c r="N22" s="107"/>
      <c r="S22" s="4"/>
      <c r="T22" s="4"/>
      <c r="U22" s="4"/>
      <c r="V22" s="4"/>
      <c r="W22" s="4"/>
      <c r="X22" s="4"/>
      <c r="Y22" s="4"/>
      <c r="Z22" s="4"/>
      <c r="AA22" s="4"/>
      <c r="AB22" s="4"/>
      <c r="AC22" s="4"/>
      <c r="AD22" s="142"/>
      <c r="AE22" s="146"/>
      <c r="AF22" s="142"/>
      <c r="AG22" s="142"/>
      <c r="AH22" s="142"/>
      <c r="AI22" s="142"/>
      <c r="AJ22" s="142"/>
      <c r="AK22" s="142"/>
      <c r="AL22" s="147"/>
      <c r="AM22" s="142"/>
      <c r="AN22" s="4"/>
    </row>
    <row r="23" spans="1:40">
      <c r="A23" s="124" t="s">
        <v>285</v>
      </c>
      <c r="C23" s="128" t="s">
        <v>26</v>
      </c>
      <c r="D23" s="129" t="s">
        <v>142</v>
      </c>
      <c r="E23" s="560" t="s">
        <v>29</v>
      </c>
      <c r="F23" s="560"/>
      <c r="G23" s="560"/>
      <c r="H23" s="560"/>
      <c r="M23" s="206" t="str">
        <f t="shared" ref="M23:M32" ca="1" si="2">VLOOKUP(CONCATENATE(D23," ",E23),$C$66:$AM$152,HLOOKUP(C23,$E$58:$AN$59,2,FALSE)+2,FALSE)</f>
        <v>Y</v>
      </c>
      <c r="N23" s="107" t="str">
        <f t="shared" ref="N23:N32" ca="1" si="3">IF(M23="Y","P","")</f>
        <v>P</v>
      </c>
      <c r="Q23" s="148" t="s">
        <v>280</v>
      </c>
      <c r="S23" s="4"/>
      <c r="T23" s="4"/>
      <c r="U23" s="4"/>
      <c r="V23" s="4"/>
      <c r="W23" s="4"/>
      <c r="X23" s="4"/>
      <c r="Y23" s="4"/>
      <c r="Z23" s="4"/>
      <c r="AA23" s="4"/>
      <c r="AB23" s="4"/>
      <c r="AC23" s="4"/>
      <c r="AD23" s="142"/>
      <c r="AE23" s="146"/>
      <c r="AF23" s="142"/>
      <c r="AG23" s="142"/>
      <c r="AH23" s="142"/>
      <c r="AI23" s="142"/>
      <c r="AJ23" s="142"/>
      <c r="AK23" s="142"/>
      <c r="AL23" s="147"/>
      <c r="AM23" s="142"/>
      <c r="AN23" s="4"/>
    </row>
    <row r="24" spans="1:40">
      <c r="A24" s="124" t="s">
        <v>286</v>
      </c>
      <c r="C24" s="128" t="s">
        <v>26</v>
      </c>
      <c r="D24" s="129" t="s">
        <v>142</v>
      </c>
      <c r="E24" s="560" t="s">
        <v>30</v>
      </c>
      <c r="F24" s="560"/>
      <c r="G24" s="560"/>
      <c r="H24" s="560"/>
      <c r="M24" s="206" t="str">
        <f t="shared" ca="1" si="2"/>
        <v>Y</v>
      </c>
      <c r="N24" s="107" t="str">
        <f t="shared" ca="1" si="3"/>
        <v>P</v>
      </c>
      <c r="Q24" s="148" t="s">
        <v>280</v>
      </c>
      <c r="S24" s="4"/>
      <c r="T24" s="4"/>
      <c r="U24" s="4"/>
      <c r="V24" s="4"/>
      <c r="W24" s="4"/>
      <c r="X24" s="4"/>
      <c r="Y24" s="4"/>
      <c r="Z24" s="4"/>
      <c r="AA24" s="4"/>
      <c r="AB24" s="4"/>
      <c r="AC24" s="4"/>
      <c r="AD24" s="142"/>
      <c r="AE24" s="146"/>
      <c r="AF24" s="142"/>
      <c r="AG24" s="142"/>
      <c r="AH24" s="142"/>
      <c r="AI24" s="142"/>
      <c r="AJ24" s="142"/>
      <c r="AK24" s="142"/>
      <c r="AL24" s="147"/>
      <c r="AM24" s="142"/>
      <c r="AN24" s="4"/>
    </row>
    <row r="25" spans="1:40">
      <c r="A25" s="124" t="s">
        <v>287</v>
      </c>
      <c r="C25" s="128" t="s">
        <v>26</v>
      </c>
      <c r="D25" s="129" t="s">
        <v>142</v>
      </c>
      <c r="E25" s="560" t="s">
        <v>32</v>
      </c>
      <c r="F25" s="560"/>
      <c r="G25" s="560"/>
      <c r="H25" s="560"/>
      <c r="M25" s="206" t="str">
        <f t="shared" ca="1" si="2"/>
        <v/>
      </c>
      <c r="N25" s="107" t="str">
        <f t="shared" ca="1" si="3"/>
        <v/>
      </c>
      <c r="Q25" s="148" t="s">
        <v>280</v>
      </c>
      <c r="S25" s="4"/>
      <c r="T25" s="4"/>
      <c r="U25" s="4"/>
      <c r="V25" s="4"/>
      <c r="W25" s="4"/>
      <c r="X25" s="4"/>
      <c r="Y25" s="4"/>
      <c r="Z25" s="4"/>
      <c r="AA25" s="4"/>
      <c r="AB25" s="4"/>
      <c r="AC25" s="4"/>
      <c r="AD25" s="142"/>
      <c r="AE25" s="146"/>
      <c r="AF25" s="142"/>
      <c r="AG25" s="142"/>
      <c r="AH25" s="142"/>
      <c r="AI25" s="142"/>
      <c r="AJ25" s="142"/>
      <c r="AK25" s="142"/>
      <c r="AL25" s="147"/>
      <c r="AM25" s="142"/>
      <c r="AN25" s="4"/>
    </row>
    <row r="26" spans="1:40">
      <c r="A26" s="124" t="s">
        <v>288</v>
      </c>
      <c r="C26" s="128" t="s">
        <v>26</v>
      </c>
      <c r="D26" s="129" t="s">
        <v>142</v>
      </c>
      <c r="E26" s="560" t="s">
        <v>34</v>
      </c>
      <c r="F26" s="560"/>
      <c r="G26" s="560"/>
      <c r="H26" s="560"/>
      <c r="M26" s="206" t="str">
        <f t="shared" ca="1" si="2"/>
        <v/>
      </c>
      <c r="N26" s="107" t="str">
        <f t="shared" ca="1" si="3"/>
        <v/>
      </c>
      <c r="Q26" s="148" t="s">
        <v>280</v>
      </c>
      <c r="S26" s="4"/>
      <c r="T26" s="4"/>
      <c r="U26" s="4"/>
      <c r="V26" s="4"/>
      <c r="W26" s="4"/>
      <c r="X26" s="4"/>
      <c r="Y26" s="4"/>
      <c r="Z26" s="4"/>
      <c r="AA26" s="4"/>
      <c r="AB26" s="4"/>
      <c r="AC26" s="4"/>
      <c r="AD26" s="142"/>
      <c r="AE26" s="146"/>
      <c r="AF26" s="142"/>
      <c r="AG26" s="142"/>
      <c r="AH26" s="142"/>
      <c r="AI26" s="142"/>
      <c r="AJ26" s="142"/>
      <c r="AK26" s="142"/>
      <c r="AL26" s="147"/>
      <c r="AM26" s="142"/>
      <c r="AN26" s="4"/>
    </row>
    <row r="27" spans="1:40">
      <c r="A27" s="124" t="s">
        <v>289</v>
      </c>
      <c r="C27" s="128" t="s">
        <v>29</v>
      </c>
      <c r="D27" s="129" t="s">
        <v>142</v>
      </c>
      <c r="E27" s="560" t="s">
        <v>30</v>
      </c>
      <c r="F27" s="560"/>
      <c r="G27" s="560"/>
      <c r="H27" s="560"/>
      <c r="M27" s="206" t="str">
        <f t="shared" ca="1" si="2"/>
        <v/>
      </c>
      <c r="N27" s="107" t="str">
        <f t="shared" ca="1" si="3"/>
        <v/>
      </c>
      <c r="Q27" s="148" t="s">
        <v>280</v>
      </c>
      <c r="S27" s="4"/>
      <c r="T27" s="4"/>
      <c r="U27" s="4"/>
      <c r="V27" s="4"/>
      <c r="W27" s="4"/>
      <c r="X27" s="4"/>
      <c r="Y27" s="4"/>
      <c r="Z27" s="4"/>
      <c r="AA27" s="4"/>
      <c r="AB27" s="4"/>
      <c r="AC27" s="4"/>
      <c r="AD27" s="142"/>
      <c r="AE27" s="146"/>
      <c r="AF27" s="142"/>
      <c r="AG27" s="142"/>
      <c r="AH27" s="142"/>
      <c r="AI27" s="142"/>
      <c r="AJ27" s="142"/>
      <c r="AK27" s="142"/>
      <c r="AL27" s="147"/>
      <c r="AM27" s="142"/>
      <c r="AN27" s="4"/>
    </row>
    <row r="28" spans="1:40">
      <c r="A28" s="124" t="s">
        <v>290</v>
      </c>
      <c r="C28" s="128" t="s">
        <v>29</v>
      </c>
      <c r="D28" s="129" t="s">
        <v>142</v>
      </c>
      <c r="E28" s="560" t="s">
        <v>34</v>
      </c>
      <c r="F28" s="560"/>
      <c r="G28" s="560"/>
      <c r="H28" s="560"/>
      <c r="M28" s="206" t="str">
        <f t="shared" ca="1" si="2"/>
        <v/>
      </c>
      <c r="N28" s="107" t="str">
        <f t="shared" ca="1" si="3"/>
        <v/>
      </c>
      <c r="Q28" s="148" t="s">
        <v>280</v>
      </c>
      <c r="S28" s="4"/>
      <c r="T28" s="4"/>
      <c r="U28" s="4"/>
      <c r="V28" s="4"/>
      <c r="W28" s="4"/>
      <c r="X28" s="4"/>
      <c r="Y28" s="4"/>
      <c r="Z28" s="4"/>
      <c r="AA28" s="4"/>
      <c r="AB28" s="4"/>
      <c r="AC28" s="4"/>
      <c r="AD28" s="142"/>
      <c r="AE28" s="146"/>
      <c r="AF28" s="142"/>
      <c r="AG28" s="142"/>
      <c r="AH28" s="142"/>
      <c r="AI28" s="142"/>
      <c r="AJ28" s="142"/>
      <c r="AK28" s="142"/>
      <c r="AL28" s="147"/>
      <c r="AM28" s="142"/>
      <c r="AN28" s="4"/>
    </row>
    <row r="29" spans="1:40">
      <c r="A29" s="124" t="s">
        <v>291</v>
      </c>
      <c r="C29" s="128" t="s">
        <v>30</v>
      </c>
      <c r="D29" s="129" t="s">
        <v>142</v>
      </c>
      <c r="E29" s="130" t="s">
        <v>32</v>
      </c>
      <c r="F29" s="130"/>
      <c r="G29" s="130"/>
      <c r="H29" s="130"/>
      <c r="M29" s="206" t="str">
        <f t="shared" ca="1" si="2"/>
        <v/>
      </c>
      <c r="N29" s="107" t="str">
        <f t="shared" ca="1" si="3"/>
        <v/>
      </c>
      <c r="Q29" s="148" t="s">
        <v>280</v>
      </c>
      <c r="S29" s="4"/>
      <c r="T29" s="4"/>
      <c r="U29" s="4"/>
      <c r="V29" s="4"/>
      <c r="W29" s="4"/>
      <c r="X29" s="4"/>
      <c r="Y29" s="4"/>
      <c r="Z29" s="4"/>
      <c r="AA29" s="4"/>
      <c r="AB29" s="4"/>
      <c r="AC29" s="4"/>
      <c r="AD29" s="142"/>
      <c r="AE29" s="146"/>
      <c r="AF29" s="142"/>
      <c r="AG29" s="142"/>
      <c r="AH29" s="142"/>
      <c r="AI29" s="142"/>
      <c r="AJ29" s="142"/>
      <c r="AK29" s="142"/>
      <c r="AL29" s="147"/>
      <c r="AM29" s="142"/>
      <c r="AN29" s="4"/>
    </row>
    <row r="30" spans="1:40">
      <c r="A30" s="124" t="s">
        <v>292</v>
      </c>
      <c r="C30" s="128" t="s">
        <v>30</v>
      </c>
      <c r="D30" s="129" t="s">
        <v>142</v>
      </c>
      <c r="E30" s="560" t="s">
        <v>35</v>
      </c>
      <c r="F30" s="560"/>
      <c r="G30" s="560"/>
      <c r="H30" s="560"/>
      <c r="M30" s="206" t="str">
        <f t="shared" ca="1" si="2"/>
        <v/>
      </c>
      <c r="N30" s="107" t="str">
        <f t="shared" ca="1" si="3"/>
        <v/>
      </c>
      <c r="Q30" s="148" t="s">
        <v>280</v>
      </c>
      <c r="S30" s="4"/>
      <c r="T30" s="4"/>
      <c r="U30" s="4"/>
      <c r="V30" s="4"/>
      <c r="W30" s="4"/>
      <c r="X30" s="4"/>
      <c r="Y30" s="4"/>
      <c r="Z30" s="4"/>
      <c r="AA30" s="4"/>
      <c r="AB30" s="4"/>
      <c r="AC30" s="4"/>
      <c r="AD30" s="142"/>
      <c r="AE30" s="146"/>
      <c r="AF30" s="142"/>
      <c r="AG30" s="142"/>
      <c r="AH30" s="142"/>
      <c r="AI30" s="142"/>
      <c r="AJ30" s="142"/>
      <c r="AK30" s="142"/>
      <c r="AL30" s="147"/>
      <c r="AM30" s="142"/>
      <c r="AN30" s="4"/>
    </row>
    <row r="31" spans="1:40">
      <c r="A31" s="124" t="s">
        <v>293</v>
      </c>
      <c r="C31" s="128" t="s">
        <v>34</v>
      </c>
      <c r="D31" s="129" t="s">
        <v>142</v>
      </c>
      <c r="E31" s="560" t="s">
        <v>32</v>
      </c>
      <c r="F31" s="560"/>
      <c r="G31" s="560"/>
      <c r="H31" s="560"/>
      <c r="M31" s="206" t="str">
        <f t="shared" ca="1" si="2"/>
        <v/>
      </c>
      <c r="N31" s="107" t="str">
        <f t="shared" ca="1" si="3"/>
        <v/>
      </c>
      <c r="Q31" s="148" t="s">
        <v>280</v>
      </c>
      <c r="S31" s="4"/>
      <c r="T31" s="4"/>
      <c r="U31" s="4"/>
      <c r="V31" s="4"/>
      <c r="W31" s="4"/>
      <c r="X31" s="4"/>
      <c r="Y31" s="4"/>
      <c r="Z31" s="4"/>
      <c r="AA31" s="4"/>
      <c r="AB31" s="4"/>
      <c r="AC31" s="4"/>
      <c r="AD31" s="142"/>
      <c r="AE31" s="146"/>
      <c r="AF31" s="142"/>
      <c r="AG31" s="142"/>
      <c r="AH31" s="142"/>
      <c r="AI31" s="142"/>
      <c r="AJ31" s="142"/>
      <c r="AK31" s="142"/>
      <c r="AL31" s="147"/>
      <c r="AM31" s="142"/>
      <c r="AN31" s="4"/>
    </row>
    <row r="32" spans="1:40">
      <c r="A32" s="143" t="s">
        <v>294</v>
      </c>
      <c r="C32" s="128" t="s">
        <v>34</v>
      </c>
      <c r="D32" s="129" t="s">
        <v>142</v>
      </c>
      <c r="E32" s="560" t="s">
        <v>35</v>
      </c>
      <c r="F32" s="560"/>
      <c r="G32" s="560"/>
      <c r="H32" s="560"/>
      <c r="M32" s="206" t="str">
        <f t="shared" ca="1" si="2"/>
        <v/>
      </c>
      <c r="N32" s="107" t="str">
        <f t="shared" ca="1" si="3"/>
        <v/>
      </c>
      <c r="Q32" s="148" t="s">
        <v>280</v>
      </c>
      <c r="S32" s="4"/>
      <c r="T32" s="4"/>
      <c r="U32" s="4"/>
      <c r="V32" s="4"/>
      <c r="W32" s="4"/>
      <c r="X32" s="4"/>
      <c r="Y32" s="4"/>
      <c r="Z32" s="4"/>
      <c r="AA32" s="4"/>
      <c r="AB32" s="4"/>
      <c r="AC32" s="4"/>
      <c r="AD32" s="142"/>
      <c r="AE32" s="146"/>
      <c r="AF32" s="142"/>
      <c r="AG32" s="142"/>
      <c r="AH32" s="142"/>
      <c r="AI32" s="142"/>
      <c r="AJ32" s="142"/>
      <c r="AK32" s="142"/>
      <c r="AL32" s="142"/>
      <c r="AM32" s="142"/>
      <c r="AN32" s="4"/>
    </row>
    <row r="33" spans="1:40">
      <c r="A33" s="143"/>
      <c r="C33" s="73"/>
      <c r="D33" s="89"/>
      <c r="E33" s="73"/>
      <c r="F33" s="73"/>
      <c r="G33" s="73"/>
      <c r="H33" s="73"/>
      <c r="M33" s="206"/>
      <c r="N33" s="107"/>
      <c r="Q33" s="148"/>
      <c r="S33" s="4"/>
      <c r="T33" s="4"/>
      <c r="U33" s="4"/>
      <c r="V33" s="4"/>
      <c r="W33" s="4"/>
      <c r="X33" s="4"/>
      <c r="Y33" s="4"/>
      <c r="Z33" s="4"/>
      <c r="AA33" s="4"/>
      <c r="AB33" s="4"/>
      <c r="AC33" s="4"/>
      <c r="AD33" s="142"/>
      <c r="AE33" s="146"/>
      <c r="AF33" s="142"/>
      <c r="AG33" s="142"/>
      <c r="AH33" s="142"/>
      <c r="AI33" s="142"/>
      <c r="AJ33" s="142"/>
      <c r="AK33" s="142"/>
      <c r="AL33" s="142"/>
      <c r="AM33" s="142"/>
      <c r="AN33" s="4"/>
    </row>
    <row r="34" spans="1:40">
      <c r="A34" s="143"/>
      <c r="C34" s="73"/>
      <c r="D34" s="89"/>
      <c r="E34" s="73"/>
      <c r="F34" s="73"/>
      <c r="G34" s="73"/>
      <c r="H34" s="73"/>
      <c r="M34" s="206"/>
      <c r="N34" s="107"/>
      <c r="Q34" s="148"/>
      <c r="S34" s="4"/>
      <c r="T34" s="4"/>
      <c r="U34" s="4"/>
      <c r="V34" s="4"/>
      <c r="W34" s="4"/>
      <c r="X34" s="4"/>
      <c r="Y34" s="4"/>
      <c r="Z34" s="4"/>
      <c r="AA34" s="4"/>
      <c r="AB34" s="4"/>
      <c r="AC34" s="4"/>
      <c r="AD34" s="142"/>
      <c r="AE34" s="146"/>
      <c r="AF34" s="142"/>
      <c r="AG34" s="142"/>
      <c r="AH34" s="142"/>
      <c r="AI34" s="142"/>
      <c r="AJ34" s="142"/>
      <c r="AK34" s="142"/>
      <c r="AL34" s="142"/>
      <c r="AM34" s="142"/>
      <c r="AN34" s="4"/>
    </row>
    <row r="35" spans="1:40">
      <c r="A35" s="143"/>
      <c r="C35" s="73"/>
      <c r="D35" s="89"/>
      <c r="E35" s="73"/>
      <c r="F35" s="73"/>
      <c r="G35" s="73"/>
      <c r="H35" s="73"/>
      <c r="M35" s="206"/>
      <c r="N35" s="107"/>
      <c r="Q35" s="148"/>
      <c r="S35" s="4"/>
      <c r="T35" s="4"/>
      <c r="U35" s="4"/>
      <c r="V35" s="4"/>
      <c r="W35" s="4"/>
      <c r="X35" s="4"/>
      <c r="Y35" s="4"/>
      <c r="Z35" s="4"/>
      <c r="AA35" s="4"/>
      <c r="AB35" s="4"/>
      <c r="AC35" s="4"/>
      <c r="AD35" s="142"/>
      <c r="AE35" s="146"/>
      <c r="AF35" s="142"/>
      <c r="AG35" s="142"/>
      <c r="AH35" s="142"/>
      <c r="AI35" s="142"/>
      <c r="AJ35" s="142"/>
      <c r="AK35" s="142"/>
      <c r="AL35" s="142"/>
      <c r="AM35" s="142"/>
      <c r="AN35" s="4"/>
    </row>
    <row r="36" spans="1:40">
      <c r="A36" s="143"/>
      <c r="C36" s="73"/>
      <c r="D36" s="89"/>
      <c r="E36" s="73"/>
      <c r="F36" s="73"/>
      <c r="G36" s="73"/>
      <c r="H36" s="73"/>
      <c r="M36" s="206"/>
      <c r="N36" s="107"/>
      <c r="Q36" s="148"/>
      <c r="S36" s="4"/>
      <c r="T36" s="4"/>
      <c r="U36" s="4"/>
      <c r="V36" s="4"/>
      <c r="W36" s="4"/>
      <c r="X36" s="4"/>
      <c r="Y36" s="4"/>
      <c r="Z36" s="4"/>
      <c r="AA36" s="4"/>
      <c r="AB36" s="4"/>
      <c r="AC36" s="4"/>
      <c r="AD36" s="142"/>
      <c r="AE36" s="146"/>
      <c r="AF36" s="142"/>
      <c r="AG36" s="142"/>
      <c r="AH36" s="142"/>
      <c r="AI36" s="142"/>
      <c r="AJ36" s="142"/>
      <c r="AK36" s="142"/>
      <c r="AL36" s="142"/>
      <c r="AM36" s="142"/>
      <c r="AN36" s="4"/>
    </row>
    <row r="37" spans="1:40" ht="13.8" thickBot="1">
      <c r="A37" s="161"/>
      <c r="B37" s="132"/>
      <c r="C37" s="135"/>
      <c r="D37" s="162"/>
      <c r="E37" s="135"/>
      <c r="F37" s="135"/>
      <c r="G37" s="135"/>
      <c r="H37" s="135"/>
      <c r="I37" s="53"/>
      <c r="J37" s="53"/>
      <c r="L37" s="53"/>
      <c r="M37" s="206"/>
      <c r="N37" s="107"/>
      <c r="O37" s="53"/>
      <c r="P37" s="53"/>
      <c r="Q37" s="163"/>
      <c r="R37" s="53"/>
      <c r="S37" s="144"/>
      <c r="T37" s="144"/>
      <c r="U37" s="144"/>
      <c r="V37" s="144"/>
      <c r="W37" s="144"/>
      <c r="X37" s="144"/>
      <c r="Y37" s="144"/>
      <c r="Z37" s="144"/>
      <c r="AA37" s="144"/>
      <c r="AB37" s="4"/>
      <c r="AC37" s="4"/>
      <c r="AD37" s="142"/>
      <c r="AE37" s="146"/>
      <c r="AF37" s="142"/>
      <c r="AG37" s="142"/>
      <c r="AH37" s="142"/>
      <c r="AI37" s="142"/>
      <c r="AJ37" s="142"/>
      <c r="AK37" s="142"/>
      <c r="AL37" s="142"/>
      <c r="AM37" s="142"/>
      <c r="AN37" s="4"/>
    </row>
    <row r="38" spans="1:40" ht="15.6">
      <c r="C38" s="131" t="s">
        <v>316</v>
      </c>
      <c r="D38" s="89"/>
      <c r="E38" s="73"/>
      <c r="F38" s="73"/>
      <c r="G38" s="73"/>
      <c r="H38" s="73"/>
      <c r="M38" s="206"/>
      <c r="N38" s="103" t="s">
        <v>307</v>
      </c>
      <c r="Q38" s="148"/>
      <c r="S38" s="4"/>
      <c r="T38" s="4"/>
      <c r="U38" s="4"/>
      <c r="V38" s="4"/>
      <c r="W38" s="4"/>
      <c r="X38" s="4"/>
      <c r="Y38" s="4"/>
      <c r="Z38" s="4"/>
      <c r="AA38" s="4"/>
      <c r="AB38" s="4"/>
      <c r="AC38" s="4"/>
      <c r="AD38" s="142"/>
      <c r="AE38" s="146"/>
      <c r="AF38" s="142"/>
      <c r="AG38" s="142"/>
      <c r="AH38" s="142"/>
      <c r="AI38" s="142"/>
      <c r="AJ38" s="142"/>
      <c r="AK38" s="142"/>
      <c r="AL38" s="142"/>
      <c r="AM38" s="142"/>
      <c r="AN38" s="4"/>
    </row>
    <row r="39" spans="1:40" ht="15.6">
      <c r="A39" s="131"/>
      <c r="C39" s="73"/>
      <c r="D39" s="89"/>
      <c r="E39" s="73"/>
      <c r="F39" s="73"/>
      <c r="G39" s="73"/>
      <c r="H39" s="73"/>
      <c r="M39" s="206"/>
      <c r="N39" s="107"/>
      <c r="Q39" s="148"/>
      <c r="S39" s="4"/>
      <c r="T39" s="4"/>
      <c r="U39" s="4"/>
      <c r="V39" s="4"/>
      <c r="W39" s="4"/>
      <c r="X39" s="4"/>
      <c r="Y39" s="4"/>
      <c r="Z39" s="4"/>
      <c r="AA39" s="4"/>
      <c r="AB39" s="4"/>
      <c r="AC39" s="4"/>
      <c r="AD39" s="142"/>
      <c r="AE39" s="146"/>
      <c r="AF39" s="142"/>
      <c r="AG39" s="142"/>
      <c r="AH39" s="142"/>
      <c r="AI39" s="142"/>
      <c r="AJ39" s="142"/>
      <c r="AK39" s="142"/>
      <c r="AL39" s="142"/>
      <c r="AM39" s="142"/>
      <c r="AN39" s="4"/>
    </row>
    <row r="40" spans="1:40">
      <c r="A40" s="149" t="s">
        <v>283</v>
      </c>
      <c r="B40" s="13"/>
      <c r="C40" s="160" t="s">
        <v>295</v>
      </c>
      <c r="D40" s="89"/>
      <c r="E40" s="73"/>
      <c r="F40" s="73"/>
      <c r="G40" s="73"/>
      <c r="H40" s="73"/>
      <c r="M40" s="206" t="str">
        <f ca="1">IF(AND(M41="Y",M42="Y",M43="Y"),"Y","")</f>
        <v/>
      </c>
      <c r="N40" s="107" t="str">
        <f ca="1">IF(M40="Y","P","")</f>
        <v/>
      </c>
      <c r="Q40" s="160" t="s">
        <v>297</v>
      </c>
      <c r="S40" s="4"/>
      <c r="T40" s="4"/>
      <c r="U40" s="4"/>
      <c r="V40" s="4"/>
      <c r="W40" s="4"/>
      <c r="X40" s="4"/>
      <c r="Y40" s="4"/>
      <c r="Z40" s="4"/>
      <c r="AA40" s="4"/>
      <c r="AB40" s="4"/>
      <c r="AC40" s="4"/>
      <c r="AD40" s="142"/>
      <c r="AE40" s="146"/>
      <c r="AF40" s="142"/>
      <c r="AG40" s="142"/>
      <c r="AH40" s="142"/>
      <c r="AI40" s="142"/>
      <c r="AJ40" s="142"/>
      <c r="AK40" s="142"/>
      <c r="AL40" s="142"/>
      <c r="AM40" s="142"/>
      <c r="AN40" s="4"/>
    </row>
    <row r="41" spans="1:40">
      <c r="A41" s="123" t="s">
        <v>322</v>
      </c>
      <c r="C41" s="128" t="s">
        <v>34</v>
      </c>
      <c r="D41" s="129" t="s">
        <v>142</v>
      </c>
      <c r="E41" s="560" t="s">
        <v>35</v>
      </c>
      <c r="F41" s="560"/>
      <c r="G41" s="560"/>
      <c r="H41" s="560"/>
      <c r="M41" s="206" t="str">
        <f ca="1">VLOOKUP(CONCATENATE(D41," ",E41),$C$66:$AM$152,HLOOKUP(C41,$E$58:$AN$59,2,FALSE)+2,FALSE)</f>
        <v/>
      </c>
      <c r="N41" s="107" t="str">
        <f ca="1">IF(N40="P","P","")</f>
        <v/>
      </c>
      <c r="Q41" s="148"/>
      <c r="S41" s="4"/>
      <c r="T41" s="4"/>
      <c r="U41" s="4"/>
      <c r="V41" s="4"/>
      <c r="W41" s="4"/>
      <c r="X41" s="4"/>
      <c r="Y41" s="4"/>
      <c r="Z41" s="4"/>
      <c r="AA41" s="4"/>
      <c r="AB41" s="4"/>
      <c r="AC41" s="4"/>
      <c r="AD41" s="142"/>
      <c r="AE41" s="146"/>
      <c r="AF41" s="142"/>
      <c r="AG41" s="142"/>
      <c r="AH41" s="142"/>
      <c r="AI41" s="142"/>
      <c r="AJ41" s="142"/>
      <c r="AK41" s="142"/>
      <c r="AL41" s="142"/>
      <c r="AM41" s="142"/>
      <c r="AN41" s="4"/>
    </row>
    <row r="42" spans="1:40">
      <c r="A42" s="123" t="s">
        <v>322</v>
      </c>
      <c r="C42" s="128" t="s">
        <v>18</v>
      </c>
      <c r="D42" s="129" t="s">
        <v>142</v>
      </c>
      <c r="E42" s="560" t="s">
        <v>21</v>
      </c>
      <c r="F42" s="560"/>
      <c r="G42" s="560"/>
      <c r="H42" s="560"/>
      <c r="M42" s="206" t="str">
        <f ca="1">VLOOKUP(CONCATENATE(D42," ",E42),$C$66:$AM$152,HLOOKUP(C42,$E$58:$AN$59,2,FALSE)+2,FALSE)</f>
        <v>Y</v>
      </c>
      <c r="N42" s="107" t="str">
        <f ca="1">IF(N41="P","P","")</f>
        <v/>
      </c>
      <c r="Q42" s="148"/>
      <c r="S42" s="4"/>
      <c r="T42" s="4"/>
      <c r="U42" s="4"/>
      <c r="V42" s="4"/>
      <c r="W42" s="4"/>
      <c r="X42" s="4"/>
      <c r="Y42" s="4"/>
      <c r="Z42" s="4"/>
      <c r="AA42" s="4"/>
      <c r="AB42" s="4"/>
      <c r="AC42" s="4"/>
      <c r="AD42" s="142"/>
      <c r="AE42" s="146"/>
      <c r="AF42" s="142"/>
      <c r="AG42" s="142"/>
      <c r="AH42" s="142"/>
      <c r="AI42" s="142"/>
      <c r="AJ42" s="142"/>
      <c r="AK42" s="142"/>
      <c r="AL42" s="142"/>
      <c r="AM42" s="142"/>
      <c r="AN42" s="4"/>
    </row>
    <row r="43" spans="1:40">
      <c r="A43" s="123" t="s">
        <v>322</v>
      </c>
      <c r="C43" s="128" t="s">
        <v>26</v>
      </c>
      <c r="D43" s="129" t="s">
        <v>142</v>
      </c>
      <c r="E43" s="560" t="s">
        <v>27</v>
      </c>
      <c r="F43" s="560"/>
      <c r="G43" s="560"/>
      <c r="H43" s="560"/>
      <c r="M43" s="206" t="str">
        <f ca="1">VLOOKUP(CONCATENATE(D43," ",E43),$C$66:$AM$152,HLOOKUP(C43,$E$58:$AN$59,2,FALSE)+2,FALSE)</f>
        <v/>
      </c>
      <c r="N43" s="107" t="str">
        <f ca="1">IF(N42="P","P","")</f>
        <v/>
      </c>
      <c r="Q43" s="148"/>
      <c r="S43" s="4"/>
      <c r="T43" s="4"/>
      <c r="U43" s="4"/>
      <c r="V43" s="4"/>
      <c r="W43" s="4"/>
      <c r="X43" s="4"/>
      <c r="Y43" s="4"/>
      <c r="Z43" s="4"/>
      <c r="AA43" s="4"/>
      <c r="AB43" s="4"/>
      <c r="AC43" s="4"/>
      <c r="AD43" s="142"/>
      <c r="AE43" s="146"/>
      <c r="AF43" s="142"/>
      <c r="AG43" s="142"/>
      <c r="AH43" s="142"/>
      <c r="AI43" s="142"/>
      <c r="AJ43" s="142"/>
      <c r="AK43" s="142"/>
      <c r="AL43" s="142"/>
      <c r="AM43" s="142"/>
      <c r="AN43" s="4"/>
    </row>
    <row r="44" spans="1:40">
      <c r="A44" s="123"/>
      <c r="C44" s="73"/>
      <c r="D44" s="89"/>
      <c r="E44" s="73"/>
      <c r="F44" s="73"/>
      <c r="G44" s="73"/>
      <c r="H44" s="73"/>
      <c r="M44" s="206"/>
      <c r="N44" s="107"/>
      <c r="Q44" s="148"/>
      <c r="AD44" s="147"/>
      <c r="AE44" s="148"/>
      <c r="AF44" s="147"/>
      <c r="AG44" s="147"/>
      <c r="AH44" s="147"/>
      <c r="AI44" s="147"/>
      <c r="AJ44" s="147"/>
      <c r="AK44" s="147"/>
      <c r="AL44" s="147"/>
      <c r="AM44" s="147"/>
    </row>
    <row r="45" spans="1:40">
      <c r="A45" s="123" t="s">
        <v>284</v>
      </c>
      <c r="C45" s="160" t="s">
        <v>296</v>
      </c>
      <c r="D45" s="89"/>
      <c r="E45" s="73"/>
      <c r="F45" s="73"/>
      <c r="G45" s="73"/>
      <c r="H45" s="73"/>
      <c r="M45" s="206" t="str">
        <f ca="1">IF(AND(M46="Y",M47="Y",M48="Y"),"Y","")</f>
        <v/>
      </c>
      <c r="N45" s="107" t="str">
        <f ca="1">IF(M45="Y","P","")</f>
        <v/>
      </c>
      <c r="Q45" s="160" t="s">
        <v>298</v>
      </c>
      <c r="S45" s="4"/>
      <c r="T45" s="4"/>
      <c r="U45" s="4"/>
      <c r="V45" s="4"/>
      <c r="W45" s="4"/>
      <c r="X45" s="4"/>
      <c r="Y45" s="4"/>
      <c r="Z45" s="4"/>
      <c r="AA45" s="4"/>
      <c r="AB45" s="4"/>
      <c r="AC45" s="4"/>
      <c r="AD45" s="142"/>
      <c r="AE45" s="146"/>
      <c r="AF45" s="142"/>
      <c r="AG45" s="142"/>
      <c r="AH45" s="142"/>
      <c r="AI45" s="142"/>
      <c r="AJ45" s="142"/>
      <c r="AK45" s="142"/>
      <c r="AL45" s="142"/>
      <c r="AM45" s="142"/>
      <c r="AN45" s="4"/>
    </row>
    <row r="46" spans="1:40">
      <c r="A46" s="123" t="s">
        <v>322</v>
      </c>
      <c r="C46" s="128" t="s">
        <v>34</v>
      </c>
      <c r="D46" s="129" t="s">
        <v>142</v>
      </c>
      <c r="E46" s="560" t="s">
        <v>35</v>
      </c>
      <c r="F46" s="560"/>
      <c r="G46" s="560"/>
      <c r="H46" s="560"/>
      <c r="M46" s="206" t="str">
        <f ca="1">VLOOKUP(CONCATENATE(D46," ",E46),$C$66:$AM$152,HLOOKUP(C46,$E$58:$AN$59,2,FALSE)+2,FALSE)</f>
        <v/>
      </c>
      <c r="N46" s="107" t="str">
        <f ca="1">IF(N45="P","P","")</f>
        <v/>
      </c>
      <c r="Q46" s="148"/>
      <c r="S46" s="4"/>
      <c r="T46" s="4"/>
      <c r="U46" s="4"/>
      <c r="V46" s="4"/>
      <c r="W46" s="4"/>
      <c r="X46" s="4"/>
      <c r="Y46" s="4"/>
      <c r="Z46" s="4"/>
      <c r="AA46" s="4"/>
      <c r="AB46" s="4"/>
      <c r="AC46" s="4"/>
      <c r="AD46" s="142"/>
      <c r="AE46" s="146"/>
      <c r="AF46" s="142"/>
      <c r="AG46" s="142"/>
      <c r="AH46" s="142"/>
      <c r="AI46" s="142"/>
      <c r="AJ46" s="142"/>
      <c r="AK46" s="142"/>
      <c r="AL46" s="142"/>
      <c r="AM46" s="142"/>
      <c r="AN46" s="4"/>
    </row>
    <row r="47" spans="1:40">
      <c r="A47" s="123" t="s">
        <v>322</v>
      </c>
      <c r="C47" s="128" t="s">
        <v>18</v>
      </c>
      <c r="D47" s="129" t="s">
        <v>142</v>
      </c>
      <c r="E47" s="560" t="s">
        <v>21</v>
      </c>
      <c r="F47" s="560"/>
      <c r="G47" s="560"/>
      <c r="H47" s="560"/>
      <c r="M47" s="206" t="str">
        <f ca="1">VLOOKUP(CONCATENATE(D47," ",E47),$C$66:$AM$152,HLOOKUP(C47,$E$58:$AN$59,2,FALSE)+2,FALSE)</f>
        <v>Y</v>
      </c>
      <c r="N47" s="107" t="str">
        <f ca="1">IF(N46="P","P","")</f>
        <v/>
      </c>
      <c r="Q47" s="148"/>
      <c r="S47" s="4"/>
      <c r="T47" s="4"/>
      <c r="U47" s="4"/>
      <c r="V47" s="4"/>
      <c r="W47" s="4"/>
      <c r="X47" s="4"/>
      <c r="Y47" s="4"/>
      <c r="Z47" s="4"/>
      <c r="AA47" s="4"/>
      <c r="AB47" s="4"/>
      <c r="AC47" s="4"/>
      <c r="AD47" s="142"/>
      <c r="AE47" s="146"/>
      <c r="AF47" s="142"/>
      <c r="AG47" s="142"/>
      <c r="AH47" s="142"/>
      <c r="AI47" s="142"/>
      <c r="AJ47" s="142"/>
      <c r="AK47" s="142"/>
      <c r="AL47" s="142"/>
      <c r="AM47" s="142"/>
      <c r="AN47" s="4"/>
    </row>
    <row r="48" spans="1:40">
      <c r="A48" s="123" t="s">
        <v>322</v>
      </c>
      <c r="C48" s="128" t="s">
        <v>27</v>
      </c>
      <c r="D48" s="129" t="s">
        <v>142</v>
      </c>
      <c r="E48" s="560" t="s">
        <v>27</v>
      </c>
      <c r="F48" s="560"/>
      <c r="G48" s="560"/>
      <c r="H48" s="560"/>
      <c r="M48" s="206" t="str">
        <f ca="1">VLOOKUP(CONCATENATE(D48," ",E48),$C$66:$AM$152,HLOOKUP(C48,$E$58:$AN$59,2,FALSE)+2,FALSE)</f>
        <v/>
      </c>
      <c r="N48" s="107" t="str">
        <f ca="1">IF(N47="P","P","")</f>
        <v/>
      </c>
      <c r="Q48" s="148"/>
      <c r="S48" s="4"/>
      <c r="T48" s="4"/>
      <c r="U48" s="4"/>
      <c r="V48" s="4"/>
      <c r="W48" s="4"/>
      <c r="X48" s="4"/>
      <c r="Y48" s="4"/>
      <c r="Z48" s="4"/>
      <c r="AA48" s="4"/>
      <c r="AB48" s="4"/>
      <c r="AC48" s="4"/>
      <c r="AD48" s="142"/>
      <c r="AE48" s="146"/>
      <c r="AF48" s="142"/>
      <c r="AG48" s="142"/>
      <c r="AH48" s="142"/>
      <c r="AI48" s="142"/>
      <c r="AJ48" s="142"/>
      <c r="AK48" s="142"/>
      <c r="AL48" s="142"/>
      <c r="AM48" s="142"/>
      <c r="AN48" s="4"/>
    </row>
    <row r="49" spans="1:41">
      <c r="B49" s="13"/>
      <c r="C49" s="13"/>
      <c r="E49" s="13"/>
      <c r="F49" s="13"/>
      <c r="G49" s="13"/>
      <c r="H49" s="13"/>
      <c r="I49" s="13"/>
      <c r="J49" s="13"/>
      <c r="K49" s="13"/>
      <c r="L49" s="13"/>
      <c r="M49" s="207"/>
      <c r="N49" s="107"/>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row>
    <row r="50" spans="1:41">
      <c r="A50" s="150" t="s">
        <v>317</v>
      </c>
      <c r="B50" s="13"/>
      <c r="C50" s="200" t="s">
        <v>318</v>
      </c>
      <c r="D50" s="9"/>
      <c r="E50" s="9"/>
      <c r="F50" s="9"/>
      <c r="G50" s="9"/>
      <c r="H50" s="9"/>
      <c r="I50" s="13"/>
      <c r="J50" s="13"/>
      <c r="K50" s="13"/>
      <c r="L50" s="13"/>
      <c r="M50" s="207"/>
      <c r="N50" s="107"/>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row>
    <row r="51" spans="1:41">
      <c r="B51" s="203" t="s">
        <v>319</v>
      </c>
      <c r="C51" s="201" t="s">
        <v>320</v>
      </c>
      <c r="D51" s="202" t="s">
        <v>19</v>
      </c>
      <c r="E51" s="567" t="s">
        <v>30</v>
      </c>
      <c r="F51" s="557"/>
      <c r="G51" s="557"/>
      <c r="H51" s="557"/>
      <c r="K51" s="13"/>
      <c r="L51" s="13"/>
      <c r="M51" s="208" t="str">
        <f ca="1">IF(OR(ABS(HLOOKUP(D51,$E$58:$AN$60,3,FALSE)-HLOOKUP(E51,$E$58:$AN$60,3,FALSE))=B51,ABS(HLOOKUP(D51,$E$58:$AN$60,3,FALSE)-HLOOKUP(E51,$E$58:$AN$60,3,FALSE))=(12-B51)),"Y","")</f>
        <v/>
      </c>
      <c r="N51" s="107" t="str">
        <f ca="1">IF(M51="Y","P","")</f>
        <v/>
      </c>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row>
    <row r="52" spans="1:41">
      <c r="E52" s="4"/>
      <c r="F52" s="4"/>
      <c r="G52" s="4"/>
      <c r="H52" s="4"/>
      <c r="I52" s="4"/>
      <c r="J52" s="4"/>
      <c r="K52" s="13"/>
      <c r="L52" s="4"/>
      <c r="M52" s="206"/>
      <c r="N52" s="211"/>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1">
      <c r="E53" s="4"/>
      <c r="F53" s="4"/>
      <c r="G53" s="4"/>
      <c r="H53" s="4"/>
      <c r="I53" s="4"/>
      <c r="J53" s="4"/>
      <c r="K53" s="13"/>
      <c r="L53" s="4"/>
      <c r="M53" s="206"/>
      <c r="N53" s="211"/>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1">
      <c r="C54" s="190" t="s">
        <v>323</v>
      </c>
      <c r="E54" s="4"/>
      <c r="F54" s="4"/>
      <c r="G54" s="4"/>
      <c r="H54" s="4"/>
      <c r="I54" s="4"/>
      <c r="J54" s="4"/>
      <c r="K54" s="4"/>
      <c r="L54" s="4"/>
      <c r="M54" s="4"/>
      <c r="N54" s="142" t="s">
        <v>307</v>
      </c>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1" ht="13.8" thickBot="1">
      <c r="B55" s="144"/>
      <c r="C55" s="144"/>
      <c r="D55" s="144"/>
      <c r="E55" s="144"/>
      <c r="F55" s="144"/>
      <c r="G55" s="144"/>
      <c r="H55" s="144"/>
      <c r="I55" s="144"/>
      <c r="J55" s="144"/>
      <c r="K55" s="144"/>
      <c r="L55" s="144"/>
      <c r="M55" s="144"/>
      <c r="N55" s="145" t="s">
        <v>261</v>
      </c>
      <c r="O55" s="53"/>
      <c r="P55" s="53"/>
      <c r="Q55" s="53"/>
      <c r="R55" s="53"/>
      <c r="S55" s="144"/>
      <c r="T55" s="144"/>
      <c r="U55" s="144"/>
      <c r="V55" s="144"/>
      <c r="W55" s="144"/>
      <c r="X55" s="144"/>
      <c r="Y55" s="144"/>
      <c r="Z55" s="144"/>
      <c r="AA55" s="144"/>
      <c r="AB55" s="144"/>
      <c r="AC55" s="144"/>
      <c r="AD55" s="144"/>
      <c r="AE55" s="144"/>
      <c r="AF55" s="144"/>
      <c r="AG55" s="144"/>
      <c r="AH55" s="144"/>
      <c r="AI55" s="144"/>
      <c r="AJ55" s="144"/>
      <c r="AK55" s="144"/>
      <c r="AL55" s="144"/>
      <c r="AM55" s="144"/>
      <c r="AN55" s="144"/>
    </row>
    <row r="57" spans="1:41" hidden="1">
      <c r="A57" s="127"/>
      <c r="B57" s="124"/>
      <c r="C57" s="127"/>
      <c r="D57" s="127"/>
      <c r="E57" s="124"/>
      <c r="F57" s="124"/>
      <c r="G57" s="124"/>
      <c r="H57" s="124"/>
      <c r="I57" s="124"/>
      <c r="J57" s="124"/>
      <c r="K57" s="124"/>
      <c r="L57" s="124"/>
      <c r="M57" s="124"/>
      <c r="N57" s="124"/>
      <c r="O57" s="124"/>
      <c r="P57" s="124"/>
      <c r="Q57" s="124"/>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7"/>
    </row>
    <row r="58" spans="1:41" ht="69.599999999999994" hidden="1" thickBot="1">
      <c r="B58" s="153"/>
      <c r="C58" s="158"/>
      <c r="D58" s="144"/>
      <c r="E58" s="159" t="str">
        <f ca="1">INDIRECT("'"&amp;$C$1&amp;"'!D23")</f>
        <v>lagna</v>
      </c>
      <c r="F58" s="159" t="str">
        <f ca="1">INDIRECT("'"&amp;$C$1&amp;"'!E23")</f>
        <v>sun</v>
      </c>
      <c r="G58" s="159" t="str">
        <f ca="1">INDIRECT("'"&amp;$C$1&amp;"'!F23")</f>
        <v>moon</v>
      </c>
      <c r="H58" s="159" t="str">
        <f ca="1">INDIRECT("'"&amp;$C$1&amp;"'!G23")</f>
        <v>mercury</v>
      </c>
      <c r="I58" s="159" t="str">
        <f ca="1">INDIRECT("'"&amp;$C$1&amp;"'!H23")</f>
        <v>venus</v>
      </c>
      <c r="J58" s="159" t="str">
        <f ca="1">INDIRECT("'"&amp;$C$1&amp;"'!I23")</f>
        <v>mars</v>
      </c>
      <c r="K58" s="159" t="str">
        <f ca="1">INDIRECT("'"&amp;$C$1&amp;"'!J23")</f>
        <v>jupiter</v>
      </c>
      <c r="L58" s="159" t="str">
        <f ca="1">INDIRECT("'"&amp;$C$1&amp;"'!K23")</f>
        <v>saturn</v>
      </c>
      <c r="M58" s="159" t="str">
        <f ca="1">INDIRECT("'"&amp;$C$1&amp;"'!L23")</f>
        <v>rahu</v>
      </c>
      <c r="N58" s="159" t="str">
        <f ca="1">INDIRECT("'"&amp;$C$1&amp;"'!M23")</f>
        <v>ketu</v>
      </c>
      <c r="O58" s="159"/>
      <c r="P58" s="159" t="str">
        <f ca="1">INDIRECT("'"&amp;$C$1&amp;"'!O23")</f>
        <v>first lord</v>
      </c>
      <c r="Q58" s="159" t="str">
        <f ca="1">INDIRECT("'"&amp;$C$1&amp;"'!P23")</f>
        <v>second lord</v>
      </c>
      <c r="R58" s="159" t="str">
        <f ca="1">INDIRECT("'"&amp;$C$1&amp;"'!Q23")</f>
        <v>third lord</v>
      </c>
      <c r="S58" s="159" t="str">
        <f ca="1">INDIRECT("'"&amp;$C$1&amp;"'!R23")</f>
        <v>fourth lord</v>
      </c>
      <c r="T58" s="159" t="str">
        <f ca="1">INDIRECT("'"&amp;$C$1&amp;"'!S23")</f>
        <v>fifth lord</v>
      </c>
      <c r="U58" s="159" t="str">
        <f ca="1">INDIRECT("'"&amp;$C$1&amp;"'!T23")</f>
        <v>sixth lord</v>
      </c>
      <c r="V58" s="159" t="str">
        <f ca="1">INDIRECT("'"&amp;$C$1&amp;"'!U23")</f>
        <v>seventh lord</v>
      </c>
      <c r="W58" s="159" t="str">
        <f ca="1">INDIRECT("'"&amp;$C$1&amp;"'!V23")</f>
        <v>eighth lord</v>
      </c>
      <c r="X58" s="159" t="str">
        <f ca="1">INDIRECT("'"&amp;$C$1&amp;"'!W23")</f>
        <v>ninth lord</v>
      </c>
      <c r="Y58" s="159" t="str">
        <f ca="1">INDIRECT("'"&amp;$C$1&amp;"'!X23")</f>
        <v>tenth lord</v>
      </c>
      <c r="Z58" s="159" t="str">
        <f ca="1">INDIRECT("'"&amp;$C$1&amp;"'!Y23")</f>
        <v>eleventh lord</v>
      </c>
      <c r="AA58" s="159" t="str">
        <f ca="1">INDIRECT("'"&amp;$C$1&amp;"'!Z23")</f>
        <v>twelveth lord</v>
      </c>
      <c r="AB58" s="159"/>
      <c r="AC58" s="159" t="str">
        <f ca="1">INDIRECT("'"&amp;$C$1&amp;"'!AB23")</f>
        <v>first bhava</v>
      </c>
      <c r="AD58" s="159" t="str">
        <f ca="1">INDIRECT("'"&amp;$C$1&amp;"'!AC23")</f>
        <v>second bhava</v>
      </c>
      <c r="AE58" s="159" t="str">
        <f ca="1">INDIRECT("'"&amp;$C$1&amp;"'!AD23")</f>
        <v>third bhava</v>
      </c>
      <c r="AF58" s="159" t="str">
        <f ca="1">INDIRECT("'"&amp;$C$1&amp;"'!AE23")</f>
        <v>fourth bhava</v>
      </c>
      <c r="AG58" s="159" t="str">
        <f ca="1">INDIRECT("'"&amp;$C$1&amp;"'!AF23")</f>
        <v>fifth bhava</v>
      </c>
      <c r="AH58" s="159" t="str">
        <f ca="1">INDIRECT("'"&amp;$C$1&amp;"'!AG23")</f>
        <v>sixth bhava</v>
      </c>
      <c r="AI58" s="159" t="str">
        <f ca="1">INDIRECT("'"&amp;$C$1&amp;"'!AH23")</f>
        <v>seventh bhava</v>
      </c>
      <c r="AJ58" s="159" t="str">
        <f ca="1">INDIRECT("'"&amp;$C$1&amp;"'!AI23")</f>
        <v>eighth bhava</v>
      </c>
      <c r="AK58" s="159" t="str">
        <f ca="1">INDIRECT("'"&amp;$C$1&amp;"'!AJ23")</f>
        <v>ninth bhava</v>
      </c>
      <c r="AL58" s="159" t="str">
        <f ca="1">INDIRECT("'"&amp;$C$1&amp;"'!AK23")</f>
        <v>tenth bhava</v>
      </c>
      <c r="AM58" s="159" t="str">
        <f ca="1">INDIRECT("'"&amp;$C$1&amp;"'!AL23")</f>
        <v>eleventh bhava</v>
      </c>
      <c r="AN58" s="159" t="str">
        <f ca="1">INDIRECT("'"&amp;$C$1&amp;"'!AM23")</f>
        <v>twelveth bhava</v>
      </c>
      <c r="AO58" s="1"/>
    </row>
    <row r="59" spans="1:41" hidden="1">
      <c r="B59" s="152"/>
      <c r="C59" s="154"/>
      <c r="D59" s="155"/>
      <c r="E59" s="156">
        <v>1</v>
      </c>
      <c r="F59" s="156">
        <f>E59+1</f>
        <v>2</v>
      </c>
      <c r="G59" s="156">
        <f t="shared" ref="G59:AN59" si="4">F59+1</f>
        <v>3</v>
      </c>
      <c r="H59" s="156">
        <f t="shared" si="4"/>
        <v>4</v>
      </c>
      <c r="I59" s="156">
        <f t="shared" si="4"/>
        <v>5</v>
      </c>
      <c r="J59" s="156">
        <f t="shared" si="4"/>
        <v>6</v>
      </c>
      <c r="K59" s="156">
        <f t="shared" si="4"/>
        <v>7</v>
      </c>
      <c r="L59" s="156">
        <f t="shared" si="4"/>
        <v>8</v>
      </c>
      <c r="M59" s="156">
        <f t="shared" si="4"/>
        <v>9</v>
      </c>
      <c r="N59" s="156">
        <f t="shared" si="4"/>
        <v>10</v>
      </c>
      <c r="O59" s="156">
        <f t="shared" si="4"/>
        <v>11</v>
      </c>
      <c r="P59" s="156">
        <f t="shared" si="4"/>
        <v>12</v>
      </c>
      <c r="Q59" s="156">
        <f t="shared" si="4"/>
        <v>13</v>
      </c>
      <c r="R59" s="156">
        <f t="shared" si="4"/>
        <v>14</v>
      </c>
      <c r="S59" s="156">
        <f t="shared" si="4"/>
        <v>15</v>
      </c>
      <c r="T59" s="156">
        <f t="shared" si="4"/>
        <v>16</v>
      </c>
      <c r="U59" s="156">
        <f t="shared" si="4"/>
        <v>17</v>
      </c>
      <c r="V59" s="156">
        <f t="shared" si="4"/>
        <v>18</v>
      </c>
      <c r="W59" s="156">
        <f t="shared" si="4"/>
        <v>19</v>
      </c>
      <c r="X59" s="156">
        <f t="shared" si="4"/>
        <v>20</v>
      </c>
      <c r="Y59" s="156">
        <f t="shared" si="4"/>
        <v>21</v>
      </c>
      <c r="Z59" s="156">
        <f t="shared" si="4"/>
        <v>22</v>
      </c>
      <c r="AA59" s="156">
        <f t="shared" si="4"/>
        <v>23</v>
      </c>
      <c r="AB59" s="156">
        <f t="shared" si="4"/>
        <v>24</v>
      </c>
      <c r="AC59" s="156">
        <f t="shared" si="4"/>
        <v>25</v>
      </c>
      <c r="AD59" s="156">
        <f t="shared" si="4"/>
        <v>26</v>
      </c>
      <c r="AE59" s="156">
        <f t="shared" si="4"/>
        <v>27</v>
      </c>
      <c r="AF59" s="156">
        <f t="shared" si="4"/>
        <v>28</v>
      </c>
      <c r="AG59" s="156">
        <f t="shared" si="4"/>
        <v>29</v>
      </c>
      <c r="AH59" s="156">
        <f t="shared" si="4"/>
        <v>30</v>
      </c>
      <c r="AI59" s="156">
        <f t="shared" si="4"/>
        <v>31</v>
      </c>
      <c r="AJ59" s="156">
        <f t="shared" si="4"/>
        <v>32</v>
      </c>
      <c r="AK59" s="156">
        <f t="shared" si="4"/>
        <v>33</v>
      </c>
      <c r="AL59" s="156">
        <f t="shared" si="4"/>
        <v>34</v>
      </c>
      <c r="AM59" s="156">
        <f t="shared" si="4"/>
        <v>35</v>
      </c>
      <c r="AN59" s="157">
        <f t="shared" si="4"/>
        <v>36</v>
      </c>
    </row>
    <row r="60" spans="1:41" hidden="1">
      <c r="A60" s="75"/>
      <c r="B60" s="152"/>
      <c r="C60" s="125" t="str">
        <f ca="1">CONCATENATE(IF(INDIRECT("'"&amp;$C$1&amp;"'!B26")= "","",INDIRECT("'"&amp;$C$1&amp;"'!B26"))," ",IF(INDIRECT("'"&amp;$C$1&amp;"'!C26")= "","",INDIRECT("'"&amp;$C$1&amp;"'!C26")))</f>
        <v xml:space="preserve">Rashi where Resident </v>
      </c>
      <c r="D60" s="15"/>
      <c r="E60" s="15">
        <f ca="1">IF(INDIRECT("'"&amp;$C$1&amp;"'!D26")= "","",INDIRECT("'"&amp;$C$1&amp;"'!D26"))</f>
        <v>7</v>
      </c>
      <c r="F60" s="15">
        <f ca="1">IF(INDIRECT("'"&amp;$C$1&amp;"'!E26")= "","",INDIRECT("'"&amp;$C$1&amp;"'!E26"))</f>
        <v>6</v>
      </c>
      <c r="G60" s="15">
        <f ca="1">IF(INDIRECT("'"&amp;$C$1&amp;"'!F26")= "","",INDIRECT("'"&amp;$C$1&amp;"'!F26"))</f>
        <v>8</v>
      </c>
      <c r="H60" s="15">
        <f ca="1">IF(INDIRECT("'"&amp;$C$1&amp;"'!G26")= "","",INDIRECT("'"&amp;$C$1&amp;"'!G26"))</f>
        <v>6</v>
      </c>
      <c r="I60" s="15">
        <f ca="1">IF(INDIRECT("'"&amp;$C$1&amp;"'!H26")= "","",INDIRECT("'"&amp;$C$1&amp;"'!H26"))</f>
        <v>5</v>
      </c>
      <c r="J60" s="15">
        <f ca="1">IF(INDIRECT("'"&amp;$C$1&amp;"'!I26")= "","",INDIRECT("'"&amp;$C$1&amp;"'!I26"))</f>
        <v>8</v>
      </c>
      <c r="K60" s="15">
        <f ca="1">IF(INDIRECT("'"&amp;$C$1&amp;"'!J26")= "","",INDIRECT("'"&amp;$C$1&amp;"'!J26"))</f>
        <v>11</v>
      </c>
      <c r="L60" s="15">
        <f ca="1">IF(INDIRECT("'"&amp;$C$1&amp;"'!K26")= "","",INDIRECT("'"&amp;$C$1&amp;"'!K26"))</f>
        <v>5</v>
      </c>
      <c r="M60" s="15">
        <f ca="1">IF(INDIRECT("'"&amp;$C$1&amp;"'!L26")= "","",INDIRECT("'"&amp;$C$1&amp;"'!L26"))</f>
        <v>12</v>
      </c>
      <c r="N60" s="15">
        <f ca="1">IF(INDIRECT("'"&amp;$C$1&amp;"'!M26")= "","",INDIRECT("'"&amp;$C$1&amp;"'!M26"))</f>
        <v>6</v>
      </c>
      <c r="O60" s="15">
        <f ca="1">IF(INDIRECT("'"&amp;$C$1&amp;"'!E26")= "","",INDIRECT("'"&amp;$C$1&amp;"'!E26"))</f>
        <v>6</v>
      </c>
      <c r="P60" s="15">
        <f ca="1">IF(INDIRECT("'"&amp;$C$1&amp;"'!O26")= "","",INDIRECT("'"&amp;$C$1&amp;"'!O26"))</f>
        <v>5</v>
      </c>
      <c r="Q60" s="15">
        <f ca="1">IF(INDIRECT("'"&amp;$C$1&amp;"'!P26")= "","",INDIRECT("'"&amp;$C$1&amp;"'!P26"))</f>
        <v>8</v>
      </c>
      <c r="R60" s="15">
        <f ca="1">IF(INDIRECT("'"&amp;$C$1&amp;"'!Q26")= "","",INDIRECT("'"&amp;$C$1&amp;"'!Q26"))</f>
        <v>11</v>
      </c>
      <c r="S60" s="15">
        <f ca="1">IF(INDIRECT("'"&amp;$C$1&amp;"'!R26")= "","",INDIRECT("'"&amp;$C$1&amp;"'!R26"))</f>
        <v>5</v>
      </c>
      <c r="T60" s="15">
        <f ca="1">IF(INDIRECT("'"&amp;$C$1&amp;"'!S26")= "","",INDIRECT("'"&amp;$C$1&amp;"'!S26"))</f>
        <v>5</v>
      </c>
      <c r="U60" s="15">
        <f ca="1">IF(INDIRECT("'"&amp;$C$1&amp;"'!T26")= "","",INDIRECT("'"&amp;$C$1&amp;"'!T26"))</f>
        <v>11</v>
      </c>
      <c r="V60" s="15">
        <f ca="1">IF(INDIRECT("'"&amp;$C$1&amp;"'!U26")= "","",INDIRECT("'"&amp;$C$1&amp;"'!U26"))</f>
        <v>8</v>
      </c>
      <c r="W60" s="15">
        <f ca="1">IF(INDIRECT("'"&amp;$C$1&amp;"'!V26")= "","",INDIRECT("'"&amp;$C$1&amp;"'!V26"))</f>
        <v>5</v>
      </c>
      <c r="X60" s="15">
        <f ca="1">IF(INDIRECT("'"&amp;$C$1&amp;"'!W26")= "","",INDIRECT("'"&amp;$C$1&amp;"'!W26"))</f>
        <v>6</v>
      </c>
      <c r="Y60" s="15">
        <f ca="1">IF(INDIRECT("'"&amp;$C$1&amp;"'!X26")= "","",INDIRECT("'"&amp;$C$1&amp;"'!X26"))</f>
        <v>8</v>
      </c>
      <c r="Z60" s="15">
        <f ca="1">IF(INDIRECT("'"&amp;$C$1&amp;"'!Y26")= "","",INDIRECT("'"&amp;$C$1&amp;"'!Y26"))</f>
        <v>6</v>
      </c>
      <c r="AA60" s="15">
        <f ca="1">IF(INDIRECT("'"&amp;$C$1&amp;"'!Z26")= "","",INDIRECT("'"&amp;$C$1&amp;"'!Z26"))</f>
        <v>6</v>
      </c>
      <c r="AB60" s="15">
        <f ca="1">IF(INDIRECT("'"&amp;$C$1&amp;"'!E26")= "","",INDIRECT("'"&amp;$C$1&amp;"'!E26"))</f>
        <v>6</v>
      </c>
      <c r="AC60" s="15">
        <f ca="1">IF(INDIRECT("'"&amp;$C$1&amp;"'!AB26")= "","",INDIRECT("'"&amp;$C$1&amp;"'!AB26"))</f>
        <v>7</v>
      </c>
      <c r="AD60" s="15">
        <f ca="1">IF(INDIRECT("'"&amp;$C$1&amp;"'!AC26")= "","",INDIRECT("'"&amp;$C$1&amp;"'!AC26"))</f>
        <v>8</v>
      </c>
      <c r="AE60" s="15">
        <f ca="1">IF(INDIRECT("'"&amp;$C$1&amp;"'!AD26")= "","",INDIRECT("'"&amp;$C$1&amp;"'!AD26"))</f>
        <v>9</v>
      </c>
      <c r="AF60" s="15">
        <f ca="1">IF(INDIRECT("'"&amp;$C$1&amp;"'!AE26")= "","",INDIRECT("'"&amp;$C$1&amp;"'!AE26"))</f>
        <v>10</v>
      </c>
      <c r="AG60" s="15">
        <f ca="1">IF(INDIRECT("'"&amp;$C$1&amp;"'!AF26")= "","",INDIRECT("'"&amp;$C$1&amp;"'!AF26"))</f>
        <v>11</v>
      </c>
      <c r="AH60" s="15">
        <f ca="1">IF(INDIRECT("'"&amp;$C$1&amp;"'!AG26")= "","",INDIRECT("'"&amp;$C$1&amp;"'!AG26"))</f>
        <v>12</v>
      </c>
      <c r="AI60" s="15">
        <f ca="1">IF(INDIRECT("'"&amp;$C$1&amp;"'!AH26")= "","",INDIRECT("'"&amp;$C$1&amp;"'!AH26"))</f>
        <v>1</v>
      </c>
      <c r="AJ60" s="15">
        <f ca="1">IF(INDIRECT("'"&amp;$C$1&amp;"'!AI26")= "","",INDIRECT("'"&amp;$C$1&amp;"'!AI26"))</f>
        <v>2</v>
      </c>
      <c r="AK60" s="15">
        <f ca="1">IF(INDIRECT("'"&amp;$C$1&amp;"'!AJ26")= "","",INDIRECT("'"&amp;$C$1&amp;"'!AJ26"))</f>
        <v>3</v>
      </c>
      <c r="AL60" s="15">
        <f ca="1">IF(INDIRECT("'"&amp;$C$1&amp;"'!AK26")= "","",INDIRECT("'"&amp;$C$1&amp;"'!AK26"))</f>
        <v>4</v>
      </c>
      <c r="AM60" s="15">
        <f ca="1">IF(INDIRECT("'"&amp;$C$1&amp;"'!AL26")= "","",INDIRECT("'"&amp;$C$1&amp;"'!AL26"))</f>
        <v>5</v>
      </c>
      <c r="AN60" s="15">
        <f ca="1">IF(INDIRECT("'"&amp;$C$1&amp;"'!AM26")= "","",INDIRECT("'"&amp;$C$1&amp;"'!AM26"))</f>
        <v>6</v>
      </c>
      <c r="AO60" s="75"/>
    </row>
    <row r="61" spans="1:41" hidden="1">
      <c r="A61" s="75"/>
      <c r="B61" s="152"/>
      <c r="C61" s="125" t="str">
        <f ca="1">CONCATENATE(IF(INDIRECT("'"&amp;$C$1&amp;"'!B35")= "","",INDIRECT("'"&amp;$C$1&amp;"'!B35"))," ",IF(INDIRECT("'"&amp;$C$1&amp;"'!C26")= "","",INDIRECT("'"&amp;$C$1&amp;"'!C26")))</f>
        <v xml:space="preserve">Number of Graha in Bhava </v>
      </c>
      <c r="D61" s="55"/>
      <c r="E61" s="124"/>
      <c r="F61" s="124"/>
      <c r="G61" s="124"/>
      <c r="H61" s="124"/>
      <c r="I61" s="124"/>
      <c r="J61" s="124"/>
      <c r="K61" s="124"/>
      <c r="L61" s="124"/>
      <c r="M61" s="124"/>
      <c r="N61" s="124"/>
      <c r="O61" s="124"/>
      <c r="P61" s="124"/>
      <c r="Q61" s="124"/>
      <c r="R61" s="124"/>
      <c r="S61" s="124"/>
      <c r="T61" s="124"/>
      <c r="U61" s="124"/>
      <c r="V61" s="124"/>
      <c r="W61" s="124"/>
      <c r="X61" s="124"/>
      <c r="Y61" s="124"/>
      <c r="Z61" s="124"/>
      <c r="AA61" s="124"/>
      <c r="AB61" s="124"/>
      <c r="AC61" s="15">
        <f ca="1">IF(INDIRECT("'"&amp;$C$1&amp;"'!AB35")= "","",INDIRECT("'"&amp;$C$1&amp;"'!AB35"))</f>
        <v>0</v>
      </c>
      <c r="AD61" s="15">
        <f ca="1">IF(INDIRECT("'"&amp;$C$1&amp;"'!AC35")= "","",INDIRECT("'"&amp;$C$1&amp;"'!AC35"))</f>
        <v>2</v>
      </c>
      <c r="AE61" s="15">
        <f ca="1">IF(INDIRECT("'"&amp;$C$1&amp;"'!AD35")= "","",INDIRECT("'"&amp;$C$1&amp;"'!AD35"))</f>
        <v>0</v>
      </c>
      <c r="AF61" s="15">
        <f ca="1">IF(INDIRECT("'"&amp;$C$1&amp;"'!AE35")= "","",INDIRECT("'"&amp;$C$1&amp;"'!AE35"))</f>
        <v>0</v>
      </c>
      <c r="AG61" s="15">
        <f ca="1">IF(INDIRECT("'"&amp;$C$1&amp;"'!AF35")= "","",INDIRECT("'"&amp;$C$1&amp;"'!AF35"))</f>
        <v>1</v>
      </c>
      <c r="AH61" s="15">
        <f ca="1">IF(INDIRECT("'"&amp;$C$1&amp;"'!AG35")= "","",INDIRECT("'"&amp;$C$1&amp;"'!AG35"))</f>
        <v>1</v>
      </c>
      <c r="AI61" s="15">
        <f ca="1">IF(INDIRECT("'"&amp;$C$1&amp;"'!AH35")= "","",INDIRECT("'"&amp;$C$1&amp;"'!AH35"))</f>
        <v>0</v>
      </c>
      <c r="AJ61" s="15">
        <f ca="1">IF(INDIRECT("'"&amp;$C$1&amp;"'!AI35")= "","",INDIRECT("'"&amp;$C$1&amp;"'!AI35"))</f>
        <v>0</v>
      </c>
      <c r="AK61" s="15">
        <f ca="1">IF(INDIRECT("'"&amp;$C$1&amp;"'!AJ35")= "","",INDIRECT("'"&amp;$C$1&amp;"'!AJ35"))</f>
        <v>0</v>
      </c>
      <c r="AL61" s="15">
        <f ca="1">IF(INDIRECT("'"&amp;$C$1&amp;"'!AK35")= "","",INDIRECT("'"&amp;$C$1&amp;"'!AK35"))</f>
        <v>0</v>
      </c>
      <c r="AM61" s="15">
        <f ca="1">IF(INDIRECT("'"&amp;$C$1&amp;"'!AL35")= "","",INDIRECT("'"&amp;$C$1&amp;"'!AL35"))</f>
        <v>2</v>
      </c>
      <c r="AN61" s="15">
        <f ca="1">IF(INDIRECT("'"&amp;$C$1&amp;"'!AM35")= "","",INDIRECT("'"&amp;$C$1&amp;"'!AM35"))</f>
        <v>3</v>
      </c>
      <c r="AO61" s="75"/>
    </row>
    <row r="62" spans="1:41" hidden="1">
      <c r="A62" s="75"/>
      <c r="B62" s="152"/>
      <c r="C62" s="149"/>
      <c r="D62" s="55"/>
      <c r="E62" s="124"/>
      <c r="F62" s="124"/>
      <c r="G62" s="124"/>
      <c r="H62" s="124"/>
      <c r="I62" s="124"/>
      <c r="J62" s="124"/>
      <c r="K62" s="124"/>
      <c r="L62" s="124"/>
      <c r="M62" s="124"/>
      <c r="N62" s="124"/>
      <c r="O62" s="124"/>
      <c r="P62" s="124"/>
      <c r="Q62" s="124"/>
      <c r="R62" s="124"/>
      <c r="S62" s="124"/>
      <c r="T62" s="124"/>
      <c r="U62" s="124"/>
      <c r="V62" s="124"/>
      <c r="W62" s="124"/>
      <c r="X62" s="124"/>
      <c r="Y62" s="124"/>
      <c r="Z62" s="124"/>
      <c r="AA62" s="124"/>
      <c r="AB62" s="124"/>
      <c r="AC62" s="124"/>
      <c r="AD62" s="124"/>
      <c r="AE62" s="124"/>
      <c r="AF62" s="124"/>
      <c r="AG62" s="124"/>
      <c r="AH62" s="124"/>
      <c r="AI62" s="124"/>
      <c r="AJ62" s="124"/>
      <c r="AK62" s="124"/>
      <c r="AL62" s="124"/>
      <c r="AM62" s="124"/>
      <c r="AN62" s="124"/>
      <c r="AO62" s="89" t="s">
        <v>101</v>
      </c>
    </row>
    <row r="63" spans="1:41" hidden="1">
      <c r="A63" s="75"/>
      <c r="B63" s="152"/>
      <c r="C63" s="149"/>
      <c r="D63" s="55"/>
      <c r="E63" s="124"/>
      <c r="F63" s="124"/>
      <c r="G63" s="124"/>
      <c r="H63" s="124"/>
      <c r="I63" s="124"/>
      <c r="J63" s="124"/>
      <c r="K63" s="124"/>
      <c r="L63" s="124"/>
      <c r="M63" s="124"/>
      <c r="N63" s="124"/>
      <c r="O63" s="124"/>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89" t="s">
        <v>119</v>
      </c>
    </row>
    <row r="64" spans="1:41" ht="13.8" hidden="1" thickBot="1">
      <c r="B64" s="124"/>
      <c r="C64" s="133" t="str">
        <f>IF(PAC!B36= "","",PAC!B36)</f>
        <v>Position</v>
      </c>
      <c r="D64" s="134"/>
      <c r="E64" s="53"/>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c r="AL64" s="53"/>
      <c r="AM64" s="53"/>
      <c r="AN64" s="53"/>
      <c r="AO64" s="136" t="s">
        <v>142</v>
      </c>
    </row>
    <row r="65" spans="2:41" hidden="1">
      <c r="B65" s="124"/>
      <c r="C65" s="126"/>
      <c r="D65" s="6"/>
      <c r="E65" s="147"/>
      <c r="N65" s="147"/>
      <c r="P65" s="147"/>
      <c r="S65" s="147"/>
      <c r="Z65" s="147"/>
      <c r="AO65" s="137" t="s">
        <v>166</v>
      </c>
    </row>
    <row r="66" spans="2:41" hidden="1">
      <c r="C66" s="125" t="str">
        <f ca="1">CONCATENATE(IF(INDIRECT("'"&amp;$C$1&amp;"'!B38")="","",INDIRECT("'"&amp;$C$1&amp;"'!B38"))," ",IF(INDIRECT("'"&amp;$C$1&amp;"'!C38")="","""",INDIRECT("'"&amp;$C$1&amp;"'!C38")))</f>
        <v>is exalted</v>
      </c>
      <c r="D66" s="147"/>
      <c r="E66" s="15" t="str">
        <f ca="1">IF(INDIRECT("'"&amp;$C$1&amp;"'!D38")= "","",INDIRECT("'"&amp;$C$1&amp;"'!D38"))</f>
        <v/>
      </c>
      <c r="F66" s="15" t="str">
        <f ca="1">IF(INDIRECT("'"&amp;$C$1&amp;"'!e38")= "","",INDIRECT("'"&amp;$C$1&amp;"'!e38"))</f>
        <v/>
      </c>
      <c r="G66" s="15" t="str">
        <f ca="1">IF(INDIRECT("'"&amp;$C$1&amp;"'!f38")= "","",INDIRECT("'"&amp;$C$1&amp;"'!f38"))</f>
        <v/>
      </c>
      <c r="H66" s="15" t="str">
        <f ca="1">IF(INDIRECT("'"&amp;$C$1&amp;"'!g38")= "","",INDIRECT("'"&amp;$C$1&amp;"'!g38"))</f>
        <v>Y</v>
      </c>
      <c r="I66" s="15" t="str">
        <f ca="1">IF(INDIRECT("'"&amp;$C$1&amp;"'!h38")= "","",INDIRECT("'"&amp;$C$1&amp;"'!h38"))</f>
        <v/>
      </c>
      <c r="J66" s="15" t="str">
        <f ca="1">IF(INDIRECT("'"&amp;$C$1&amp;"'!i38")= "","",INDIRECT("'"&amp;$C$1&amp;"'!i38"))</f>
        <v/>
      </c>
      <c r="K66" s="15" t="str">
        <f ca="1">IF(INDIRECT("'"&amp;$C$1&amp;"'!j38")= "","",INDIRECT("'"&amp;$C$1&amp;"'!j38"))</f>
        <v/>
      </c>
      <c r="L66" s="15" t="str">
        <f ca="1">IF(INDIRECT("'"&amp;$C$1&amp;"'!k38")= "","",INDIRECT("'"&amp;$C$1&amp;"'!k38"))</f>
        <v/>
      </c>
      <c r="M66" s="15" t="str">
        <f ca="1">IF(INDIRECT("'"&amp;$C$1&amp;"'!L38")= "","",INDIRECT("'"&amp;$C$1&amp;"'!L38"))</f>
        <v/>
      </c>
      <c r="N66" s="15" t="str">
        <f ca="1">IF(INDIRECT("'"&amp;$C$1&amp;"'!M38")= "","",INDIRECT("'"&amp;$C$1&amp;"'!M38"))</f>
        <v/>
      </c>
      <c r="P66" s="15" t="str">
        <f ca="1">IF(INDIRECT("'"&amp;$C$1&amp;"'!o38")= "","",INDIRECT("'"&amp;$C$1&amp;"'!o38"))</f>
        <v/>
      </c>
      <c r="Q66" s="15" t="str">
        <f ca="1">IF(INDIRECT("'"&amp;$C$1&amp;"'!p38")= "","",INDIRECT("'"&amp;$C$1&amp;"'!p38"))</f>
        <v/>
      </c>
      <c r="R66" s="15" t="str">
        <f ca="1">IF(INDIRECT("'"&amp;$C$1&amp;"'!q38")= "","",INDIRECT("'"&amp;$C$1&amp;"'!q38"))</f>
        <v/>
      </c>
      <c r="S66" s="15" t="str">
        <f ca="1">IF(INDIRECT("'"&amp;$C$1&amp;"'!r38")= "","",INDIRECT("'"&amp;$C$1&amp;"'!r38"))</f>
        <v/>
      </c>
      <c r="T66" s="15" t="str">
        <f ca="1">IF(INDIRECT("'"&amp;$C$1&amp;"'!s38")= "","",INDIRECT("'"&amp;$C$1&amp;"'!s38"))</f>
        <v/>
      </c>
      <c r="U66" s="15" t="str">
        <f ca="1">IF(INDIRECT("'"&amp;$C$1&amp;"'!t38")= "","",INDIRECT("'"&amp;$C$1&amp;"'!t38"))</f>
        <v/>
      </c>
      <c r="V66" s="15" t="str">
        <f ca="1">IF(INDIRECT("'"&amp;$C$1&amp;"'!u38")= "","",INDIRECT("'"&amp;$C$1&amp;"'!u38"))</f>
        <v/>
      </c>
      <c r="W66" s="15" t="str">
        <f ca="1">IF(INDIRECT("'"&amp;$C$1&amp;"'!v38")= "","",INDIRECT("'"&amp;$C$1&amp;"'!v38"))</f>
        <v/>
      </c>
      <c r="X66" s="15" t="str">
        <f ca="1">IF(INDIRECT("'"&amp;$C$1&amp;"'!w38")= "","",INDIRECT("'"&amp;$C$1&amp;"'!w38"))</f>
        <v>Y</v>
      </c>
      <c r="Y66" s="15" t="str">
        <f ca="1">IF(INDIRECT("'"&amp;$C$1&amp;"'!x38")= "","",INDIRECT("'"&amp;$C$1&amp;"'!x38"))</f>
        <v/>
      </c>
      <c r="Z66" s="15" t="str">
        <f ca="1">IF(INDIRECT("'"&amp;$C$1&amp;"'!y38")= "","",INDIRECT("'"&amp;$C$1&amp;"'!y38"))</f>
        <v/>
      </c>
      <c r="AA66" s="15" t="str">
        <f ca="1">IF(INDIRECT("'"&amp;$C$1&amp;"'!z38")= "","",INDIRECT("'"&amp;$C$1&amp;"'!z38"))</f>
        <v>Y</v>
      </c>
      <c r="AB66" s="15" t="str">
        <f>IF(PAC!AA38= "","",PAC!AA38)</f>
        <v/>
      </c>
      <c r="AC66" s="151"/>
      <c r="AD66" s="151"/>
      <c r="AE66" s="151"/>
      <c r="AF66" s="151"/>
      <c r="AG66" s="151"/>
      <c r="AH66" s="151"/>
      <c r="AI66" s="151"/>
      <c r="AJ66" s="151"/>
      <c r="AK66" s="151"/>
      <c r="AL66" s="151"/>
      <c r="AM66" s="151"/>
      <c r="AN66" s="151"/>
    </row>
    <row r="67" spans="2:41" hidden="1">
      <c r="C67" s="125" t="str">
        <f ca="1">CONCATENATE(IF(INDIRECT("'"&amp;$C$1&amp;"'!B39")= "","",INDIRECT("'"&amp;$C$1&amp;"'!B39"))," ",IF(INDIRECT("'"&amp;$C$1&amp;"'!C39")= "","",INDIRECT("'"&amp;$C$1&amp;"'!C39")))</f>
        <v>is debilitated</v>
      </c>
      <c r="D67" s="147"/>
      <c r="E67" s="15" t="str">
        <f ca="1">IF(INDIRECT("'"&amp;$C$1&amp;"'!D39")= "","",INDIRECT("'"&amp;$C$1&amp;"'!D39"))</f>
        <v/>
      </c>
      <c r="F67" s="15" t="str">
        <f ca="1">IF(INDIRECT("'"&amp;$C$1&amp;"'!e39")= "","",INDIRECT("'"&amp;$C$1&amp;"'!e39"))</f>
        <v/>
      </c>
      <c r="G67" s="15" t="str">
        <f ca="1">IF(INDIRECT("'"&amp;$C$1&amp;"'!f39")= "","",INDIRECT("'"&amp;$C$1&amp;"'!f39"))</f>
        <v/>
      </c>
      <c r="H67" s="15" t="str">
        <f ca="1">IF(INDIRECT("'"&amp;$C$1&amp;"'!g39")= "","",INDIRECT("'"&amp;$C$1&amp;"'!g39"))</f>
        <v/>
      </c>
      <c r="I67" s="15" t="str">
        <f ca="1">IF(INDIRECT("'"&amp;$C$1&amp;"'!h39")= "","",INDIRECT("'"&amp;$C$1&amp;"'!h39"))</f>
        <v/>
      </c>
      <c r="J67" s="15" t="str">
        <f ca="1">IF(INDIRECT("'"&amp;$C$1&amp;"'!i39")= "","",INDIRECT("'"&amp;$C$1&amp;"'!i39"))</f>
        <v/>
      </c>
      <c r="K67" s="15" t="str">
        <f ca="1">IF(INDIRECT("'"&amp;$C$1&amp;"'!j39")= "","",INDIRECT("'"&amp;$C$1&amp;"'!j39"))</f>
        <v/>
      </c>
      <c r="L67" s="15" t="str">
        <f ca="1">IF(INDIRECT("'"&amp;$C$1&amp;"'!k39")= "","",INDIRECT("'"&amp;$C$1&amp;"'!k39"))</f>
        <v/>
      </c>
      <c r="M67" s="15" t="str">
        <f ca="1">IF(INDIRECT("'"&amp;$C$1&amp;"'!L39")= "","",INDIRECT("'"&amp;$C$1&amp;"'!L39"))</f>
        <v/>
      </c>
      <c r="N67" s="15" t="str">
        <f ca="1">IF(INDIRECT("'"&amp;$C$1&amp;"'!M39")= "","",INDIRECT("'"&amp;$C$1&amp;"'!M39"))</f>
        <v/>
      </c>
      <c r="P67" s="15" t="str">
        <f ca="1">IF(INDIRECT("'"&amp;$C$1&amp;"'!o39")= "","",INDIRECT("'"&amp;$C$1&amp;"'!o39"))</f>
        <v/>
      </c>
      <c r="Q67" s="15" t="str">
        <f ca="1">IF(INDIRECT("'"&amp;$C$1&amp;"'!p39")= "","",INDIRECT("'"&amp;$C$1&amp;"'!p39"))</f>
        <v/>
      </c>
      <c r="R67" s="15" t="str">
        <f ca="1">IF(INDIRECT("'"&amp;$C$1&amp;"'!q39")= "","",INDIRECT("'"&amp;$C$1&amp;"'!q39"))</f>
        <v/>
      </c>
      <c r="S67" s="15" t="str">
        <f ca="1">IF(INDIRECT("'"&amp;$C$1&amp;"'!r39")= "","",INDIRECT("'"&amp;$C$1&amp;"'!r39"))</f>
        <v/>
      </c>
      <c r="T67" s="15" t="str">
        <f ca="1">IF(INDIRECT("'"&amp;$C$1&amp;"'!s39")= "","",INDIRECT("'"&amp;$C$1&amp;"'!s39"))</f>
        <v/>
      </c>
      <c r="U67" s="15" t="str">
        <f ca="1">IF(INDIRECT("'"&amp;$C$1&amp;"'!t39")= "","",INDIRECT("'"&amp;$C$1&amp;"'!t39"))</f>
        <v/>
      </c>
      <c r="V67" s="15" t="str">
        <f ca="1">IF(INDIRECT("'"&amp;$C$1&amp;"'!u39")= "","",INDIRECT("'"&amp;$C$1&amp;"'!u39"))</f>
        <v/>
      </c>
      <c r="W67" s="15" t="str">
        <f ca="1">IF(INDIRECT("'"&amp;$C$1&amp;"'!v39")= "","",INDIRECT("'"&amp;$C$1&amp;"'!v39"))</f>
        <v/>
      </c>
      <c r="X67" s="15" t="str">
        <f ca="1">IF(INDIRECT("'"&amp;$C$1&amp;"'!w39")= "","",INDIRECT("'"&amp;$C$1&amp;"'!w39"))</f>
        <v/>
      </c>
      <c r="Y67" s="15" t="str">
        <f ca="1">IF(INDIRECT("'"&amp;$C$1&amp;"'!x39")= "","",INDIRECT("'"&amp;$C$1&amp;"'!x39"))</f>
        <v/>
      </c>
      <c r="Z67" s="15" t="str">
        <f ca="1">IF(INDIRECT("'"&amp;$C$1&amp;"'!y39")= "","",INDIRECT("'"&amp;$C$1&amp;"'!y39"))</f>
        <v/>
      </c>
      <c r="AA67" s="15" t="str">
        <f ca="1">IF(INDIRECT("'"&amp;$C$1&amp;"'!z39")= "","",INDIRECT("'"&amp;$C$1&amp;"'!z39"))</f>
        <v/>
      </c>
      <c r="AB67" s="15" t="str">
        <f>IF(PAC!AA39= "","",PAC!AA39)</f>
        <v/>
      </c>
      <c r="AC67" s="151"/>
      <c r="AD67" s="151"/>
      <c r="AE67" s="151"/>
      <c r="AF67" s="151"/>
      <c r="AG67" s="151"/>
      <c r="AH67" s="151"/>
      <c r="AI67" s="151"/>
      <c r="AJ67" s="151"/>
      <c r="AK67" s="151"/>
      <c r="AL67" s="151"/>
      <c r="AM67" s="151"/>
      <c r="AN67" s="151"/>
      <c r="AO67" s="138"/>
    </row>
    <row r="68" spans="2:41" hidden="1">
      <c r="C68" s="125" t="str">
        <f ca="1">CONCATENATE(IF(INDIRECT("'"&amp;$C$1&amp;"'!B40")= "","",INDIRECT("'"&amp;$C$1&amp;"'!B40"))," ",IF(INDIRECT("'"&amp;$C$1&amp;"'!C40")= "","",INDIRECT("'"&amp;$C$1&amp;"'!C40")))</f>
        <v>is at moolatrikona</v>
      </c>
      <c r="D68" s="147"/>
      <c r="E68" s="15" t="str">
        <f ca="1">IF(INDIRECT("'"&amp;$C$1&amp;"'!D40")= "","",INDIRECT("'"&amp;$C$1&amp;"'!D40"))</f>
        <v/>
      </c>
      <c r="F68" s="15" t="str">
        <f ca="1">IF(INDIRECT("'"&amp;$C$1&amp;"'!e40")= "","",INDIRECT("'"&amp;$C$1&amp;"'!e40"))</f>
        <v/>
      </c>
      <c r="G68" s="15" t="str">
        <f ca="1">IF(INDIRECT("'"&amp;$C$1&amp;"'!f40")= "","",INDIRECT("'"&amp;$C$1&amp;"'!f40"))</f>
        <v/>
      </c>
      <c r="H68" s="15" t="str">
        <f ca="1">IF(INDIRECT("'"&amp;$C$1&amp;"'!g40")= "","",INDIRECT("'"&amp;$C$1&amp;"'!g40"))</f>
        <v>Y</v>
      </c>
      <c r="I68" s="15" t="str">
        <f ca="1">IF(INDIRECT("'"&amp;$C$1&amp;"'!h40")= "","",INDIRECT("'"&amp;$C$1&amp;"'!h40"))</f>
        <v/>
      </c>
      <c r="J68" s="15" t="str">
        <f ca="1">IF(INDIRECT("'"&amp;$C$1&amp;"'!i40")= "","",INDIRECT("'"&amp;$C$1&amp;"'!i40"))</f>
        <v/>
      </c>
      <c r="K68" s="15" t="str">
        <f ca="1">IF(INDIRECT("'"&amp;$C$1&amp;"'!j40")= "","",INDIRECT("'"&amp;$C$1&amp;"'!j40"))</f>
        <v/>
      </c>
      <c r="L68" s="15" t="str">
        <f ca="1">IF(INDIRECT("'"&amp;$C$1&amp;"'!k40")= "","",INDIRECT("'"&amp;$C$1&amp;"'!k40"))</f>
        <v/>
      </c>
      <c r="M68" s="15" t="str">
        <f ca="1">IF(INDIRECT("'"&amp;$C$1&amp;"'!L40")= "","",INDIRECT("'"&amp;$C$1&amp;"'!L40"))</f>
        <v/>
      </c>
      <c r="N68" s="15" t="str">
        <f ca="1">IF(INDIRECT("'"&amp;$C$1&amp;"'!M40")= "","",INDIRECT("'"&amp;$C$1&amp;"'!M40"))</f>
        <v/>
      </c>
      <c r="P68" s="15" t="str">
        <f ca="1">IF(INDIRECT("'"&amp;$C$1&amp;"'!o40")= "","",INDIRECT("'"&amp;$C$1&amp;"'!o40"))</f>
        <v/>
      </c>
      <c r="Q68" s="15" t="str">
        <f ca="1">IF(INDIRECT("'"&amp;$C$1&amp;"'!p40")= "","",INDIRECT("'"&amp;$C$1&amp;"'!p40"))</f>
        <v/>
      </c>
      <c r="R68" s="15" t="str">
        <f ca="1">IF(INDIRECT("'"&amp;$C$1&amp;"'!q40")= "","",INDIRECT("'"&amp;$C$1&amp;"'!q40"))</f>
        <v/>
      </c>
      <c r="S68" s="15" t="str">
        <f ca="1">IF(INDIRECT("'"&amp;$C$1&amp;"'!r40")= "","",INDIRECT("'"&amp;$C$1&amp;"'!r40"))</f>
        <v/>
      </c>
      <c r="T68" s="15" t="str">
        <f ca="1">IF(INDIRECT("'"&amp;$C$1&amp;"'!s40")= "","",INDIRECT("'"&amp;$C$1&amp;"'!s40"))</f>
        <v/>
      </c>
      <c r="U68" s="15" t="str">
        <f ca="1">IF(INDIRECT("'"&amp;$C$1&amp;"'!t40")= "","",INDIRECT("'"&amp;$C$1&amp;"'!t40"))</f>
        <v/>
      </c>
      <c r="V68" s="15" t="str">
        <f ca="1">IF(INDIRECT("'"&amp;$C$1&amp;"'!u40")= "","",INDIRECT("'"&amp;$C$1&amp;"'!u40"))</f>
        <v/>
      </c>
      <c r="W68" s="15" t="str">
        <f ca="1">IF(INDIRECT("'"&amp;$C$1&amp;"'!v40")= "","",INDIRECT("'"&amp;$C$1&amp;"'!v40"))</f>
        <v/>
      </c>
      <c r="X68" s="15" t="str">
        <f ca="1">IF(INDIRECT("'"&amp;$C$1&amp;"'!w40")= "","",INDIRECT("'"&amp;$C$1&amp;"'!w40"))</f>
        <v>Y</v>
      </c>
      <c r="Y68" s="15" t="str">
        <f ca="1">IF(INDIRECT("'"&amp;$C$1&amp;"'!x40")= "","",INDIRECT("'"&amp;$C$1&amp;"'!x40"))</f>
        <v/>
      </c>
      <c r="Z68" s="15" t="str">
        <f ca="1">IF(INDIRECT("'"&amp;$C$1&amp;"'!y40")= "","",INDIRECT("'"&amp;$C$1&amp;"'!y40"))</f>
        <v/>
      </c>
      <c r="AA68" s="15" t="str">
        <f ca="1">IF(INDIRECT("'"&amp;$C$1&amp;"'!z40")= "","",INDIRECT("'"&amp;$C$1&amp;"'!z40"))</f>
        <v>Y</v>
      </c>
      <c r="AB68" s="15" t="str">
        <f>IF(PAC!AA40= "","",PAC!AA40)</f>
        <v/>
      </c>
      <c r="AC68" s="151"/>
      <c r="AD68" s="151"/>
      <c r="AE68" s="151"/>
      <c r="AF68" s="151"/>
      <c r="AG68" s="151"/>
      <c r="AH68" s="151"/>
      <c r="AI68" s="151"/>
      <c r="AJ68" s="151"/>
      <c r="AK68" s="151"/>
      <c r="AL68" s="151"/>
      <c r="AM68" s="151"/>
      <c r="AN68" s="151"/>
      <c r="AO68" s="138"/>
    </row>
    <row r="69" spans="2:41" hidden="1">
      <c r="C69" s="125" t="str">
        <f ca="1">CONCATENATE(IF(INDIRECT("'"&amp;$C$1&amp;"'!B41")= "","",INDIRECT("'"&amp;$C$1&amp;"'!B41"))," ",IF(INDIRECT("'"&amp;$C$1&amp;"'!C41")= "","",INDIRECT("'"&amp;$C$1&amp;"'!C41")))</f>
        <v xml:space="preserve">is in own house </v>
      </c>
      <c r="D69" s="15"/>
      <c r="E69" s="15" t="str">
        <f ca="1">IF(INDIRECT("'"&amp;$C$1&amp;"'!D41")= "","",INDIRECT("'"&amp;$C$1&amp;"'!D41"))</f>
        <v/>
      </c>
      <c r="F69" s="15" t="str">
        <f ca="1">IF(INDIRECT("'"&amp;$C$1&amp;"'!e41")= "","",INDIRECT("'"&amp;$C$1&amp;"'!e41"))</f>
        <v/>
      </c>
      <c r="G69" s="15" t="str">
        <f ca="1">IF(INDIRECT("'"&amp;$C$1&amp;"'!f41")= "","",INDIRECT("'"&amp;$C$1&amp;"'!f41"))</f>
        <v/>
      </c>
      <c r="H69" s="15" t="str">
        <f ca="1">IF(INDIRECT("'"&amp;$C$1&amp;"'!g41")= "","",INDIRECT("'"&amp;$C$1&amp;"'!g41"))</f>
        <v/>
      </c>
      <c r="I69" s="15" t="str">
        <f ca="1">IF(INDIRECT("'"&amp;$C$1&amp;"'!h41")= "","",INDIRECT("'"&amp;$C$1&amp;"'!h41"))</f>
        <v/>
      </c>
      <c r="J69" s="15" t="str">
        <f ca="1">IF(INDIRECT("'"&amp;$C$1&amp;"'!i41")= "","",INDIRECT("'"&amp;$C$1&amp;"'!i41"))</f>
        <v/>
      </c>
      <c r="K69" s="15" t="str">
        <f ca="1">IF(INDIRECT("'"&amp;$C$1&amp;"'!j41")= "","",INDIRECT("'"&amp;$C$1&amp;"'!j41"))</f>
        <v/>
      </c>
      <c r="L69" s="15" t="str">
        <f ca="1">IF(INDIRECT("'"&amp;$C$1&amp;"'!k41")= "","",INDIRECT("'"&amp;$C$1&amp;"'!k41"))</f>
        <v/>
      </c>
      <c r="M69" s="15" t="str">
        <f ca="1">IF(INDIRECT("'"&amp;$C$1&amp;"'!L41")= "","",INDIRECT("'"&amp;$C$1&amp;"'!L41"))</f>
        <v/>
      </c>
      <c r="N69" s="15" t="str">
        <f ca="1">IF(INDIRECT("'"&amp;$C$1&amp;"'!M41")= "","",INDIRECT("'"&amp;$C$1&amp;"'!M41"))</f>
        <v/>
      </c>
      <c r="P69" s="15" t="str">
        <f ca="1">IF(INDIRECT("'"&amp;$C$1&amp;"'!o41")= "","",INDIRECT("'"&amp;$C$1&amp;"'!o41"))</f>
        <v/>
      </c>
      <c r="Q69" s="15" t="str">
        <f ca="1">IF(INDIRECT("'"&amp;$C$1&amp;"'!p41")= "","",INDIRECT("'"&amp;$C$1&amp;"'!p41"))</f>
        <v/>
      </c>
      <c r="R69" s="15" t="str">
        <f ca="1">IF(INDIRECT("'"&amp;$C$1&amp;"'!q41")= "","",INDIRECT("'"&amp;$C$1&amp;"'!q41"))</f>
        <v/>
      </c>
      <c r="S69" s="15" t="str">
        <f ca="1">IF(INDIRECT("'"&amp;$C$1&amp;"'!r41")= "","",INDIRECT("'"&amp;$C$1&amp;"'!r41"))</f>
        <v/>
      </c>
      <c r="T69" s="15" t="str">
        <f ca="1">IF(INDIRECT("'"&amp;$C$1&amp;"'!s41")= "","",INDIRECT("'"&amp;$C$1&amp;"'!s41"))</f>
        <v/>
      </c>
      <c r="U69" s="15" t="str">
        <f ca="1">IF(INDIRECT("'"&amp;$C$1&amp;"'!t41")= "","",INDIRECT("'"&amp;$C$1&amp;"'!t41"))</f>
        <v/>
      </c>
      <c r="V69" s="15" t="str">
        <f ca="1">IF(INDIRECT("'"&amp;$C$1&amp;"'!u41")= "","",INDIRECT("'"&amp;$C$1&amp;"'!u41"))</f>
        <v/>
      </c>
      <c r="W69" s="15" t="str">
        <f ca="1">IF(INDIRECT("'"&amp;$C$1&amp;"'!v41")= "","",INDIRECT("'"&amp;$C$1&amp;"'!v41"))</f>
        <v/>
      </c>
      <c r="X69" s="15" t="str">
        <f ca="1">IF(INDIRECT("'"&amp;$C$1&amp;"'!w41")= "","",INDIRECT("'"&amp;$C$1&amp;"'!w41"))</f>
        <v/>
      </c>
      <c r="Y69" s="15" t="str">
        <f ca="1">IF(INDIRECT("'"&amp;$C$1&amp;"'!x41")= "","",INDIRECT("'"&amp;$C$1&amp;"'!x41"))</f>
        <v/>
      </c>
      <c r="Z69" s="15" t="str">
        <f ca="1">IF(INDIRECT("'"&amp;$C$1&amp;"'!y41")= "","",INDIRECT("'"&amp;$C$1&amp;"'!y41"))</f>
        <v/>
      </c>
      <c r="AA69" s="15" t="str">
        <f ca="1">IF(INDIRECT("'"&amp;$C$1&amp;"'!z41")= "","",INDIRECT("'"&amp;$C$1&amp;"'!z41"))</f>
        <v/>
      </c>
      <c r="AB69" s="15" t="str">
        <f>IF(PAC!AA41= "","",PAC!AA41)</f>
        <v/>
      </c>
      <c r="AC69" s="151"/>
      <c r="AD69" s="151"/>
      <c r="AE69" s="151"/>
      <c r="AF69" s="151"/>
      <c r="AG69" s="151"/>
      <c r="AH69" s="151"/>
      <c r="AI69" s="151"/>
      <c r="AJ69" s="151"/>
      <c r="AK69" s="151"/>
      <c r="AL69" s="151"/>
      <c r="AM69" s="151"/>
      <c r="AN69" s="151"/>
      <c r="AO69" s="139" t="s">
        <v>102</v>
      </c>
    </row>
    <row r="70" spans="2:41" hidden="1">
      <c r="C70" s="125" t="str">
        <f ca="1">CONCATENATE(IF(INDIRECT("'"&amp;$C$1&amp;"'!B42")= "","",INDIRECT("'"&amp;$C$1&amp;"'!B42"))," ",IF(INDIRECT("'"&amp;$C$1&amp;"'!C42")= "","",INDIRECT("'"&amp;$C$1&amp;"'!C42")))</f>
        <v>is in friendly house</v>
      </c>
      <c r="D70" s="15"/>
      <c r="E70" s="15" t="str">
        <f ca="1">IF(INDIRECT("'"&amp;$C$1&amp;"'!D42")= "","",INDIRECT("'"&amp;$C$1&amp;"'!D42"))</f>
        <v/>
      </c>
      <c r="F70" s="15" t="str">
        <f ca="1">IF(INDIRECT("'"&amp;$C$1&amp;"'!e42")= "","",INDIRECT("'"&amp;$C$1&amp;"'!e42"))</f>
        <v/>
      </c>
      <c r="G70" s="15" t="str">
        <f ca="1">IF(INDIRECT("'"&amp;$C$1&amp;"'!f42")= "","",INDIRECT("'"&amp;$C$1&amp;"'!f42"))</f>
        <v/>
      </c>
      <c r="H70" s="15" t="str">
        <f ca="1">IF(INDIRECT("'"&amp;$C$1&amp;"'!g42")= "","",INDIRECT("'"&amp;$C$1&amp;"'!g42"))</f>
        <v/>
      </c>
      <c r="I70" s="15" t="str">
        <f ca="1">IF(INDIRECT("'"&amp;$C$1&amp;"'!h42")= "","",INDIRECT("'"&amp;$C$1&amp;"'!h42"))</f>
        <v/>
      </c>
      <c r="J70" s="15" t="str">
        <f ca="1">IF(INDIRECT("'"&amp;$C$1&amp;"'!i42")= "","",INDIRECT("'"&amp;$C$1&amp;"'!i42"))</f>
        <v/>
      </c>
      <c r="K70" s="15" t="str">
        <f ca="1">IF(INDIRECT("'"&amp;$C$1&amp;"'!j42")= "","",INDIRECT("'"&amp;$C$1&amp;"'!j42"))</f>
        <v/>
      </c>
      <c r="L70" s="15" t="str">
        <f ca="1">IF(INDIRECT("'"&amp;$C$1&amp;"'!k42")= "","",INDIRECT("'"&amp;$C$1&amp;"'!k42"))</f>
        <v/>
      </c>
      <c r="M70" s="15" t="str">
        <f ca="1">IF(INDIRECT("'"&amp;$C$1&amp;"'!L42")= "","",INDIRECT("'"&amp;$C$1&amp;"'!L42"))</f>
        <v/>
      </c>
      <c r="N70" s="15" t="str">
        <f ca="1">IF(INDIRECT("'"&amp;$C$1&amp;"'!M42")= "","",INDIRECT("'"&amp;$C$1&amp;"'!M42"))</f>
        <v/>
      </c>
      <c r="P70" s="15" t="str">
        <f ca="1">IF(INDIRECT("'"&amp;$C$1&amp;"'!o42")= "","",INDIRECT("'"&amp;$C$1&amp;"'!o42"))</f>
        <v/>
      </c>
      <c r="Q70" s="15" t="str">
        <f ca="1">IF(INDIRECT("'"&amp;$C$1&amp;"'!p42")= "","",INDIRECT("'"&amp;$C$1&amp;"'!p42"))</f>
        <v/>
      </c>
      <c r="R70" s="15" t="str">
        <f ca="1">IF(INDIRECT("'"&amp;$C$1&amp;"'!q42")= "","",INDIRECT("'"&amp;$C$1&amp;"'!q42"))</f>
        <v/>
      </c>
      <c r="S70" s="15" t="str">
        <f ca="1">IF(INDIRECT("'"&amp;$C$1&amp;"'!r42")= "","",INDIRECT("'"&amp;$C$1&amp;"'!r42"))</f>
        <v/>
      </c>
      <c r="T70" s="15" t="str">
        <f ca="1">IF(INDIRECT("'"&amp;$C$1&amp;"'!s42")= "","",INDIRECT("'"&amp;$C$1&amp;"'!s42"))</f>
        <v/>
      </c>
      <c r="U70" s="15" t="str">
        <f ca="1">IF(INDIRECT("'"&amp;$C$1&amp;"'!t42")= "","",INDIRECT("'"&amp;$C$1&amp;"'!t42"))</f>
        <v/>
      </c>
      <c r="V70" s="15" t="str">
        <f ca="1">IF(INDIRECT("'"&amp;$C$1&amp;"'!u42")= "","",INDIRECT("'"&amp;$C$1&amp;"'!u42"))</f>
        <v/>
      </c>
      <c r="W70" s="15" t="str">
        <f ca="1">IF(INDIRECT("'"&amp;$C$1&amp;"'!v42")= "","",INDIRECT("'"&amp;$C$1&amp;"'!v42"))</f>
        <v/>
      </c>
      <c r="X70" s="15" t="str">
        <f ca="1">IF(INDIRECT("'"&amp;$C$1&amp;"'!w42")= "","",INDIRECT("'"&amp;$C$1&amp;"'!w42"))</f>
        <v/>
      </c>
      <c r="Y70" s="15" t="str">
        <f ca="1">IF(INDIRECT("'"&amp;$C$1&amp;"'!x42")= "","",INDIRECT("'"&amp;$C$1&amp;"'!x42"))</f>
        <v/>
      </c>
      <c r="Z70" s="15" t="str">
        <f ca="1">IF(INDIRECT("'"&amp;$C$1&amp;"'!y42")= "","",INDIRECT("'"&amp;$C$1&amp;"'!y42"))</f>
        <v/>
      </c>
      <c r="AA70" s="15" t="str">
        <f ca="1">IF(INDIRECT("'"&amp;$C$1&amp;"'!z42")= "","",INDIRECT("'"&amp;$C$1&amp;"'!z42"))</f>
        <v/>
      </c>
      <c r="AB70" s="15" t="str">
        <f>IF(PAC!AA42= "","",PAC!AA42)</f>
        <v/>
      </c>
      <c r="AC70" s="151"/>
      <c r="AD70" s="151"/>
      <c r="AE70" s="151"/>
      <c r="AF70" s="151"/>
      <c r="AG70" s="151"/>
      <c r="AH70" s="151"/>
      <c r="AI70" s="151"/>
      <c r="AJ70" s="151"/>
      <c r="AK70" s="151"/>
      <c r="AL70" s="151"/>
      <c r="AM70" s="151"/>
      <c r="AN70" s="151"/>
      <c r="AO70" s="139" t="s">
        <v>104</v>
      </c>
    </row>
    <row r="71" spans="2:41" hidden="1">
      <c r="C71" s="125" t="str">
        <f ca="1">CONCATENATE(IF(INDIRECT("'"&amp;$C$1&amp;"'!B43")= "","",INDIRECT("'"&amp;$C$1&amp;"'!B43"))," ",IF(INDIRECT("'"&amp;$C$1&amp;"'!C43")= "","",INDIRECT("'"&amp;$C$1&amp;"'!C43")))</f>
        <v>is in hostile house</v>
      </c>
      <c r="D71" s="15"/>
      <c r="E71" s="15" t="str">
        <f ca="1">IF(INDIRECT("'"&amp;$C$1&amp;"'!D43")= "","",INDIRECT("'"&amp;$C$1&amp;"'!D43"))</f>
        <v/>
      </c>
      <c r="F71" s="15" t="str">
        <f ca="1">IF(INDIRECT("'"&amp;$C$1&amp;"'!e43")= "","",INDIRECT("'"&amp;$C$1&amp;"'!e43"))</f>
        <v/>
      </c>
      <c r="G71" s="15" t="str">
        <f ca="1">IF(INDIRECT("'"&amp;$C$1&amp;"'!f43")= "","",INDIRECT("'"&amp;$C$1&amp;"'!f43"))</f>
        <v/>
      </c>
      <c r="H71" s="15" t="str">
        <f ca="1">IF(INDIRECT("'"&amp;$C$1&amp;"'!g43")= "","",INDIRECT("'"&amp;$C$1&amp;"'!g43"))</f>
        <v/>
      </c>
      <c r="I71" s="15" t="str">
        <f ca="1">IF(INDIRECT("'"&amp;$C$1&amp;"'!h43")= "","",INDIRECT("'"&amp;$C$1&amp;"'!h43"))</f>
        <v>Y</v>
      </c>
      <c r="J71" s="15" t="str">
        <f ca="1">IF(INDIRECT("'"&amp;$C$1&amp;"'!i43")= "","",INDIRECT("'"&amp;$C$1&amp;"'!i43"))</f>
        <v/>
      </c>
      <c r="K71" s="15" t="str">
        <f ca="1">IF(INDIRECT("'"&amp;$C$1&amp;"'!j43")= "","",INDIRECT("'"&amp;$C$1&amp;"'!j43"))</f>
        <v/>
      </c>
      <c r="L71" s="15" t="str">
        <f ca="1">IF(INDIRECT("'"&amp;$C$1&amp;"'!k43")= "","",INDIRECT("'"&amp;$C$1&amp;"'!k43"))</f>
        <v>Y</v>
      </c>
      <c r="M71" s="15" t="str">
        <f ca="1">IF(INDIRECT("'"&amp;$C$1&amp;"'!L43")= "","",INDIRECT("'"&amp;$C$1&amp;"'!L43"))</f>
        <v/>
      </c>
      <c r="N71" s="15" t="str">
        <f ca="1">IF(INDIRECT("'"&amp;$C$1&amp;"'!M43")= "","",INDIRECT("'"&amp;$C$1&amp;"'!M43"))</f>
        <v/>
      </c>
      <c r="P71" s="15" t="str">
        <f ca="1">IF(INDIRECT("'"&amp;$C$1&amp;"'!o43")= "","",INDIRECT("'"&amp;$C$1&amp;"'!o43"))</f>
        <v>Y</v>
      </c>
      <c r="Q71" s="15" t="str">
        <f ca="1">IF(INDIRECT("'"&amp;$C$1&amp;"'!p43")= "","",INDIRECT("'"&amp;$C$1&amp;"'!p43"))</f>
        <v/>
      </c>
      <c r="R71" s="15" t="str">
        <f ca="1">IF(INDIRECT("'"&amp;$C$1&amp;"'!q43")= "","",INDIRECT("'"&amp;$C$1&amp;"'!q43"))</f>
        <v/>
      </c>
      <c r="S71" s="15" t="str">
        <f ca="1">IF(INDIRECT("'"&amp;$C$1&amp;"'!r43")= "","",INDIRECT("'"&amp;$C$1&amp;"'!r43"))</f>
        <v>Y</v>
      </c>
      <c r="T71" s="15" t="str">
        <f ca="1">IF(INDIRECT("'"&amp;$C$1&amp;"'!s43")= "","",INDIRECT("'"&amp;$C$1&amp;"'!s43"))</f>
        <v>Y</v>
      </c>
      <c r="U71" s="15" t="str">
        <f ca="1">IF(INDIRECT("'"&amp;$C$1&amp;"'!t43")= "","",INDIRECT("'"&amp;$C$1&amp;"'!t43"))</f>
        <v/>
      </c>
      <c r="V71" s="15" t="str">
        <f ca="1">IF(INDIRECT("'"&amp;$C$1&amp;"'!u43")= "","",INDIRECT("'"&amp;$C$1&amp;"'!u43"))</f>
        <v/>
      </c>
      <c r="W71" s="15" t="str">
        <f ca="1">IF(INDIRECT("'"&amp;$C$1&amp;"'!v43")= "","",INDIRECT("'"&amp;$C$1&amp;"'!v43"))</f>
        <v>Y</v>
      </c>
      <c r="X71" s="15" t="str">
        <f ca="1">IF(INDIRECT("'"&amp;$C$1&amp;"'!w43")= "","",INDIRECT("'"&amp;$C$1&amp;"'!w43"))</f>
        <v/>
      </c>
      <c r="Y71" s="15" t="str">
        <f ca="1">IF(INDIRECT("'"&amp;$C$1&amp;"'!x43")= "","",INDIRECT("'"&amp;$C$1&amp;"'!x43"))</f>
        <v xml:space="preserve"> </v>
      </c>
      <c r="Z71" s="15" t="str">
        <f ca="1">IF(INDIRECT("'"&amp;$C$1&amp;"'!y43")= "","",INDIRECT("'"&amp;$C$1&amp;"'!y43"))</f>
        <v/>
      </c>
      <c r="AA71" s="15" t="str">
        <f ca="1">IF(INDIRECT("'"&amp;$C$1&amp;"'!z43")= "","",INDIRECT("'"&amp;$C$1&amp;"'!z43"))</f>
        <v/>
      </c>
      <c r="AB71" s="15" t="str">
        <f>IF(PAC!AA43= "","",PAC!AA43)</f>
        <v/>
      </c>
      <c r="AC71" s="151"/>
      <c r="AD71" s="151"/>
      <c r="AE71" s="151"/>
      <c r="AF71" s="151"/>
      <c r="AG71" s="151"/>
      <c r="AH71" s="151"/>
      <c r="AI71" s="151"/>
      <c r="AJ71" s="151"/>
      <c r="AK71" s="151"/>
      <c r="AL71" s="151"/>
      <c r="AM71" s="151"/>
      <c r="AN71" s="151"/>
      <c r="AO71" s="139" t="s">
        <v>106</v>
      </c>
    </row>
    <row r="72" spans="2:41" hidden="1">
      <c r="C72" s="125" t="str">
        <f ca="1">CONCATENATE(IF(INDIRECT("'"&amp;$C$1&amp;"'!B44")= "","",INDIRECT("'"&amp;$C$1&amp;"'!B44"))," ",IF(INDIRECT("'"&amp;$C$1&amp;"'!C44")= "","",INDIRECT("'"&amp;$C$1&amp;"'!C44")))</f>
        <v>is in neutral house</v>
      </c>
      <c r="D72" s="15"/>
      <c r="E72" s="15" t="str">
        <f ca="1">IF(INDIRECT("'"&amp;$C$1&amp;"'!D44")= "","",INDIRECT("'"&amp;$C$1&amp;"'!D44"))</f>
        <v/>
      </c>
      <c r="F72" s="15" t="str">
        <f ca="1">IF(INDIRECT("'"&amp;$C$1&amp;"'!e44")= "","",INDIRECT("'"&amp;$C$1&amp;"'!e44"))</f>
        <v>Y</v>
      </c>
      <c r="G72" s="15" t="str">
        <f ca="1">IF(INDIRECT("'"&amp;$C$1&amp;"'!f44")= "","",INDIRECT("'"&amp;$C$1&amp;"'!f44"))</f>
        <v>Y</v>
      </c>
      <c r="H72" s="15" t="str">
        <f ca="1">IF(INDIRECT("'"&amp;$C$1&amp;"'!g44")= "","",INDIRECT("'"&amp;$C$1&amp;"'!g44"))</f>
        <v/>
      </c>
      <c r="I72" s="15" t="str">
        <f ca="1">IF(INDIRECT("'"&amp;$C$1&amp;"'!h44")= "","",INDIRECT("'"&amp;$C$1&amp;"'!h44"))</f>
        <v/>
      </c>
      <c r="J72" s="15" t="str">
        <f ca="1">IF(INDIRECT("'"&amp;$C$1&amp;"'!i44")= "","",INDIRECT("'"&amp;$C$1&amp;"'!i44"))</f>
        <v/>
      </c>
      <c r="K72" s="15" t="str">
        <f ca="1">IF(INDIRECT("'"&amp;$C$1&amp;"'!j44")= "","",INDIRECT("'"&amp;$C$1&amp;"'!j44"))</f>
        <v>Y</v>
      </c>
      <c r="L72" s="15" t="str">
        <f ca="1">IF(INDIRECT("'"&amp;$C$1&amp;"'!k44")= "","",INDIRECT("'"&amp;$C$1&amp;"'!k44"))</f>
        <v/>
      </c>
      <c r="M72" s="15" t="str">
        <f ca="1">IF(INDIRECT("'"&amp;$C$1&amp;"'!L44")= "","",INDIRECT("'"&amp;$C$1&amp;"'!L44"))</f>
        <v/>
      </c>
      <c r="N72" s="15" t="str">
        <f ca="1">IF(INDIRECT("'"&amp;$C$1&amp;"'!M44")= "","",INDIRECT("'"&amp;$C$1&amp;"'!M44"))</f>
        <v/>
      </c>
      <c r="P72" s="15" t="str">
        <f ca="1">IF(INDIRECT("'"&amp;$C$1&amp;"'!o44")= "","",INDIRECT("'"&amp;$C$1&amp;"'!o44"))</f>
        <v/>
      </c>
      <c r="Q72" s="15" t="str">
        <f ca="1">IF(INDIRECT("'"&amp;$C$1&amp;"'!p44")= "","",INDIRECT("'"&amp;$C$1&amp;"'!p44"))</f>
        <v/>
      </c>
      <c r="R72" s="15" t="str">
        <f ca="1">IF(INDIRECT("'"&amp;$C$1&amp;"'!q44")= "","",INDIRECT("'"&amp;$C$1&amp;"'!q44"))</f>
        <v>Y</v>
      </c>
      <c r="S72" s="15" t="str">
        <f ca="1">IF(INDIRECT("'"&amp;$C$1&amp;"'!r44")= "","",INDIRECT("'"&amp;$C$1&amp;"'!r44"))</f>
        <v/>
      </c>
      <c r="T72" s="15" t="str">
        <f ca="1">IF(INDIRECT("'"&amp;$C$1&amp;"'!s44")= "","",INDIRECT("'"&amp;$C$1&amp;"'!s44"))</f>
        <v/>
      </c>
      <c r="U72" s="15" t="str">
        <f ca="1">IF(INDIRECT("'"&amp;$C$1&amp;"'!t44")= "","",INDIRECT("'"&amp;$C$1&amp;"'!t44"))</f>
        <v>Y</v>
      </c>
      <c r="V72" s="15" t="str">
        <f ca="1">IF(INDIRECT("'"&amp;$C$1&amp;"'!u44")= "","",INDIRECT("'"&amp;$C$1&amp;"'!u44"))</f>
        <v/>
      </c>
      <c r="W72" s="15" t="str">
        <f ca="1">IF(INDIRECT("'"&amp;$C$1&amp;"'!v44")= "","",INDIRECT("'"&amp;$C$1&amp;"'!v44"))</f>
        <v/>
      </c>
      <c r="X72" s="15" t="str">
        <f ca="1">IF(INDIRECT("'"&amp;$C$1&amp;"'!w44")= "","",INDIRECT("'"&amp;$C$1&amp;"'!w44"))</f>
        <v/>
      </c>
      <c r="Y72" s="15" t="str">
        <f ca="1">IF(INDIRECT("'"&amp;$C$1&amp;"'!x44")= "","",INDIRECT("'"&amp;$C$1&amp;"'!x44"))</f>
        <v>Y</v>
      </c>
      <c r="Z72" s="15" t="str">
        <f ca="1">IF(INDIRECT("'"&amp;$C$1&amp;"'!y44")= "","",INDIRECT("'"&amp;$C$1&amp;"'!y44"))</f>
        <v>Y</v>
      </c>
      <c r="AA72" s="15" t="str">
        <f ca="1">IF(INDIRECT("'"&amp;$C$1&amp;"'!z44")= "","",INDIRECT("'"&amp;$C$1&amp;"'!z44"))</f>
        <v/>
      </c>
      <c r="AB72" s="15" t="str">
        <f>IF(PAC!AA44= "","",PAC!AA44)</f>
        <v/>
      </c>
      <c r="AC72" s="151"/>
      <c r="AD72" s="151"/>
      <c r="AE72" s="151"/>
      <c r="AF72" s="151"/>
      <c r="AG72" s="151"/>
      <c r="AH72" s="151"/>
      <c r="AI72" s="151"/>
      <c r="AJ72" s="151"/>
      <c r="AK72" s="151"/>
      <c r="AL72" s="151"/>
      <c r="AM72" s="151"/>
      <c r="AN72" s="151"/>
      <c r="AO72" s="139" t="s">
        <v>108</v>
      </c>
    </row>
    <row r="73" spans="2:41" hidden="1">
      <c r="C73" s="125" t="str">
        <f ca="1">CONCATENATE(IF(INDIRECT("'"&amp;$C$1&amp;"'!B45")= "","",INDIRECT("'"&amp;$C$1&amp;"'!B45"))," ",IF(INDIRECT("'"&amp;$C$1&amp;"'!C45")= "","",INDIRECT("'"&amp;$C$1&amp;"'!C45")))</f>
        <v>is retrograde</v>
      </c>
      <c r="D73" s="15"/>
      <c r="E73" s="15" t="str">
        <f ca="1">IF(INDIRECT("'"&amp;$C$1&amp;"'!D45")= "","",INDIRECT("'"&amp;$C$1&amp;"'!D45"))</f>
        <v/>
      </c>
      <c r="F73" s="15" t="str">
        <f ca="1">IF(INDIRECT("'"&amp;$C$1&amp;"'!e45")= "","",INDIRECT("'"&amp;$C$1&amp;"'!e45"))</f>
        <v/>
      </c>
      <c r="G73" s="15" t="str">
        <f ca="1">IF(INDIRECT("'"&amp;$C$1&amp;"'!f45")= "","",INDIRECT("'"&amp;$C$1&amp;"'!f45"))</f>
        <v/>
      </c>
      <c r="H73" s="15" t="str">
        <f ca="1">IF(INDIRECT("'"&amp;$C$1&amp;"'!g45")= "","",INDIRECT("'"&amp;$C$1&amp;"'!g45"))</f>
        <v>Y</v>
      </c>
      <c r="I73" s="15" t="str">
        <f ca="1">IF(INDIRECT("'"&amp;$C$1&amp;"'!h45")= "","",INDIRECT("'"&amp;$C$1&amp;"'!h45"))</f>
        <v xml:space="preserve"> </v>
      </c>
      <c r="J73" s="15" t="str">
        <f ca="1">IF(INDIRECT("'"&amp;$C$1&amp;"'!i45")= "","",INDIRECT("'"&amp;$C$1&amp;"'!i45"))</f>
        <v xml:space="preserve"> </v>
      </c>
      <c r="K73" s="15" t="str">
        <f ca="1">IF(INDIRECT("'"&amp;$C$1&amp;"'!j45")= "","",INDIRECT("'"&amp;$C$1&amp;"'!j45"))</f>
        <v>Y</v>
      </c>
      <c r="L73" s="15" t="str">
        <f ca="1">IF(INDIRECT("'"&amp;$C$1&amp;"'!k45")= "","",INDIRECT("'"&amp;$C$1&amp;"'!k45"))</f>
        <v xml:space="preserve"> </v>
      </c>
      <c r="M73" s="15" t="str">
        <f ca="1">IF(INDIRECT("'"&amp;$C$1&amp;"'!L45")= "","",INDIRECT("'"&amp;$C$1&amp;"'!L45"))</f>
        <v/>
      </c>
      <c r="N73" s="15" t="str">
        <f ca="1">IF(INDIRECT("'"&amp;$C$1&amp;"'!M45")= "","",INDIRECT("'"&amp;$C$1&amp;"'!M45"))</f>
        <v/>
      </c>
      <c r="P73" s="15" t="str">
        <f ca="1">IF(INDIRECT("'"&amp;$C$1&amp;"'!o45")= "","",INDIRECT("'"&amp;$C$1&amp;"'!o45"))</f>
        <v xml:space="preserve"> </v>
      </c>
      <c r="Q73" s="15" t="str">
        <f ca="1">IF(INDIRECT("'"&amp;$C$1&amp;"'!p45")= "","",INDIRECT("'"&amp;$C$1&amp;"'!p45"))</f>
        <v xml:space="preserve"> </v>
      </c>
      <c r="R73" s="15" t="str">
        <f ca="1">IF(INDIRECT("'"&amp;$C$1&amp;"'!q45")= "","",INDIRECT("'"&amp;$C$1&amp;"'!q45"))</f>
        <v>Y</v>
      </c>
      <c r="S73" s="15" t="str">
        <f ca="1">IF(INDIRECT("'"&amp;$C$1&amp;"'!r45")= "","",INDIRECT("'"&amp;$C$1&amp;"'!r45"))</f>
        <v xml:space="preserve"> </v>
      </c>
      <c r="T73" s="15" t="str">
        <f ca="1">IF(INDIRECT("'"&amp;$C$1&amp;"'!s45")= "","",INDIRECT("'"&amp;$C$1&amp;"'!s45"))</f>
        <v xml:space="preserve"> </v>
      </c>
      <c r="U73" s="15" t="str">
        <f ca="1">IF(INDIRECT("'"&amp;$C$1&amp;"'!t45")= "","",INDIRECT("'"&amp;$C$1&amp;"'!t45"))</f>
        <v>Y</v>
      </c>
      <c r="V73" s="15" t="str">
        <f ca="1">IF(INDIRECT("'"&amp;$C$1&amp;"'!u45")= "","",INDIRECT("'"&amp;$C$1&amp;"'!u45"))</f>
        <v xml:space="preserve"> </v>
      </c>
      <c r="W73" s="15" t="str">
        <f ca="1">IF(INDIRECT("'"&amp;$C$1&amp;"'!v45")= "","",INDIRECT("'"&amp;$C$1&amp;"'!v45"))</f>
        <v xml:space="preserve"> </v>
      </c>
      <c r="X73" s="15" t="str">
        <f ca="1">IF(INDIRECT("'"&amp;$C$1&amp;"'!w45")= "","",INDIRECT("'"&amp;$C$1&amp;"'!w45"))</f>
        <v>Y</v>
      </c>
      <c r="Y73" s="15" t="str">
        <f ca="1">IF(INDIRECT("'"&amp;$C$1&amp;"'!x45")= "","",INDIRECT("'"&amp;$C$1&amp;"'!x45"))</f>
        <v xml:space="preserve"> </v>
      </c>
      <c r="Z73" s="15" t="str">
        <f ca="1">IF(INDIRECT("'"&amp;$C$1&amp;"'!y45")= "","",INDIRECT("'"&amp;$C$1&amp;"'!y45"))</f>
        <v xml:space="preserve"> </v>
      </c>
      <c r="AA73" s="15" t="str">
        <f ca="1">IF(INDIRECT("'"&amp;$C$1&amp;"'!z45")= "","",INDIRECT("'"&amp;$C$1&amp;"'!z45"))</f>
        <v>Y</v>
      </c>
      <c r="AB73" s="15" t="str">
        <f>IF(PAC!AA45= "","",PAC!AA45)</f>
        <v/>
      </c>
      <c r="AC73" s="151"/>
      <c r="AD73" s="151"/>
      <c r="AE73" s="151"/>
      <c r="AF73" s="151"/>
      <c r="AG73" s="151"/>
      <c r="AH73" s="151"/>
      <c r="AI73" s="151"/>
      <c r="AJ73" s="151"/>
      <c r="AK73" s="151"/>
      <c r="AL73" s="151"/>
      <c r="AM73" s="151"/>
      <c r="AN73" s="151"/>
      <c r="AO73" s="139" t="s">
        <v>110</v>
      </c>
    </row>
    <row r="74" spans="2:41" hidden="1">
      <c r="C74" s="125" t="str">
        <f ca="1">CONCATENATE(IF(INDIRECT("'"&amp;$C$1&amp;"'!B46")= "","",INDIRECT("'"&amp;$C$1&amp;"'!B46"))," ",IF(INDIRECT("'"&amp;$C$1&amp;"'!C46")= "","",INDIRECT("'"&amp;$C$1&amp;"'!C46")))</f>
        <v>is malefic</v>
      </c>
      <c r="D74" s="15"/>
      <c r="E74" s="15" t="str">
        <f ca="1">IF(INDIRECT("'"&amp;$C$1&amp;"'!D46")= "","",INDIRECT("'"&amp;$C$1&amp;"'!D46"))</f>
        <v/>
      </c>
      <c r="F74" s="15" t="str">
        <f ca="1">IF(INDIRECT("'"&amp;$C$1&amp;"'!e46")= "","",INDIRECT("'"&amp;$C$1&amp;"'!e46"))</f>
        <v>Y</v>
      </c>
      <c r="G74" s="15" t="str">
        <f ca="1">IF(INDIRECT("'"&amp;$C$1&amp;"'!f46")= "","",INDIRECT("'"&amp;$C$1&amp;"'!f46"))</f>
        <v/>
      </c>
      <c r="H74" s="15" t="str">
        <f ca="1">IF(INDIRECT("'"&amp;$C$1&amp;"'!g46")= "","",INDIRECT("'"&amp;$C$1&amp;"'!g46"))</f>
        <v/>
      </c>
      <c r="I74" s="15" t="str">
        <f ca="1">IF(INDIRECT("'"&amp;$C$1&amp;"'!h46")= "","",INDIRECT("'"&amp;$C$1&amp;"'!h46"))</f>
        <v/>
      </c>
      <c r="J74" s="15" t="str">
        <f ca="1">IF(INDIRECT("'"&amp;$C$1&amp;"'!i46")= "","",INDIRECT("'"&amp;$C$1&amp;"'!i46"))</f>
        <v>Y</v>
      </c>
      <c r="K74" s="15" t="str">
        <f ca="1">IF(INDIRECT("'"&amp;$C$1&amp;"'!j46")= "","",INDIRECT("'"&amp;$C$1&amp;"'!j46"))</f>
        <v/>
      </c>
      <c r="L74" s="15" t="str">
        <f ca="1">IF(INDIRECT("'"&amp;$C$1&amp;"'!k46")= "","",INDIRECT("'"&amp;$C$1&amp;"'!k46"))</f>
        <v>Y</v>
      </c>
      <c r="M74" s="15" t="str">
        <f ca="1">IF(INDIRECT("'"&amp;$C$1&amp;"'!L46")= "","",INDIRECT("'"&amp;$C$1&amp;"'!L46"))</f>
        <v>Y</v>
      </c>
      <c r="N74" s="15" t="str">
        <f ca="1">IF(INDIRECT("'"&amp;$C$1&amp;"'!M46")= "","",INDIRECT("'"&amp;$C$1&amp;"'!M46"))</f>
        <v>Y</v>
      </c>
      <c r="P74" s="15" t="str">
        <f ca="1">IF(INDIRECT("'"&amp;$C$1&amp;"'!o46")= "","",INDIRECT("'"&amp;$C$1&amp;"'!o46"))</f>
        <v xml:space="preserve"> </v>
      </c>
      <c r="Q74" s="15" t="str">
        <f ca="1">IF(INDIRECT("'"&amp;$C$1&amp;"'!p46")= "","",INDIRECT("'"&amp;$C$1&amp;"'!p46"))</f>
        <v>Y</v>
      </c>
      <c r="R74" s="15" t="str">
        <f ca="1">IF(INDIRECT("'"&amp;$C$1&amp;"'!q46")= "","",INDIRECT("'"&amp;$C$1&amp;"'!q46"))</f>
        <v xml:space="preserve"> </v>
      </c>
      <c r="S74" s="15" t="str">
        <f ca="1">IF(INDIRECT("'"&amp;$C$1&amp;"'!r46")= "","",INDIRECT("'"&amp;$C$1&amp;"'!r46"))</f>
        <v>Y</v>
      </c>
      <c r="T74" s="15" t="str">
        <f ca="1">IF(INDIRECT("'"&amp;$C$1&amp;"'!s46")= "","",INDIRECT("'"&amp;$C$1&amp;"'!s46"))</f>
        <v>Y</v>
      </c>
      <c r="U74" s="15" t="str">
        <f ca="1">IF(INDIRECT("'"&amp;$C$1&amp;"'!t46")= "","",INDIRECT("'"&amp;$C$1&amp;"'!t46"))</f>
        <v xml:space="preserve"> </v>
      </c>
      <c r="V74" s="15" t="str">
        <f ca="1">IF(INDIRECT("'"&amp;$C$1&amp;"'!u46")= "","",INDIRECT("'"&amp;$C$1&amp;"'!u46"))</f>
        <v>Y</v>
      </c>
      <c r="W74" s="15" t="str">
        <f ca="1">IF(INDIRECT("'"&amp;$C$1&amp;"'!v46")= "","",INDIRECT("'"&amp;$C$1&amp;"'!v46"))</f>
        <v xml:space="preserve"> </v>
      </c>
      <c r="X74" s="15" t="str">
        <f ca="1">IF(INDIRECT("'"&amp;$C$1&amp;"'!w46")= "","",INDIRECT("'"&amp;$C$1&amp;"'!w46"))</f>
        <v xml:space="preserve"> </v>
      </c>
      <c r="Y74" s="15" t="str">
        <f ca="1">IF(INDIRECT("'"&amp;$C$1&amp;"'!x46")= "","",INDIRECT("'"&amp;$C$1&amp;"'!x46"))</f>
        <v xml:space="preserve"> </v>
      </c>
      <c r="Z74" s="15" t="str">
        <f ca="1">IF(INDIRECT("'"&amp;$C$1&amp;"'!y46")= "","",INDIRECT("'"&amp;$C$1&amp;"'!y46"))</f>
        <v>Y</v>
      </c>
      <c r="AA74" s="15" t="str">
        <f ca="1">IF(INDIRECT("'"&amp;$C$1&amp;"'!z46")= "","",INDIRECT("'"&amp;$C$1&amp;"'!z46"))</f>
        <v xml:space="preserve"> </v>
      </c>
      <c r="AB74" s="15" t="str">
        <f>IF(PAC!AA46= "","",PAC!AA46)</f>
        <v/>
      </c>
      <c r="AC74" s="151"/>
      <c r="AD74" s="151"/>
      <c r="AE74" s="151"/>
      <c r="AF74" s="151"/>
      <c r="AG74" s="151"/>
      <c r="AH74" s="151"/>
      <c r="AI74" s="151"/>
      <c r="AJ74" s="151"/>
      <c r="AK74" s="151"/>
      <c r="AL74" s="151"/>
      <c r="AM74" s="151"/>
      <c r="AN74" s="151"/>
      <c r="AO74" s="139" t="s">
        <v>112</v>
      </c>
    </row>
    <row r="75" spans="2:41" ht="13.8" hidden="1" thickBot="1">
      <c r="B75" s="124"/>
      <c r="C75" s="125" t="str">
        <f ca="1">CONCATENATE(IF(INDIRECT("'"&amp;$C$1&amp;"'!B47")= "","",INDIRECT("'"&amp;$C$1&amp;"'!B47"))," ",IF(INDIRECT("'"&amp;$C$1&amp;"'!C47")= "","",INDIRECT("'"&amp;$C$1&amp;"'!C47")))</f>
        <v>is benefic</v>
      </c>
      <c r="D75" s="15"/>
      <c r="E75" s="15" t="str">
        <f ca="1">IF(INDIRECT("'"&amp;$C$1&amp;"'!D47")= "","",INDIRECT("'"&amp;$C$1&amp;"'!D47"))</f>
        <v/>
      </c>
      <c r="F75" s="15" t="str">
        <f ca="1">IF(INDIRECT("'"&amp;$C$1&amp;"'!e47")= "","",INDIRECT("'"&amp;$C$1&amp;"'!e47"))</f>
        <v/>
      </c>
      <c r="G75" s="15" t="str">
        <f ca="1">IF(INDIRECT("'"&amp;$C$1&amp;"'!f47")= "","",INDIRECT("'"&amp;$C$1&amp;"'!f47"))</f>
        <v/>
      </c>
      <c r="H75" s="15" t="str">
        <f ca="1">IF(INDIRECT("'"&amp;$C$1&amp;"'!g47")= "","",INDIRECT("'"&amp;$C$1&amp;"'!g47"))</f>
        <v/>
      </c>
      <c r="I75" s="15" t="str">
        <f ca="1">IF(INDIRECT("'"&amp;$C$1&amp;"'!h47")= "","",INDIRECT("'"&amp;$C$1&amp;"'!h47"))</f>
        <v/>
      </c>
      <c r="J75" s="15" t="str">
        <f ca="1">IF(INDIRECT("'"&amp;$C$1&amp;"'!i47")= "","",INDIRECT("'"&amp;$C$1&amp;"'!i47"))</f>
        <v/>
      </c>
      <c r="K75" s="15" t="str">
        <f ca="1">IF(INDIRECT("'"&amp;$C$1&amp;"'!j47")= "","",INDIRECT("'"&amp;$C$1&amp;"'!j47"))</f>
        <v/>
      </c>
      <c r="L75" s="15" t="str">
        <f ca="1">IF(INDIRECT("'"&amp;$C$1&amp;"'!k47")= "","",INDIRECT("'"&amp;$C$1&amp;"'!k47"))</f>
        <v/>
      </c>
      <c r="M75" s="15" t="str">
        <f ca="1">IF(INDIRECT("'"&amp;$C$1&amp;"'!L47")= "","",INDIRECT("'"&amp;$C$1&amp;"'!L47"))</f>
        <v/>
      </c>
      <c r="N75" s="15" t="str">
        <f ca="1">IF(INDIRECT("'"&amp;$C$1&amp;"'!M47")= "","",INDIRECT("'"&amp;$C$1&amp;"'!M47"))</f>
        <v/>
      </c>
      <c r="P75" s="15" t="str">
        <f ca="1">IF(INDIRECT("'"&amp;$C$1&amp;"'!o47")= "","",INDIRECT("'"&amp;$C$1&amp;"'!o47"))</f>
        <v/>
      </c>
      <c r="Q75" s="15" t="str">
        <f ca="1">IF(INDIRECT("'"&amp;$C$1&amp;"'!p47")= "","",INDIRECT("'"&amp;$C$1&amp;"'!p47"))</f>
        <v xml:space="preserve"> </v>
      </c>
      <c r="R75" s="15" t="str">
        <f ca="1">IF(INDIRECT("'"&amp;$C$1&amp;"'!q47")= "","",INDIRECT("'"&amp;$C$1&amp;"'!q47"))</f>
        <v/>
      </c>
      <c r="S75" s="15" t="str">
        <f ca="1">IF(INDIRECT("'"&amp;$C$1&amp;"'!r47")= "","",INDIRECT("'"&amp;$C$1&amp;"'!r47"))</f>
        <v xml:space="preserve"> </v>
      </c>
      <c r="T75" s="15" t="str">
        <f ca="1">IF(INDIRECT("'"&amp;$C$1&amp;"'!s47")= "","",INDIRECT("'"&amp;$C$1&amp;"'!s47"))</f>
        <v xml:space="preserve"> </v>
      </c>
      <c r="U75" s="15" t="str">
        <f ca="1">IF(INDIRECT("'"&amp;$C$1&amp;"'!t47")= "","",INDIRECT("'"&amp;$C$1&amp;"'!t47"))</f>
        <v/>
      </c>
      <c r="V75" s="15" t="str">
        <f ca="1">IF(INDIRECT("'"&amp;$C$1&amp;"'!u47")= "","",INDIRECT("'"&amp;$C$1&amp;"'!u47"))</f>
        <v xml:space="preserve"> </v>
      </c>
      <c r="W75" s="15" t="str">
        <f ca="1">IF(INDIRECT("'"&amp;$C$1&amp;"'!v47")= "","",INDIRECT("'"&amp;$C$1&amp;"'!v47"))</f>
        <v/>
      </c>
      <c r="X75" s="15" t="str">
        <f ca="1">IF(INDIRECT("'"&amp;$C$1&amp;"'!w47")= "","",INDIRECT("'"&amp;$C$1&amp;"'!w47"))</f>
        <v/>
      </c>
      <c r="Y75" s="15" t="str">
        <f ca="1">IF(INDIRECT("'"&amp;$C$1&amp;"'!x47")= "","",INDIRECT("'"&amp;$C$1&amp;"'!x47"))</f>
        <v/>
      </c>
      <c r="Z75" s="15" t="str">
        <f ca="1">IF(INDIRECT("'"&amp;$C$1&amp;"'!y47")= "","",INDIRECT("'"&amp;$C$1&amp;"'!y47"))</f>
        <v xml:space="preserve"> </v>
      </c>
      <c r="AA75" s="15" t="str">
        <f ca="1">IF(INDIRECT("'"&amp;$C$1&amp;"'!z47")= "","",INDIRECT("'"&amp;$C$1&amp;"'!z47"))</f>
        <v/>
      </c>
      <c r="AB75" s="53" t="str">
        <f>IF(PAC!AA47= "","",PAC!AA47)</f>
        <v/>
      </c>
      <c r="AC75" s="14"/>
      <c r="AD75" s="14"/>
      <c r="AE75" s="14"/>
      <c r="AF75" s="14"/>
      <c r="AG75" s="14"/>
      <c r="AH75" s="14"/>
      <c r="AI75" s="14"/>
      <c r="AJ75" s="14"/>
      <c r="AK75" s="14"/>
      <c r="AL75" s="14"/>
      <c r="AM75" s="14"/>
      <c r="AN75" s="14"/>
      <c r="AO75" s="177" t="s">
        <v>114</v>
      </c>
    </row>
    <row r="76" spans="2:41" ht="13.8" hidden="1" thickBot="1">
      <c r="B76" s="132"/>
      <c r="C76" s="158" t="s">
        <v>117</v>
      </c>
      <c r="D76" s="144"/>
      <c r="E76" s="175"/>
      <c r="F76" s="53"/>
      <c r="G76" s="53"/>
      <c r="H76" s="53"/>
      <c r="I76" s="53"/>
      <c r="J76" s="53"/>
      <c r="K76" s="53"/>
      <c r="L76" s="53"/>
      <c r="M76" s="53"/>
      <c r="N76" s="175"/>
      <c r="O76" s="53"/>
      <c r="P76" s="175"/>
      <c r="Q76" s="53"/>
      <c r="R76" s="53"/>
      <c r="S76" s="53"/>
      <c r="T76" s="53"/>
      <c r="U76" s="53"/>
      <c r="V76" s="53"/>
      <c r="W76" s="53"/>
      <c r="X76" s="53"/>
      <c r="Y76" s="53"/>
      <c r="Z76" s="53"/>
      <c r="AA76" s="175"/>
      <c r="AB76" s="53"/>
      <c r="AC76" s="53"/>
      <c r="AD76" s="53"/>
      <c r="AE76" s="53"/>
      <c r="AF76" s="53"/>
      <c r="AG76" s="53"/>
      <c r="AH76" s="53"/>
      <c r="AI76" s="53"/>
      <c r="AJ76" s="53"/>
      <c r="AK76" s="53"/>
      <c r="AL76" s="53"/>
      <c r="AM76" s="53"/>
      <c r="AN76" s="176"/>
      <c r="AO76" s="139" t="s">
        <v>116</v>
      </c>
    </row>
    <row r="77" spans="2:41" hidden="1">
      <c r="C77" s="125" t="str">
        <f ca="1">CONCATENATE(IF(INDIRECT("'"&amp;$C$1&amp;"'!B49")= "","",INDIRECT("'"&amp;$C$1&amp;"'!B49"))," ",IF(INDIRECT("'"&amp;$C$1&amp;"'!C49")= "","",INDIRECT("'"&amp;$C$1&amp;"'!C49")))</f>
        <v>aspected by sun</v>
      </c>
      <c r="D77" s="15"/>
      <c r="E77" s="15" t="str">
        <f ca="1">IF(INDIRECT("'"&amp;$C$1&amp;"'!D49")= "","",INDIRECT("'"&amp;$C$1&amp;"'!D49"))</f>
        <v/>
      </c>
      <c r="F77" s="15" t="str">
        <f ca="1">IF(INDIRECT("'"&amp;$C$1&amp;"'!E49")= "","",INDIRECT("'"&amp;$C$1&amp;"'!E49"))</f>
        <v/>
      </c>
      <c r="G77" s="15" t="str">
        <f ca="1">IF(INDIRECT("'"&amp;$C$1&amp;"'!F49")= "","",INDIRECT("'"&amp;$C$1&amp;"'!F49"))</f>
        <v/>
      </c>
      <c r="H77" s="15" t="str">
        <f ca="1">IF(INDIRECT("'"&amp;$C$1&amp;"'!G49")= "","",INDIRECT("'"&amp;$C$1&amp;"'!G49"))</f>
        <v/>
      </c>
      <c r="I77" s="15" t="str">
        <f ca="1">IF(INDIRECT("'"&amp;$C$1&amp;"'!H49")= "","",INDIRECT("'"&amp;$C$1&amp;"'!H49"))</f>
        <v/>
      </c>
      <c r="J77" s="15" t="str">
        <f ca="1">IF(INDIRECT("'"&amp;$C$1&amp;"'!I49")= "","",INDIRECT("'"&amp;$C$1&amp;"'!I49"))</f>
        <v/>
      </c>
      <c r="K77" s="15" t="str">
        <f ca="1">IF(INDIRECT("'"&amp;$C$1&amp;"'!J49")= "","",INDIRECT("'"&amp;$C$1&amp;"'!J49"))</f>
        <v/>
      </c>
      <c r="L77" s="15" t="str">
        <f ca="1">IF(INDIRECT("'"&amp;$C$1&amp;"'!K49")= "","",INDIRECT("'"&amp;$C$1&amp;"'!K49"))</f>
        <v/>
      </c>
      <c r="M77" s="15" t="str">
        <f ca="1">IF(INDIRECT("'"&amp;$C$1&amp;"'!L49")= "","",INDIRECT("'"&amp;$C$1&amp;"'!L49"))</f>
        <v>Y</v>
      </c>
      <c r="N77" s="15" t="str">
        <f ca="1">IF(INDIRECT("'"&amp;$C$1&amp;"'!M49")= "","",INDIRECT("'"&amp;$C$1&amp;"'!M49"))</f>
        <v/>
      </c>
      <c r="O77" s="15" t="str">
        <f ca="1">IF(INDIRECT("'"&amp;$C$1&amp;"'!E49")= "","",INDIRECT("'"&amp;$C$1&amp;"'!E49"))</f>
        <v/>
      </c>
      <c r="P77" s="15" t="str">
        <f ca="1">IF(INDIRECT("'"&amp;$C$1&amp;"'!O49")= "","",INDIRECT("'"&amp;$C$1&amp;"'!O49"))</f>
        <v/>
      </c>
      <c r="Q77" s="15" t="str">
        <f ca="1">IF(INDIRECT("'"&amp;$C$1&amp;"'!P49")= "","",INDIRECT("'"&amp;$C$1&amp;"'!P49"))</f>
        <v/>
      </c>
      <c r="R77" s="15" t="str">
        <f ca="1">IF(INDIRECT("'"&amp;$C$1&amp;"'!Q49")= "","",INDIRECT("'"&amp;$C$1&amp;"'!Q49"))</f>
        <v/>
      </c>
      <c r="S77" s="15" t="str">
        <f ca="1">IF(INDIRECT("'"&amp;$C$1&amp;"'!R49")= "","",INDIRECT("'"&amp;$C$1&amp;"'!R49"))</f>
        <v/>
      </c>
      <c r="T77" s="15" t="str">
        <f ca="1">IF(INDIRECT("'"&amp;$C$1&amp;"'!S49")= "","",INDIRECT("'"&amp;$C$1&amp;"'!S49"))</f>
        <v/>
      </c>
      <c r="U77" s="15" t="str">
        <f ca="1">IF(INDIRECT("'"&amp;$C$1&amp;"'!T49")= "","",INDIRECT("'"&amp;$C$1&amp;"'!T49"))</f>
        <v/>
      </c>
      <c r="V77" s="15" t="str">
        <f ca="1">IF(INDIRECT("'"&amp;$C$1&amp;"'!U49")= "","",INDIRECT("'"&amp;$C$1&amp;"'!U49"))</f>
        <v/>
      </c>
      <c r="W77" s="15" t="str">
        <f ca="1">IF(INDIRECT("'"&amp;$C$1&amp;"'!V49")= "","",INDIRECT("'"&amp;$C$1&amp;"'!V49"))</f>
        <v/>
      </c>
      <c r="X77" s="15" t="str">
        <f ca="1">IF(INDIRECT("'"&amp;$C$1&amp;"'!W49")= "","",INDIRECT("'"&amp;$C$1&amp;"'!W49"))</f>
        <v/>
      </c>
      <c r="Y77" s="15" t="str">
        <f ca="1">IF(INDIRECT("'"&amp;$C$1&amp;"'!X49")= "","",INDIRECT("'"&amp;$C$1&amp;"'!X49"))</f>
        <v/>
      </c>
      <c r="Z77" s="15" t="str">
        <f ca="1">IF(INDIRECT("'"&amp;$C$1&amp;"'!Y49")= "","",INDIRECT("'"&amp;$C$1&amp;"'!Y49"))</f>
        <v xml:space="preserve"> </v>
      </c>
      <c r="AA77" s="15" t="str">
        <f ca="1">IF(INDIRECT("'"&amp;$C$1&amp;"'!Z49")= "","",INDIRECT("'"&amp;$C$1&amp;"'!Z49"))</f>
        <v/>
      </c>
      <c r="AB77" s="15" t="str">
        <f ca="1">IF(INDIRECT("'"&amp;$C$1&amp;"'!E49")= "","",INDIRECT("'"&amp;$C$1&amp;"'!E49"))</f>
        <v/>
      </c>
      <c r="AC77" s="15" t="str">
        <f ca="1">IF(INDIRECT("'"&amp;$C$1&amp;"'!AB49")= "","",INDIRECT("'"&amp;$C$1&amp;"'!AB49"))</f>
        <v/>
      </c>
      <c r="AD77" s="15" t="str">
        <f ca="1">IF(INDIRECT("'"&amp;$C$1&amp;"'!AC49")= "","",INDIRECT("'"&amp;$C$1&amp;"'!AC49"))</f>
        <v/>
      </c>
      <c r="AE77" s="15" t="str">
        <f ca="1">IF(INDIRECT("'"&amp;$C$1&amp;"'!AD49")= "","",INDIRECT("'"&amp;$C$1&amp;"'!AD49"))</f>
        <v/>
      </c>
      <c r="AF77" s="15" t="str">
        <f ca="1">IF(INDIRECT("'"&amp;$C$1&amp;"'!AE49")= "","",INDIRECT("'"&amp;$C$1&amp;"'!AE49"))</f>
        <v/>
      </c>
      <c r="AG77" s="15" t="str">
        <f ca="1">IF(INDIRECT("'"&amp;$C$1&amp;"'!AF49")= "","",INDIRECT("'"&amp;$C$1&amp;"'!AF49"))</f>
        <v/>
      </c>
      <c r="AH77" s="15" t="str">
        <f ca="1">IF(INDIRECT("'"&amp;$C$1&amp;"'!AG49")= "","",INDIRECT("'"&amp;$C$1&amp;"'!AG49"))</f>
        <v>Y</v>
      </c>
      <c r="AI77" s="15" t="str">
        <f ca="1">IF(INDIRECT("'"&amp;$C$1&amp;"'!AH49")= "","",INDIRECT("'"&amp;$C$1&amp;"'!AH49"))</f>
        <v/>
      </c>
      <c r="AJ77" s="15" t="str">
        <f ca="1">IF(INDIRECT("'"&amp;$C$1&amp;"'!AI49")= "","",INDIRECT("'"&amp;$C$1&amp;"'!AI49"))</f>
        <v/>
      </c>
      <c r="AK77" s="15" t="str">
        <f ca="1">IF(INDIRECT("'"&amp;$C$1&amp;"'!AJ49")= "","",INDIRECT("'"&amp;$C$1&amp;"'!AJ49"))</f>
        <v/>
      </c>
      <c r="AL77" s="15" t="str">
        <f ca="1">IF(INDIRECT("'"&amp;$C$1&amp;"'!AK49")= "","",INDIRECT("'"&amp;$C$1&amp;"'!AK49"))</f>
        <v/>
      </c>
      <c r="AM77" s="15" t="str">
        <f ca="1">IF(INDIRECT("'"&amp;$C$1&amp;"'!AL49")= "","",INDIRECT("'"&amp;$C$1&amp;"'!AL49"))</f>
        <v/>
      </c>
      <c r="AN77" s="15" t="str">
        <f ca="1">IF(INDIRECT("'"&amp;$C$1&amp;"'!AM49")= "","",INDIRECT("'"&amp;$C$1&amp;"'!AM49"))</f>
        <v/>
      </c>
      <c r="AO77" s="173" t="s">
        <v>304</v>
      </c>
    </row>
    <row r="78" spans="2:41" hidden="1">
      <c r="C78" s="125" t="str">
        <f ca="1">CONCATENATE(IF(INDIRECT("'"&amp;$C$1&amp;"'!B50")= "","",INDIRECT("'"&amp;$C$1&amp;"'!B50"))," ",IF(INDIRECT("'"&amp;$C$1&amp;"'!C50")= "","",INDIRECT("'"&amp;$C$1&amp;"'!C50")))</f>
        <v>aspected by moon</v>
      </c>
      <c r="D78" s="15"/>
      <c r="E78" s="15" t="str">
        <f ca="1">IF(INDIRECT("'"&amp;$C$1&amp;"'!D50")= "","",INDIRECT("'"&amp;$C$1&amp;"'!D50"))</f>
        <v/>
      </c>
      <c r="F78" s="15" t="str">
        <f ca="1">IF(INDIRECT("'"&amp;$C$1&amp;"'!E50")= "","",INDIRECT("'"&amp;$C$1&amp;"'!E50"))</f>
        <v/>
      </c>
      <c r="G78" s="15" t="str">
        <f ca="1">IF(INDIRECT("'"&amp;$C$1&amp;"'!F50")= "","",INDIRECT("'"&amp;$C$1&amp;"'!F50"))</f>
        <v/>
      </c>
      <c r="H78" s="15" t="str">
        <f ca="1">IF(INDIRECT("'"&amp;$C$1&amp;"'!G50")= "","",INDIRECT("'"&amp;$C$1&amp;"'!G50"))</f>
        <v/>
      </c>
      <c r="I78" s="15" t="str">
        <f ca="1">IF(INDIRECT("'"&amp;$C$1&amp;"'!H50")= "","",INDIRECT("'"&amp;$C$1&amp;"'!H50"))</f>
        <v/>
      </c>
      <c r="J78" s="15" t="str">
        <f ca="1">IF(INDIRECT("'"&amp;$C$1&amp;"'!I50")= "","",INDIRECT("'"&amp;$C$1&amp;"'!I50"))</f>
        <v/>
      </c>
      <c r="K78" s="15" t="str">
        <f ca="1">IF(INDIRECT("'"&amp;$C$1&amp;"'!J50")= "","",INDIRECT("'"&amp;$C$1&amp;"'!J50"))</f>
        <v/>
      </c>
      <c r="L78" s="15" t="str">
        <f ca="1">IF(INDIRECT("'"&amp;$C$1&amp;"'!K50")= "","",INDIRECT("'"&amp;$C$1&amp;"'!K50"))</f>
        <v/>
      </c>
      <c r="M78" s="15" t="str">
        <f ca="1">IF(INDIRECT("'"&amp;$C$1&amp;"'!L50")= "","",INDIRECT("'"&amp;$C$1&amp;"'!L50"))</f>
        <v/>
      </c>
      <c r="N78" s="15" t="str">
        <f ca="1">IF(INDIRECT("'"&amp;$C$1&amp;"'!M50")= "","",INDIRECT("'"&amp;$C$1&amp;"'!M50"))</f>
        <v/>
      </c>
      <c r="O78" s="15" t="str">
        <f ca="1">IF(INDIRECT("'"&amp;$C$1&amp;"'!E50")= "","",INDIRECT("'"&amp;$C$1&amp;"'!E50"))</f>
        <v/>
      </c>
      <c r="P78" s="15" t="str">
        <f ca="1">IF(INDIRECT("'"&amp;$C$1&amp;"'!O50")= "","",INDIRECT("'"&amp;$C$1&amp;"'!O50"))</f>
        <v/>
      </c>
      <c r="Q78" s="15" t="str">
        <f ca="1">IF(INDIRECT("'"&amp;$C$1&amp;"'!P50")= "","",INDIRECT("'"&amp;$C$1&amp;"'!P50"))</f>
        <v/>
      </c>
      <c r="R78" s="15" t="str">
        <f ca="1">IF(INDIRECT("'"&amp;$C$1&amp;"'!Q50")= "","",INDIRECT("'"&amp;$C$1&amp;"'!Q50"))</f>
        <v/>
      </c>
      <c r="S78" s="15" t="str">
        <f ca="1">IF(INDIRECT("'"&amp;$C$1&amp;"'!R50")= "","",INDIRECT("'"&amp;$C$1&amp;"'!R50"))</f>
        <v/>
      </c>
      <c r="T78" s="15" t="str">
        <f ca="1">IF(INDIRECT("'"&amp;$C$1&amp;"'!S50")= "","",INDIRECT("'"&amp;$C$1&amp;"'!S50"))</f>
        <v/>
      </c>
      <c r="U78" s="15" t="str">
        <f ca="1">IF(INDIRECT("'"&amp;$C$1&amp;"'!T50")= "","",INDIRECT("'"&amp;$C$1&amp;"'!T50"))</f>
        <v/>
      </c>
      <c r="V78" s="15" t="str">
        <f ca="1">IF(INDIRECT("'"&amp;$C$1&amp;"'!U50")= "","",INDIRECT("'"&amp;$C$1&amp;"'!U50"))</f>
        <v/>
      </c>
      <c r="W78" s="15" t="str">
        <f ca="1">IF(INDIRECT("'"&amp;$C$1&amp;"'!V50")= "","",INDIRECT("'"&amp;$C$1&amp;"'!V50"))</f>
        <v/>
      </c>
      <c r="X78" s="15" t="str">
        <f ca="1">IF(INDIRECT("'"&amp;$C$1&amp;"'!W50")= "","",INDIRECT("'"&amp;$C$1&amp;"'!W50"))</f>
        <v/>
      </c>
      <c r="Y78" s="15" t="str">
        <f ca="1">IF(INDIRECT("'"&amp;$C$1&amp;"'!X50")= "","",INDIRECT("'"&amp;$C$1&amp;"'!X50"))</f>
        <v xml:space="preserve"> </v>
      </c>
      <c r="Z78" s="15" t="str">
        <f ca="1">IF(INDIRECT("'"&amp;$C$1&amp;"'!Y50")= "","",INDIRECT("'"&amp;$C$1&amp;"'!Y50"))</f>
        <v/>
      </c>
      <c r="AA78" s="15" t="str">
        <f ca="1">IF(INDIRECT("'"&amp;$C$1&amp;"'!Z50")= "","",INDIRECT("'"&amp;$C$1&amp;"'!Z50"))</f>
        <v/>
      </c>
      <c r="AB78" s="15" t="str">
        <f ca="1">IF(INDIRECT("'"&amp;$C$1&amp;"'!E50")= "","",INDIRECT("'"&amp;$C$1&amp;"'!E50"))</f>
        <v/>
      </c>
      <c r="AC78" s="15" t="str">
        <f ca="1">IF(INDIRECT("'"&amp;$C$1&amp;"'!AB50")= "","",INDIRECT("'"&amp;$C$1&amp;"'!AB50"))</f>
        <v/>
      </c>
      <c r="AD78" s="15" t="str">
        <f ca="1">IF(INDIRECT("'"&amp;$C$1&amp;"'!AC50")= "","",INDIRECT("'"&amp;$C$1&amp;"'!AC50"))</f>
        <v/>
      </c>
      <c r="AE78" s="15" t="str">
        <f ca="1">IF(INDIRECT("'"&amp;$C$1&amp;"'!AD50")= "","",INDIRECT("'"&amp;$C$1&amp;"'!AD50"))</f>
        <v/>
      </c>
      <c r="AF78" s="15" t="str">
        <f ca="1">IF(INDIRECT("'"&amp;$C$1&amp;"'!AE50")= "","",INDIRECT("'"&amp;$C$1&amp;"'!AE50"))</f>
        <v/>
      </c>
      <c r="AG78" s="15" t="str">
        <f ca="1">IF(INDIRECT("'"&amp;$C$1&amp;"'!AF50")= "","",INDIRECT("'"&amp;$C$1&amp;"'!AF50"))</f>
        <v/>
      </c>
      <c r="AH78" s="15" t="str">
        <f ca="1">IF(INDIRECT("'"&amp;$C$1&amp;"'!AG50")= "","",INDIRECT("'"&amp;$C$1&amp;"'!AG50"))</f>
        <v/>
      </c>
      <c r="AI78" s="15" t="str">
        <f ca="1">IF(INDIRECT("'"&amp;$C$1&amp;"'!AH50")= "","",INDIRECT("'"&amp;$C$1&amp;"'!AH50"))</f>
        <v/>
      </c>
      <c r="AJ78" s="15" t="str">
        <f ca="1">IF(INDIRECT("'"&amp;$C$1&amp;"'!AI50")= "","",INDIRECT("'"&amp;$C$1&amp;"'!AI50"))</f>
        <v>Y</v>
      </c>
      <c r="AK78" s="15" t="str">
        <f ca="1">IF(INDIRECT("'"&amp;$C$1&amp;"'!AJ50")= "","",INDIRECT("'"&amp;$C$1&amp;"'!AJ50"))</f>
        <v/>
      </c>
      <c r="AL78" s="15" t="str">
        <f ca="1">IF(INDIRECT("'"&amp;$C$1&amp;"'!AK50")= "","",INDIRECT("'"&amp;$C$1&amp;"'!AK50"))</f>
        <v/>
      </c>
      <c r="AM78" s="15" t="str">
        <f ca="1">IF(INDIRECT("'"&amp;$C$1&amp;"'!AL50")= "","",INDIRECT("'"&amp;$C$1&amp;"'!AL50"))</f>
        <v/>
      </c>
      <c r="AN78" s="15" t="str">
        <f ca="1">IF(INDIRECT("'"&amp;$C$1&amp;"'!AM50")= "","",INDIRECT("'"&amp;$C$1&amp;"'!AM50"))</f>
        <v/>
      </c>
      <c r="AO78" s="173" t="s">
        <v>305</v>
      </c>
    </row>
    <row r="79" spans="2:41" hidden="1">
      <c r="C79" s="125" t="str">
        <f ca="1">CONCATENATE(IF(INDIRECT("'"&amp;$C$1&amp;"'!B51")= "","",INDIRECT("'"&amp;$C$1&amp;"'!B51"))," ",IF(INDIRECT("'"&amp;$C$1&amp;"'!C51")= "","",INDIRECT("'"&amp;$C$1&amp;"'!C51")))</f>
        <v>aspected by mercury</v>
      </c>
      <c r="D79" s="15"/>
      <c r="E79" s="15" t="str">
        <f ca="1">IF(INDIRECT("'"&amp;$C$1&amp;"'!D51")= "","",INDIRECT("'"&amp;$C$1&amp;"'!D51"))</f>
        <v/>
      </c>
      <c r="F79" s="15" t="str">
        <f ca="1">IF(INDIRECT("'"&amp;$C$1&amp;"'!E51")= "","",INDIRECT("'"&amp;$C$1&amp;"'!E51"))</f>
        <v/>
      </c>
      <c r="G79" s="15" t="str">
        <f ca="1">IF(INDIRECT("'"&amp;$C$1&amp;"'!F51")= "","",INDIRECT("'"&amp;$C$1&amp;"'!F51"))</f>
        <v/>
      </c>
      <c r="H79" s="15" t="str">
        <f ca="1">IF(INDIRECT("'"&amp;$C$1&amp;"'!G51")= "","",INDIRECT("'"&amp;$C$1&amp;"'!G51"))</f>
        <v/>
      </c>
      <c r="I79" s="15" t="str">
        <f ca="1">IF(INDIRECT("'"&amp;$C$1&amp;"'!H51")= "","",INDIRECT("'"&amp;$C$1&amp;"'!H51"))</f>
        <v/>
      </c>
      <c r="J79" s="15" t="str">
        <f ca="1">IF(INDIRECT("'"&amp;$C$1&amp;"'!I51")= "","",INDIRECT("'"&amp;$C$1&amp;"'!I51"))</f>
        <v/>
      </c>
      <c r="K79" s="15" t="str">
        <f ca="1">IF(INDIRECT("'"&amp;$C$1&amp;"'!J51")= "","",INDIRECT("'"&amp;$C$1&amp;"'!J51"))</f>
        <v/>
      </c>
      <c r="L79" s="15" t="str">
        <f ca="1">IF(INDIRECT("'"&amp;$C$1&amp;"'!K51")= "","",INDIRECT("'"&amp;$C$1&amp;"'!K51"))</f>
        <v/>
      </c>
      <c r="M79" s="15" t="str">
        <f ca="1">IF(INDIRECT("'"&amp;$C$1&amp;"'!L51")= "","",INDIRECT("'"&amp;$C$1&amp;"'!L51"))</f>
        <v>Y</v>
      </c>
      <c r="N79" s="15" t="str">
        <f ca="1">IF(INDIRECT("'"&amp;$C$1&amp;"'!M51")= "","",INDIRECT("'"&amp;$C$1&amp;"'!M51"))</f>
        <v/>
      </c>
      <c r="O79" s="15" t="str">
        <f ca="1">IF(INDIRECT("'"&amp;$C$1&amp;"'!E51")= "","",INDIRECT("'"&amp;$C$1&amp;"'!E51"))</f>
        <v/>
      </c>
      <c r="P79" s="15" t="str">
        <f ca="1">IF(INDIRECT("'"&amp;$C$1&amp;"'!O51")= "","",INDIRECT("'"&amp;$C$1&amp;"'!O51"))</f>
        <v/>
      </c>
      <c r="Q79" s="15" t="str">
        <f ca="1">IF(INDIRECT("'"&amp;$C$1&amp;"'!P51")= "","",INDIRECT("'"&amp;$C$1&amp;"'!P51"))</f>
        <v/>
      </c>
      <c r="R79" s="15" t="str">
        <f ca="1">IF(INDIRECT("'"&amp;$C$1&amp;"'!Q51")= "","",INDIRECT("'"&amp;$C$1&amp;"'!Q51"))</f>
        <v/>
      </c>
      <c r="S79" s="15" t="str">
        <f ca="1">IF(INDIRECT("'"&amp;$C$1&amp;"'!R51")= "","",INDIRECT("'"&amp;$C$1&amp;"'!R51"))</f>
        <v/>
      </c>
      <c r="T79" s="15" t="str">
        <f ca="1">IF(INDIRECT("'"&amp;$C$1&amp;"'!S51")= "","",INDIRECT("'"&amp;$C$1&amp;"'!S51"))</f>
        <v/>
      </c>
      <c r="U79" s="15" t="str">
        <f ca="1">IF(INDIRECT("'"&amp;$C$1&amp;"'!T51")= "","",INDIRECT("'"&amp;$C$1&amp;"'!T51"))</f>
        <v/>
      </c>
      <c r="V79" s="15" t="str">
        <f ca="1">IF(INDIRECT("'"&amp;$C$1&amp;"'!U51")= "","",INDIRECT("'"&amp;$C$1&amp;"'!U51"))</f>
        <v/>
      </c>
      <c r="W79" s="15" t="str">
        <f ca="1">IF(INDIRECT("'"&amp;$C$1&amp;"'!V51")= "","",INDIRECT("'"&amp;$C$1&amp;"'!V51"))</f>
        <v/>
      </c>
      <c r="X79" s="15" t="str">
        <f ca="1">IF(INDIRECT("'"&amp;$C$1&amp;"'!W51")= "","",INDIRECT("'"&amp;$C$1&amp;"'!W51"))</f>
        <v xml:space="preserve"> </v>
      </c>
      <c r="Y79" s="15" t="str">
        <f ca="1">IF(INDIRECT("'"&amp;$C$1&amp;"'!X51")= "","",INDIRECT("'"&amp;$C$1&amp;"'!X51"))</f>
        <v/>
      </c>
      <c r="Z79" s="15" t="str">
        <f ca="1">IF(INDIRECT("'"&amp;$C$1&amp;"'!Y51")= "","",INDIRECT("'"&amp;$C$1&amp;"'!Y51"))</f>
        <v/>
      </c>
      <c r="AA79" s="15" t="str">
        <f ca="1">IF(INDIRECT("'"&amp;$C$1&amp;"'!Z51")= "","",INDIRECT("'"&amp;$C$1&amp;"'!Z51"))</f>
        <v xml:space="preserve"> </v>
      </c>
      <c r="AB79" s="15" t="str">
        <f ca="1">IF(INDIRECT("'"&amp;$C$1&amp;"'!E51")= "","",INDIRECT("'"&amp;$C$1&amp;"'!E51"))</f>
        <v/>
      </c>
      <c r="AC79" s="15" t="str">
        <f ca="1">IF(INDIRECT("'"&amp;$C$1&amp;"'!AB51")= "","",INDIRECT("'"&amp;$C$1&amp;"'!AB51"))</f>
        <v/>
      </c>
      <c r="AD79" s="15" t="str">
        <f ca="1">IF(INDIRECT("'"&amp;$C$1&amp;"'!AC51")= "","",INDIRECT("'"&amp;$C$1&amp;"'!AC51"))</f>
        <v/>
      </c>
      <c r="AE79" s="15" t="str">
        <f ca="1">IF(INDIRECT("'"&amp;$C$1&amp;"'!AD51")= "","",INDIRECT("'"&amp;$C$1&amp;"'!AD51"))</f>
        <v/>
      </c>
      <c r="AF79" s="15" t="str">
        <f ca="1">IF(INDIRECT("'"&amp;$C$1&amp;"'!AE51")= "","",INDIRECT("'"&amp;$C$1&amp;"'!AE51"))</f>
        <v/>
      </c>
      <c r="AG79" s="15" t="str">
        <f ca="1">IF(INDIRECT("'"&amp;$C$1&amp;"'!AF51")= "","",INDIRECT("'"&amp;$C$1&amp;"'!AF51"))</f>
        <v/>
      </c>
      <c r="AH79" s="15" t="str">
        <f ca="1">IF(INDIRECT("'"&amp;$C$1&amp;"'!AG51")= "","",INDIRECT("'"&amp;$C$1&amp;"'!AG51"))</f>
        <v>Y</v>
      </c>
      <c r="AI79" s="15" t="str">
        <f ca="1">IF(INDIRECT("'"&amp;$C$1&amp;"'!AH51")= "","",INDIRECT("'"&amp;$C$1&amp;"'!AH51"))</f>
        <v/>
      </c>
      <c r="AJ79" s="15" t="str">
        <f ca="1">IF(INDIRECT("'"&amp;$C$1&amp;"'!AI51")= "","",INDIRECT("'"&amp;$C$1&amp;"'!AI51"))</f>
        <v/>
      </c>
      <c r="AK79" s="15" t="str">
        <f ca="1">IF(INDIRECT("'"&amp;$C$1&amp;"'!AJ51")= "","",INDIRECT("'"&amp;$C$1&amp;"'!AJ51"))</f>
        <v/>
      </c>
      <c r="AL79" s="15" t="str">
        <f ca="1">IF(INDIRECT("'"&amp;$C$1&amp;"'!AK51")= "","",INDIRECT("'"&amp;$C$1&amp;"'!AK51"))</f>
        <v/>
      </c>
      <c r="AM79" s="15" t="str">
        <f ca="1">IF(INDIRECT("'"&amp;$C$1&amp;"'!AL51")= "","",INDIRECT("'"&amp;$C$1&amp;"'!AL51"))</f>
        <v/>
      </c>
      <c r="AN79" s="15" t="str">
        <f ca="1">IF(INDIRECT("'"&amp;$C$1&amp;"'!AM51")= "","",INDIRECT("'"&amp;$C$1&amp;"'!AM51"))</f>
        <v/>
      </c>
      <c r="AO79" s="139" t="s">
        <v>17</v>
      </c>
    </row>
    <row r="80" spans="2:41" hidden="1">
      <c r="C80" s="125" t="str">
        <f ca="1">CONCATENATE(IF(INDIRECT("'"&amp;$C$1&amp;"'!B52")= "","",INDIRECT("'"&amp;$C$1&amp;"'!B52"))," ",IF(INDIRECT("'"&amp;$C$1&amp;"'!C52")= "","",INDIRECT("'"&amp;$C$1&amp;"'!C52")))</f>
        <v>aspected by venus</v>
      </c>
      <c r="D80" s="15"/>
      <c r="E80" s="15" t="str">
        <f ca="1">IF(INDIRECT("'"&amp;$C$1&amp;"'!D52")= "","",INDIRECT("'"&amp;$C$1&amp;"'!D52"))</f>
        <v/>
      </c>
      <c r="F80" s="15" t="str">
        <f ca="1">IF(INDIRECT("'"&amp;$C$1&amp;"'!E52")= "","",INDIRECT("'"&amp;$C$1&amp;"'!E52"))</f>
        <v/>
      </c>
      <c r="G80" s="15" t="str">
        <f ca="1">IF(INDIRECT("'"&amp;$C$1&amp;"'!F52")= "","",INDIRECT("'"&amp;$C$1&amp;"'!F52"))</f>
        <v/>
      </c>
      <c r="H80" s="15" t="str">
        <f ca="1">IF(INDIRECT("'"&amp;$C$1&amp;"'!G52")= "","",INDIRECT("'"&amp;$C$1&amp;"'!G52"))</f>
        <v/>
      </c>
      <c r="I80" s="15" t="str">
        <f ca="1">IF(INDIRECT("'"&amp;$C$1&amp;"'!H52")= "","",INDIRECT("'"&amp;$C$1&amp;"'!H52"))</f>
        <v/>
      </c>
      <c r="J80" s="15" t="str">
        <f ca="1">IF(INDIRECT("'"&amp;$C$1&amp;"'!I52")= "","",INDIRECT("'"&amp;$C$1&amp;"'!I52"))</f>
        <v/>
      </c>
      <c r="K80" s="15" t="str">
        <f ca="1">IF(INDIRECT("'"&amp;$C$1&amp;"'!J52")= "","",INDIRECT("'"&amp;$C$1&amp;"'!J52"))</f>
        <v>Y</v>
      </c>
      <c r="L80" s="15" t="str">
        <f ca="1">IF(INDIRECT("'"&amp;$C$1&amp;"'!K52")= "","",INDIRECT("'"&amp;$C$1&amp;"'!K52"))</f>
        <v/>
      </c>
      <c r="M80" s="15" t="str">
        <f ca="1">IF(INDIRECT("'"&amp;$C$1&amp;"'!L52")= "","",INDIRECT("'"&amp;$C$1&amp;"'!L52"))</f>
        <v/>
      </c>
      <c r="N80" s="15" t="str">
        <f ca="1">IF(INDIRECT("'"&amp;$C$1&amp;"'!M52")= "","",INDIRECT("'"&amp;$C$1&amp;"'!M52"))</f>
        <v/>
      </c>
      <c r="O80" s="15" t="str">
        <f ca="1">IF(INDIRECT("'"&amp;$C$1&amp;"'!E52")= "","",INDIRECT("'"&amp;$C$1&amp;"'!E52"))</f>
        <v/>
      </c>
      <c r="P80" s="15" t="str">
        <f ca="1">IF(INDIRECT("'"&amp;$C$1&amp;"'!O52")= "","",INDIRECT("'"&amp;$C$1&amp;"'!O52"))</f>
        <v xml:space="preserve"> </v>
      </c>
      <c r="Q80" s="15" t="str">
        <f ca="1">IF(INDIRECT("'"&amp;$C$1&amp;"'!P52")= "","",INDIRECT("'"&amp;$C$1&amp;"'!P52"))</f>
        <v/>
      </c>
      <c r="R80" s="15" t="str">
        <f ca="1">IF(INDIRECT("'"&amp;$C$1&amp;"'!Q52")= "","",INDIRECT("'"&amp;$C$1&amp;"'!Q52"))</f>
        <v>Y</v>
      </c>
      <c r="S80" s="15" t="str">
        <f ca="1">IF(INDIRECT("'"&amp;$C$1&amp;"'!R52")= "","",INDIRECT("'"&amp;$C$1&amp;"'!R52"))</f>
        <v/>
      </c>
      <c r="T80" s="15" t="str">
        <f ca="1">IF(INDIRECT("'"&amp;$C$1&amp;"'!S52")= "","",INDIRECT("'"&amp;$C$1&amp;"'!S52"))</f>
        <v/>
      </c>
      <c r="U80" s="15" t="str">
        <f ca="1">IF(INDIRECT("'"&amp;$C$1&amp;"'!T52")= "","",INDIRECT("'"&amp;$C$1&amp;"'!T52"))</f>
        <v>Y</v>
      </c>
      <c r="V80" s="15" t="str">
        <f ca="1">IF(INDIRECT("'"&amp;$C$1&amp;"'!U52")= "","",INDIRECT("'"&amp;$C$1&amp;"'!U52"))</f>
        <v/>
      </c>
      <c r="W80" s="15" t="str">
        <f ca="1">IF(INDIRECT("'"&amp;$C$1&amp;"'!V52")= "","",INDIRECT("'"&amp;$C$1&amp;"'!V52"))</f>
        <v xml:space="preserve"> </v>
      </c>
      <c r="X80" s="15" t="str">
        <f ca="1">IF(INDIRECT("'"&amp;$C$1&amp;"'!W52")= "","",INDIRECT("'"&amp;$C$1&amp;"'!W52"))</f>
        <v/>
      </c>
      <c r="Y80" s="15" t="str">
        <f ca="1">IF(INDIRECT("'"&amp;$C$1&amp;"'!X52")= "","",INDIRECT("'"&amp;$C$1&amp;"'!X52"))</f>
        <v/>
      </c>
      <c r="Z80" s="15" t="str">
        <f ca="1">IF(INDIRECT("'"&amp;$C$1&amp;"'!Y52")= "","",INDIRECT("'"&amp;$C$1&amp;"'!Y52"))</f>
        <v/>
      </c>
      <c r="AA80" s="15" t="str">
        <f ca="1">IF(INDIRECT("'"&amp;$C$1&amp;"'!Z52")= "","",INDIRECT("'"&amp;$C$1&amp;"'!Z52"))</f>
        <v/>
      </c>
      <c r="AB80" s="15" t="str">
        <f ca="1">IF(INDIRECT("'"&amp;$C$1&amp;"'!E52")= "","",INDIRECT("'"&amp;$C$1&amp;"'!E52"))</f>
        <v/>
      </c>
      <c r="AC80" s="15" t="str">
        <f ca="1">IF(INDIRECT("'"&amp;$C$1&amp;"'!AB52")= "","",INDIRECT("'"&amp;$C$1&amp;"'!AB52"))</f>
        <v/>
      </c>
      <c r="AD80" s="15" t="str">
        <f ca="1">IF(INDIRECT("'"&amp;$C$1&amp;"'!AC52")= "","",INDIRECT("'"&amp;$C$1&amp;"'!AC52"))</f>
        <v/>
      </c>
      <c r="AE80" s="15" t="str">
        <f ca="1">IF(INDIRECT("'"&amp;$C$1&amp;"'!AD52")= "","",INDIRECT("'"&amp;$C$1&amp;"'!AD52"))</f>
        <v/>
      </c>
      <c r="AF80" s="15" t="str">
        <f ca="1">IF(INDIRECT("'"&amp;$C$1&amp;"'!AE52")= "","",INDIRECT("'"&amp;$C$1&amp;"'!AE52"))</f>
        <v/>
      </c>
      <c r="AG80" s="15" t="str">
        <f ca="1">IF(INDIRECT("'"&amp;$C$1&amp;"'!AF52")= "","",INDIRECT("'"&amp;$C$1&amp;"'!AF52"))</f>
        <v>Y</v>
      </c>
      <c r="AH80" s="15" t="str">
        <f ca="1">IF(INDIRECT("'"&amp;$C$1&amp;"'!AG52")= "","",INDIRECT("'"&amp;$C$1&amp;"'!AG52"))</f>
        <v/>
      </c>
      <c r="AI80" s="15" t="str">
        <f ca="1">IF(INDIRECT("'"&amp;$C$1&amp;"'!AH52")= "","",INDIRECT("'"&amp;$C$1&amp;"'!AH52"))</f>
        <v/>
      </c>
      <c r="AJ80" s="15" t="str">
        <f ca="1">IF(INDIRECT("'"&amp;$C$1&amp;"'!AI52")= "","",INDIRECT("'"&amp;$C$1&amp;"'!AI52"))</f>
        <v/>
      </c>
      <c r="AK80" s="15" t="str">
        <f ca="1">IF(INDIRECT("'"&amp;$C$1&amp;"'!AJ52")= "","",INDIRECT("'"&amp;$C$1&amp;"'!AJ52"))</f>
        <v/>
      </c>
      <c r="AL80" s="15" t="str">
        <f ca="1">IF(INDIRECT("'"&amp;$C$1&amp;"'!AK52")= "","",INDIRECT("'"&amp;$C$1&amp;"'!AK52"))</f>
        <v/>
      </c>
      <c r="AM80" s="15" t="str">
        <f ca="1">IF(INDIRECT("'"&amp;$C$1&amp;"'!AL52")= "","",INDIRECT("'"&amp;$C$1&amp;"'!AL52"))</f>
        <v/>
      </c>
      <c r="AN80" s="15" t="str">
        <f ca="1">IF(INDIRECT("'"&amp;$C$1&amp;"'!AM52")= "","",INDIRECT("'"&amp;$C$1&amp;"'!AM52"))</f>
        <v/>
      </c>
      <c r="AO80" s="139" t="s">
        <v>18</v>
      </c>
    </row>
    <row r="81" spans="3:41" hidden="1">
      <c r="C81" s="125" t="str">
        <f ca="1">CONCATENATE(IF(INDIRECT("'"&amp;$C$1&amp;"'!B53")= "","",INDIRECT("'"&amp;$C$1&amp;"'!B53"))," ",IF(INDIRECT("'"&amp;$C$1&amp;"'!C53")= "","",INDIRECT("'"&amp;$C$1&amp;"'!C53")))</f>
        <v>aspected by mars</v>
      </c>
      <c r="D81" s="15"/>
      <c r="E81" s="15" t="str">
        <f ca="1">IF(INDIRECT("'"&amp;$C$1&amp;"'!D53")= "","",INDIRECT("'"&amp;$C$1&amp;"'!D53"))</f>
        <v/>
      </c>
      <c r="F81" s="15" t="str">
        <f ca="1">IF(INDIRECT("'"&amp;$C$1&amp;"'!E53")= "","",INDIRECT("'"&amp;$C$1&amp;"'!E53"))</f>
        <v/>
      </c>
      <c r="G81" s="15" t="str">
        <f ca="1">IF(INDIRECT("'"&amp;$C$1&amp;"'!F53")= "","",INDIRECT("'"&amp;$C$1&amp;"'!F53"))</f>
        <v/>
      </c>
      <c r="H81" s="15" t="str">
        <f ca="1">IF(INDIRECT("'"&amp;$C$1&amp;"'!G53")= "","",INDIRECT("'"&amp;$C$1&amp;"'!G53"))</f>
        <v/>
      </c>
      <c r="I81" s="15" t="str">
        <f ca="1">IF(INDIRECT("'"&amp;$C$1&amp;"'!H53")= "","",INDIRECT("'"&amp;$C$1&amp;"'!H53"))</f>
        <v/>
      </c>
      <c r="J81" s="15" t="str">
        <f ca="1">IF(INDIRECT("'"&amp;$C$1&amp;"'!I53")= "","",INDIRECT("'"&amp;$C$1&amp;"'!I53"))</f>
        <v/>
      </c>
      <c r="K81" s="15" t="str">
        <f ca="1">IF(INDIRECT("'"&amp;$C$1&amp;"'!J53")= "","",INDIRECT("'"&amp;$C$1&amp;"'!J53"))</f>
        <v>Y</v>
      </c>
      <c r="L81" s="15" t="str">
        <f ca="1">IF(INDIRECT("'"&amp;$C$1&amp;"'!K53")= "","",INDIRECT("'"&amp;$C$1&amp;"'!K53"))</f>
        <v/>
      </c>
      <c r="M81" s="15" t="str">
        <f ca="1">IF(INDIRECT("'"&amp;$C$1&amp;"'!L53")= "","",INDIRECT("'"&amp;$C$1&amp;"'!L53"))</f>
        <v/>
      </c>
      <c r="N81" s="15" t="str">
        <f ca="1">IF(INDIRECT("'"&amp;$C$1&amp;"'!M53")= "","",INDIRECT("'"&amp;$C$1&amp;"'!M53"))</f>
        <v/>
      </c>
      <c r="O81" s="15" t="str">
        <f ca="1">IF(INDIRECT("'"&amp;$C$1&amp;"'!E53")= "","",INDIRECT("'"&amp;$C$1&amp;"'!E53"))</f>
        <v/>
      </c>
      <c r="P81" s="15" t="str">
        <f ca="1">IF(INDIRECT("'"&amp;$C$1&amp;"'!O53")= "","",INDIRECT("'"&amp;$C$1&amp;"'!O53"))</f>
        <v/>
      </c>
      <c r="Q81" s="15" t="str">
        <f ca="1">IF(INDIRECT("'"&amp;$C$1&amp;"'!P53")= "","",INDIRECT("'"&amp;$C$1&amp;"'!P53"))</f>
        <v xml:space="preserve"> </v>
      </c>
      <c r="R81" s="15" t="str">
        <f ca="1">IF(INDIRECT("'"&amp;$C$1&amp;"'!Q53")= "","",INDIRECT("'"&amp;$C$1&amp;"'!Q53"))</f>
        <v>Y</v>
      </c>
      <c r="S81" s="15" t="str">
        <f ca="1">IF(INDIRECT("'"&amp;$C$1&amp;"'!R53")= "","",INDIRECT("'"&amp;$C$1&amp;"'!R53"))</f>
        <v/>
      </c>
      <c r="T81" s="15" t="str">
        <f ca="1">IF(INDIRECT("'"&amp;$C$1&amp;"'!S53")= "","",INDIRECT("'"&amp;$C$1&amp;"'!S53"))</f>
        <v/>
      </c>
      <c r="U81" s="15" t="str">
        <f ca="1">IF(INDIRECT("'"&amp;$C$1&amp;"'!T53")= "","",INDIRECT("'"&amp;$C$1&amp;"'!T53"))</f>
        <v>Y</v>
      </c>
      <c r="V81" s="15" t="str">
        <f ca="1">IF(INDIRECT("'"&amp;$C$1&amp;"'!U53")= "","",INDIRECT("'"&amp;$C$1&amp;"'!U53"))</f>
        <v xml:space="preserve"> </v>
      </c>
      <c r="W81" s="15" t="str">
        <f ca="1">IF(INDIRECT("'"&amp;$C$1&amp;"'!V53")= "","",INDIRECT("'"&amp;$C$1&amp;"'!V53"))</f>
        <v/>
      </c>
      <c r="X81" s="15" t="str">
        <f ca="1">IF(INDIRECT("'"&amp;$C$1&amp;"'!W53")= "","",INDIRECT("'"&amp;$C$1&amp;"'!W53"))</f>
        <v/>
      </c>
      <c r="Y81" s="15" t="str">
        <f ca="1">IF(INDIRECT("'"&amp;$C$1&amp;"'!X53")= "","",INDIRECT("'"&amp;$C$1&amp;"'!X53"))</f>
        <v/>
      </c>
      <c r="Z81" s="15" t="str">
        <f ca="1">IF(INDIRECT("'"&amp;$C$1&amp;"'!Y53")= "","",INDIRECT("'"&amp;$C$1&amp;"'!Y53"))</f>
        <v/>
      </c>
      <c r="AA81" s="15" t="str">
        <f ca="1">IF(INDIRECT("'"&amp;$C$1&amp;"'!Z53")= "","",INDIRECT("'"&amp;$C$1&amp;"'!Z53"))</f>
        <v/>
      </c>
      <c r="AB81" s="15" t="str">
        <f ca="1">IF(INDIRECT("'"&amp;$C$1&amp;"'!E53")= "","",INDIRECT("'"&amp;$C$1&amp;"'!E53"))</f>
        <v/>
      </c>
      <c r="AC81" s="15" t="str">
        <f ca="1">IF(INDIRECT("'"&amp;$C$1&amp;"'!AB53")= "","",INDIRECT("'"&amp;$C$1&amp;"'!AB53"))</f>
        <v/>
      </c>
      <c r="AD81" s="15" t="str">
        <f ca="1">IF(INDIRECT("'"&amp;$C$1&amp;"'!AC53")= "","",INDIRECT("'"&amp;$C$1&amp;"'!AC53"))</f>
        <v/>
      </c>
      <c r="AE81" s="15" t="str">
        <f ca="1">IF(INDIRECT("'"&amp;$C$1&amp;"'!AD53")= "","",INDIRECT("'"&amp;$C$1&amp;"'!AD53"))</f>
        <v/>
      </c>
      <c r="AF81" s="15" t="str">
        <f ca="1">IF(INDIRECT("'"&amp;$C$1&amp;"'!AE53")= "","",INDIRECT("'"&amp;$C$1&amp;"'!AE53"))</f>
        <v/>
      </c>
      <c r="AG81" s="15" t="str">
        <f ca="1">IF(INDIRECT("'"&amp;$C$1&amp;"'!AF53")= "","",INDIRECT("'"&amp;$C$1&amp;"'!AF53"))</f>
        <v>Y</v>
      </c>
      <c r="AH81" s="15" t="str">
        <f ca="1">IF(INDIRECT("'"&amp;$C$1&amp;"'!AG53")= "","",INDIRECT("'"&amp;$C$1&amp;"'!AG53"))</f>
        <v/>
      </c>
      <c r="AI81" s="15" t="str">
        <f ca="1">IF(INDIRECT("'"&amp;$C$1&amp;"'!AH53")= "","",INDIRECT("'"&amp;$C$1&amp;"'!AH53"))</f>
        <v/>
      </c>
      <c r="AJ81" s="15" t="str">
        <f ca="1">IF(INDIRECT("'"&amp;$C$1&amp;"'!AI53")= "","",INDIRECT("'"&amp;$C$1&amp;"'!AI53"))</f>
        <v>Y</v>
      </c>
      <c r="AK81" s="15" t="str">
        <f ca="1">IF(INDIRECT("'"&amp;$C$1&amp;"'!AJ53")= "","",INDIRECT("'"&amp;$C$1&amp;"'!AJ53"))</f>
        <v>Y</v>
      </c>
      <c r="AL81" s="15" t="str">
        <f ca="1">IF(INDIRECT("'"&amp;$C$1&amp;"'!AK53")= "","",INDIRECT("'"&amp;$C$1&amp;"'!AK53"))</f>
        <v/>
      </c>
      <c r="AM81" s="15" t="str">
        <f ca="1">IF(INDIRECT("'"&amp;$C$1&amp;"'!AL53")= "","",INDIRECT("'"&amp;$C$1&amp;"'!AL53"))</f>
        <v/>
      </c>
      <c r="AN81" s="15" t="str">
        <f ca="1">IF(INDIRECT("'"&amp;$C$1&amp;"'!AM53")= "","",INDIRECT("'"&amp;$C$1&amp;"'!AM53"))</f>
        <v/>
      </c>
      <c r="AO81" s="139" t="s">
        <v>19</v>
      </c>
    </row>
    <row r="82" spans="3:41" hidden="1">
      <c r="C82" s="125" t="str">
        <f ca="1">CONCATENATE(IF(INDIRECT("'"&amp;$C$1&amp;"'!B54")= "","",INDIRECT("'"&amp;$C$1&amp;"'!B54"))," ",IF(INDIRECT("'"&amp;$C$1&amp;"'!C54")= "","",INDIRECT("'"&amp;$C$1&amp;"'!C54")))</f>
        <v>aspected by jupiter</v>
      </c>
      <c r="D82" s="15"/>
      <c r="E82" s="15" t="str">
        <f ca="1">IF(INDIRECT("'"&amp;$C$1&amp;"'!D54")= "","",INDIRECT("'"&amp;$C$1&amp;"'!D54"))</f>
        <v>Y</v>
      </c>
      <c r="F82" s="15" t="str">
        <f ca="1">IF(INDIRECT("'"&amp;$C$1&amp;"'!E54")= "","",INDIRECT("'"&amp;$C$1&amp;"'!E54"))</f>
        <v/>
      </c>
      <c r="G82" s="15" t="str">
        <f ca="1">IF(INDIRECT("'"&amp;$C$1&amp;"'!F54")= "","",INDIRECT("'"&amp;$C$1&amp;"'!F54"))</f>
        <v/>
      </c>
      <c r="H82" s="15" t="str">
        <f ca="1">IF(INDIRECT("'"&amp;$C$1&amp;"'!G54")= "","",INDIRECT("'"&amp;$C$1&amp;"'!G54"))</f>
        <v/>
      </c>
      <c r="I82" s="15" t="str">
        <f ca="1">IF(INDIRECT("'"&amp;$C$1&amp;"'!H54")= "","",INDIRECT("'"&amp;$C$1&amp;"'!H54"))</f>
        <v>Y</v>
      </c>
      <c r="J82" s="15" t="str">
        <f ca="1">IF(INDIRECT("'"&amp;$C$1&amp;"'!I54")= "","",INDIRECT("'"&amp;$C$1&amp;"'!I54"))</f>
        <v/>
      </c>
      <c r="K82" s="15" t="str">
        <f ca="1">IF(INDIRECT("'"&amp;$C$1&amp;"'!J54")= "","",INDIRECT("'"&amp;$C$1&amp;"'!J54"))</f>
        <v/>
      </c>
      <c r="L82" s="15" t="str">
        <f ca="1">IF(INDIRECT("'"&amp;$C$1&amp;"'!K54")= "","",INDIRECT("'"&amp;$C$1&amp;"'!K54"))</f>
        <v>Y</v>
      </c>
      <c r="M82" s="15" t="str">
        <f ca="1">IF(INDIRECT("'"&amp;$C$1&amp;"'!L54")= "","",INDIRECT("'"&amp;$C$1&amp;"'!L54"))</f>
        <v/>
      </c>
      <c r="N82" s="15" t="str">
        <f ca="1">IF(INDIRECT("'"&amp;$C$1&amp;"'!M54")= "","",INDIRECT("'"&amp;$C$1&amp;"'!M54"))</f>
        <v/>
      </c>
      <c r="O82" s="15" t="str">
        <f ca="1">IF(INDIRECT("'"&amp;$C$1&amp;"'!E54")= "","",INDIRECT("'"&amp;$C$1&amp;"'!E54"))</f>
        <v/>
      </c>
      <c r="P82" s="15" t="str">
        <f ca="1">IF(INDIRECT("'"&amp;$C$1&amp;"'!O54")= "","",INDIRECT("'"&amp;$C$1&amp;"'!O54"))</f>
        <v>Y</v>
      </c>
      <c r="Q82" s="15" t="str">
        <f ca="1">IF(INDIRECT("'"&amp;$C$1&amp;"'!P54")= "","",INDIRECT("'"&amp;$C$1&amp;"'!P54"))</f>
        <v/>
      </c>
      <c r="R82" s="15" t="str">
        <f ca="1">IF(INDIRECT("'"&amp;$C$1&amp;"'!Q54")= "","",INDIRECT("'"&amp;$C$1&amp;"'!Q54"))</f>
        <v xml:space="preserve"> </v>
      </c>
      <c r="S82" s="15" t="str">
        <f ca="1">IF(INDIRECT("'"&amp;$C$1&amp;"'!R54")= "","",INDIRECT("'"&amp;$C$1&amp;"'!R54"))</f>
        <v>Y</v>
      </c>
      <c r="T82" s="15" t="str">
        <f ca="1">IF(INDIRECT("'"&amp;$C$1&amp;"'!S54")= "","",INDIRECT("'"&amp;$C$1&amp;"'!S54"))</f>
        <v>Y</v>
      </c>
      <c r="U82" s="15" t="str">
        <f ca="1">IF(INDIRECT("'"&amp;$C$1&amp;"'!T54")= "","",INDIRECT("'"&amp;$C$1&amp;"'!T54"))</f>
        <v xml:space="preserve"> </v>
      </c>
      <c r="V82" s="15" t="str">
        <f ca="1">IF(INDIRECT("'"&amp;$C$1&amp;"'!U54")= "","",INDIRECT("'"&amp;$C$1&amp;"'!U54"))</f>
        <v/>
      </c>
      <c r="W82" s="15" t="str">
        <f ca="1">IF(INDIRECT("'"&amp;$C$1&amp;"'!V54")= "","",INDIRECT("'"&amp;$C$1&amp;"'!V54"))</f>
        <v>Y</v>
      </c>
      <c r="X82" s="15" t="str">
        <f ca="1">IF(INDIRECT("'"&amp;$C$1&amp;"'!W54")= "","",INDIRECT("'"&amp;$C$1&amp;"'!W54"))</f>
        <v/>
      </c>
      <c r="Y82" s="15" t="str">
        <f ca="1">IF(INDIRECT("'"&amp;$C$1&amp;"'!X54")= "","",INDIRECT("'"&amp;$C$1&amp;"'!X54"))</f>
        <v/>
      </c>
      <c r="Z82" s="15" t="str">
        <f ca="1">IF(INDIRECT("'"&amp;$C$1&amp;"'!Y54")= "","",INDIRECT("'"&amp;$C$1&amp;"'!Y54"))</f>
        <v/>
      </c>
      <c r="AA82" s="15" t="str">
        <f ca="1">IF(INDIRECT("'"&amp;$C$1&amp;"'!Z54")= "","",INDIRECT("'"&amp;$C$1&amp;"'!Z54"))</f>
        <v/>
      </c>
      <c r="AB82" s="15" t="str">
        <f ca="1">IF(INDIRECT("'"&amp;$C$1&amp;"'!E54")= "","",INDIRECT("'"&amp;$C$1&amp;"'!E54"))</f>
        <v/>
      </c>
      <c r="AC82" s="15" t="str">
        <f ca="1">IF(INDIRECT("'"&amp;$C$1&amp;"'!AB54")= "","",INDIRECT("'"&amp;$C$1&amp;"'!AB54"))</f>
        <v>Y</v>
      </c>
      <c r="AD82" s="15" t="str">
        <f ca="1">IF(INDIRECT("'"&amp;$C$1&amp;"'!AC54")= "","",INDIRECT("'"&amp;$C$1&amp;"'!AC54"))</f>
        <v/>
      </c>
      <c r="AE82" s="15" t="str">
        <f ca="1">IF(INDIRECT("'"&amp;$C$1&amp;"'!AD54")= "","",INDIRECT("'"&amp;$C$1&amp;"'!AD54"))</f>
        <v/>
      </c>
      <c r="AF82" s="15" t="str">
        <f ca="1">IF(INDIRECT("'"&amp;$C$1&amp;"'!AE54")= "","",INDIRECT("'"&amp;$C$1&amp;"'!AE54"))</f>
        <v/>
      </c>
      <c r="AG82" s="15" t="str">
        <f ca="1">IF(INDIRECT("'"&amp;$C$1&amp;"'!AF54")= "","",INDIRECT("'"&amp;$C$1&amp;"'!AF54"))</f>
        <v/>
      </c>
      <c r="AH82" s="15" t="str">
        <f ca="1">IF(INDIRECT("'"&amp;$C$1&amp;"'!AG54")= "","",INDIRECT("'"&amp;$C$1&amp;"'!AG54"))</f>
        <v/>
      </c>
      <c r="AI82" s="15" t="str">
        <f ca="1">IF(INDIRECT("'"&amp;$C$1&amp;"'!AH54")= "","",INDIRECT("'"&amp;$C$1&amp;"'!AH54"))</f>
        <v/>
      </c>
      <c r="AJ82" s="15" t="str">
        <f ca="1">IF(INDIRECT("'"&amp;$C$1&amp;"'!AI54")= "","",INDIRECT("'"&amp;$C$1&amp;"'!AI54"))</f>
        <v/>
      </c>
      <c r="AK82" s="15" t="str">
        <f ca="1">IF(INDIRECT("'"&amp;$C$1&amp;"'!AJ54")= "","",INDIRECT("'"&amp;$C$1&amp;"'!AJ54"))</f>
        <v>Y</v>
      </c>
      <c r="AL82" s="15" t="str">
        <f ca="1">IF(INDIRECT("'"&amp;$C$1&amp;"'!AK54")= "","",INDIRECT("'"&amp;$C$1&amp;"'!AK54"))</f>
        <v/>
      </c>
      <c r="AM82" s="15" t="str">
        <f ca="1">IF(INDIRECT("'"&amp;$C$1&amp;"'!AL54")= "","",INDIRECT("'"&amp;$C$1&amp;"'!AL54"))</f>
        <v>Y</v>
      </c>
      <c r="AN82" s="15" t="str">
        <f ca="1">IF(INDIRECT("'"&amp;$C$1&amp;"'!AM54")= "","",INDIRECT("'"&amp;$C$1&amp;"'!AM54"))</f>
        <v/>
      </c>
      <c r="AO82" s="139" t="s">
        <v>20</v>
      </c>
    </row>
    <row r="83" spans="3:41" hidden="1">
      <c r="C83" s="125" t="str">
        <f ca="1">CONCATENATE(IF(INDIRECT("'"&amp;$C$1&amp;"'!B55")= "","",INDIRECT("'"&amp;$C$1&amp;"'!B55"))," ",IF(INDIRECT("'"&amp;$C$1&amp;"'!C55")= "","",INDIRECT("'"&amp;$C$1&amp;"'!C55")))</f>
        <v>aspected by saturn</v>
      </c>
      <c r="D83" s="15"/>
      <c r="E83" s="15" t="str">
        <f ca="1">IF(INDIRECT("'"&amp;$C$1&amp;"'!D55")= "","",INDIRECT("'"&amp;$C$1&amp;"'!D55"))</f>
        <v>Y</v>
      </c>
      <c r="F83" s="15" t="str">
        <f ca="1">IF(INDIRECT("'"&amp;$C$1&amp;"'!E55")= "","",INDIRECT("'"&amp;$C$1&amp;"'!E55"))</f>
        <v/>
      </c>
      <c r="G83" s="15" t="str">
        <f ca="1">IF(INDIRECT("'"&amp;$C$1&amp;"'!F55")= "","",INDIRECT("'"&amp;$C$1&amp;"'!F55"))</f>
        <v/>
      </c>
      <c r="H83" s="15" t="str">
        <f ca="1">IF(INDIRECT("'"&amp;$C$1&amp;"'!G55")= "","",INDIRECT("'"&amp;$C$1&amp;"'!G55"))</f>
        <v/>
      </c>
      <c r="I83" s="15" t="str">
        <f ca="1">IF(INDIRECT("'"&amp;$C$1&amp;"'!H55")= "","",INDIRECT("'"&amp;$C$1&amp;"'!H55"))</f>
        <v/>
      </c>
      <c r="J83" s="15" t="str">
        <f ca="1">IF(INDIRECT("'"&amp;$C$1&amp;"'!I55")= "","",INDIRECT("'"&amp;$C$1&amp;"'!I55"))</f>
        <v/>
      </c>
      <c r="K83" s="15" t="str">
        <f ca="1">IF(INDIRECT("'"&amp;$C$1&amp;"'!J55")= "","",INDIRECT("'"&amp;$C$1&amp;"'!J55"))</f>
        <v>Y</v>
      </c>
      <c r="L83" s="15" t="str">
        <f ca="1">IF(INDIRECT("'"&amp;$C$1&amp;"'!K55")= "","",INDIRECT("'"&amp;$C$1&amp;"'!K55"))</f>
        <v/>
      </c>
      <c r="M83" s="15" t="str">
        <f ca="1">IF(INDIRECT("'"&amp;$C$1&amp;"'!L55")= "","",INDIRECT("'"&amp;$C$1&amp;"'!L55"))</f>
        <v/>
      </c>
      <c r="N83" s="15" t="str">
        <f ca="1">IF(INDIRECT("'"&amp;$C$1&amp;"'!M55")= "","",INDIRECT("'"&amp;$C$1&amp;"'!M55"))</f>
        <v/>
      </c>
      <c r="O83" s="15" t="str">
        <f ca="1">IF(INDIRECT("'"&amp;$C$1&amp;"'!E55")= "","",INDIRECT("'"&amp;$C$1&amp;"'!E55"))</f>
        <v/>
      </c>
      <c r="P83" s="15" t="str">
        <f ca="1">IF(INDIRECT("'"&amp;$C$1&amp;"'!O55")= "","",INDIRECT("'"&amp;$C$1&amp;"'!O55"))</f>
        <v/>
      </c>
      <c r="Q83" s="15" t="str">
        <f ca="1">IF(INDIRECT("'"&amp;$C$1&amp;"'!P55")= "","",INDIRECT("'"&amp;$C$1&amp;"'!P55"))</f>
        <v/>
      </c>
      <c r="R83" s="15" t="str">
        <f ca="1">IF(INDIRECT("'"&amp;$C$1&amp;"'!Q55")= "","",INDIRECT("'"&amp;$C$1&amp;"'!Q55"))</f>
        <v>Y</v>
      </c>
      <c r="S83" s="15" t="str">
        <f ca="1">IF(INDIRECT("'"&amp;$C$1&amp;"'!R55")= "","",INDIRECT("'"&amp;$C$1&amp;"'!R55"))</f>
        <v xml:space="preserve"> </v>
      </c>
      <c r="T83" s="15" t="str">
        <f ca="1">IF(INDIRECT("'"&amp;$C$1&amp;"'!S55")= "","",INDIRECT("'"&amp;$C$1&amp;"'!S55"))</f>
        <v xml:space="preserve"> </v>
      </c>
      <c r="U83" s="15" t="str">
        <f ca="1">IF(INDIRECT("'"&amp;$C$1&amp;"'!T55")= "","",INDIRECT("'"&amp;$C$1&amp;"'!T55"))</f>
        <v>Y</v>
      </c>
      <c r="V83" s="15" t="str">
        <f ca="1">IF(INDIRECT("'"&amp;$C$1&amp;"'!U55")= "","",INDIRECT("'"&amp;$C$1&amp;"'!U55"))</f>
        <v/>
      </c>
      <c r="W83" s="15" t="str">
        <f ca="1">IF(INDIRECT("'"&amp;$C$1&amp;"'!V55")= "","",INDIRECT("'"&amp;$C$1&amp;"'!V55"))</f>
        <v/>
      </c>
      <c r="X83" s="15" t="str">
        <f ca="1">IF(INDIRECT("'"&amp;$C$1&amp;"'!W55")= "","",INDIRECT("'"&amp;$C$1&amp;"'!W55"))</f>
        <v/>
      </c>
      <c r="Y83" s="15" t="str">
        <f ca="1">IF(INDIRECT("'"&amp;$C$1&amp;"'!X55")= "","",INDIRECT("'"&amp;$C$1&amp;"'!X55"))</f>
        <v/>
      </c>
      <c r="Z83" s="15" t="str">
        <f ca="1">IF(INDIRECT("'"&amp;$C$1&amp;"'!Y55")= "","",INDIRECT("'"&amp;$C$1&amp;"'!Y55"))</f>
        <v/>
      </c>
      <c r="AA83" s="15" t="str">
        <f ca="1">IF(INDIRECT("'"&amp;$C$1&amp;"'!Z55")= "","",INDIRECT("'"&amp;$C$1&amp;"'!Z55"))</f>
        <v/>
      </c>
      <c r="AB83" s="15" t="str">
        <f ca="1">IF(INDIRECT("'"&amp;$C$1&amp;"'!E55")= "","",INDIRECT("'"&amp;$C$1&amp;"'!E55"))</f>
        <v/>
      </c>
      <c r="AC83" s="15" t="str">
        <f ca="1">IF(INDIRECT("'"&amp;$C$1&amp;"'!AB55")= "","",INDIRECT("'"&amp;$C$1&amp;"'!AB55"))</f>
        <v>Y</v>
      </c>
      <c r="AD83" s="15" t="str">
        <f ca="1">IF(INDIRECT("'"&amp;$C$1&amp;"'!AC55")= "","",INDIRECT("'"&amp;$C$1&amp;"'!AC55"))</f>
        <v/>
      </c>
      <c r="AE83" s="15" t="str">
        <f ca="1">IF(INDIRECT("'"&amp;$C$1&amp;"'!AD55")= "","",INDIRECT("'"&amp;$C$1&amp;"'!AD55"))</f>
        <v/>
      </c>
      <c r="AF83" s="15" t="str">
        <f ca="1">IF(INDIRECT("'"&amp;$C$1&amp;"'!AE55")= "","",INDIRECT("'"&amp;$C$1&amp;"'!AE55"))</f>
        <v/>
      </c>
      <c r="AG83" s="15" t="str">
        <f ca="1">IF(INDIRECT("'"&amp;$C$1&amp;"'!AF55")= "","",INDIRECT("'"&amp;$C$1&amp;"'!AF55"))</f>
        <v>Y</v>
      </c>
      <c r="AH83" s="15" t="str">
        <f ca="1">IF(INDIRECT("'"&amp;$C$1&amp;"'!AG55")= "","",INDIRECT("'"&amp;$C$1&amp;"'!AG55"))</f>
        <v/>
      </c>
      <c r="AI83" s="15" t="str">
        <f ca="1">IF(INDIRECT("'"&amp;$C$1&amp;"'!AH55")= "","",INDIRECT("'"&amp;$C$1&amp;"'!AH55"))</f>
        <v/>
      </c>
      <c r="AJ83" s="15" t="str">
        <f ca="1">IF(INDIRECT("'"&amp;$C$1&amp;"'!AI55")= "","",INDIRECT("'"&amp;$C$1&amp;"'!AI55"))</f>
        <v>Y</v>
      </c>
      <c r="AK83" s="15" t="str">
        <f ca="1">IF(INDIRECT("'"&amp;$C$1&amp;"'!AJ55")= "","",INDIRECT("'"&amp;$C$1&amp;"'!AJ55"))</f>
        <v/>
      </c>
      <c r="AL83" s="15" t="str">
        <f ca="1">IF(INDIRECT("'"&amp;$C$1&amp;"'!AK55")= "","",INDIRECT("'"&amp;$C$1&amp;"'!AK55"))</f>
        <v/>
      </c>
      <c r="AM83" s="15" t="str">
        <f ca="1">IF(INDIRECT("'"&amp;$C$1&amp;"'!AL55")= "","",INDIRECT("'"&amp;$C$1&amp;"'!AL55"))</f>
        <v/>
      </c>
      <c r="AN83" s="15" t="str">
        <f ca="1">IF(INDIRECT("'"&amp;$C$1&amp;"'!AM55")= "","",INDIRECT("'"&amp;$C$1&amp;"'!AM55"))</f>
        <v/>
      </c>
      <c r="AO83" s="139" t="s">
        <v>21</v>
      </c>
    </row>
    <row r="84" spans="3:41" hidden="1">
      <c r="C84" s="125" t="str">
        <f ca="1">CONCATENATE(IF(INDIRECT("'"&amp;$C$1&amp;"'!B56")= "","",INDIRECT("'"&amp;$C$1&amp;"'!B56"))," ",IF(INDIRECT("'"&amp;$C$1&amp;"'!C56")= "","",INDIRECT("'"&amp;$C$1&amp;"'!C56")))</f>
        <v>aspected by rahu</v>
      </c>
      <c r="D84" s="15"/>
      <c r="E84" s="15" t="str">
        <f ca="1">IF(INDIRECT("'"&amp;$C$1&amp;"'!D56")= "","",INDIRECT("'"&amp;$C$1&amp;"'!D56"))</f>
        <v/>
      </c>
      <c r="F84" s="15" t="str">
        <f ca="1">IF(INDIRECT("'"&amp;$C$1&amp;"'!E56")= "","",INDIRECT("'"&amp;$C$1&amp;"'!E56"))</f>
        <v>Y</v>
      </c>
      <c r="G84" s="15" t="str">
        <f ca="1">IF(INDIRECT("'"&amp;$C$1&amp;"'!F56")= "","",INDIRECT("'"&amp;$C$1&amp;"'!F56"))</f>
        <v/>
      </c>
      <c r="H84" s="15" t="str">
        <f ca="1">IF(INDIRECT("'"&amp;$C$1&amp;"'!G56")= "","",INDIRECT("'"&amp;$C$1&amp;"'!G56"))</f>
        <v>Y</v>
      </c>
      <c r="I84" s="15" t="str">
        <f ca="1">IF(INDIRECT("'"&amp;$C$1&amp;"'!H56")= "","",INDIRECT("'"&amp;$C$1&amp;"'!H56"))</f>
        <v/>
      </c>
      <c r="J84" s="15" t="str">
        <f ca="1">IF(INDIRECT("'"&amp;$C$1&amp;"'!I56")= "","",INDIRECT("'"&amp;$C$1&amp;"'!I56"))</f>
        <v/>
      </c>
      <c r="K84" s="15" t="str">
        <f ca="1">IF(INDIRECT("'"&amp;$C$1&amp;"'!J56")= "","",INDIRECT("'"&amp;$C$1&amp;"'!J56"))</f>
        <v/>
      </c>
      <c r="L84" s="15" t="str">
        <f ca="1">IF(INDIRECT("'"&amp;$C$1&amp;"'!K56")= "","",INDIRECT("'"&amp;$C$1&amp;"'!K56"))</f>
        <v/>
      </c>
      <c r="M84" s="15" t="str">
        <f ca="1">IF(INDIRECT("'"&amp;$C$1&amp;"'!L56")= "","",INDIRECT("'"&amp;$C$1&amp;"'!L56"))</f>
        <v/>
      </c>
      <c r="N84" s="15" t="str">
        <f ca="1">IF(INDIRECT("'"&amp;$C$1&amp;"'!M56")= "","",INDIRECT("'"&amp;$C$1&amp;"'!M56"))</f>
        <v/>
      </c>
      <c r="O84" s="15" t="str">
        <f ca="1">IF(INDIRECT("'"&amp;$C$1&amp;"'!E56")= "","",INDIRECT("'"&amp;$C$1&amp;"'!E56"))</f>
        <v>Y</v>
      </c>
      <c r="P84" s="15" t="str">
        <f ca="1">IF(INDIRECT("'"&amp;$C$1&amp;"'!O56")= "","",INDIRECT("'"&amp;$C$1&amp;"'!O56"))</f>
        <v/>
      </c>
      <c r="Q84" s="15" t="str">
        <f ca="1">IF(INDIRECT("'"&amp;$C$1&amp;"'!P56")= "","",INDIRECT("'"&amp;$C$1&amp;"'!P56"))</f>
        <v/>
      </c>
      <c r="R84" s="15" t="str">
        <f ca="1">IF(INDIRECT("'"&amp;$C$1&amp;"'!Q56")= "","",INDIRECT("'"&amp;$C$1&amp;"'!Q56"))</f>
        <v/>
      </c>
      <c r="S84" s="15" t="str">
        <f ca="1">IF(INDIRECT("'"&amp;$C$1&amp;"'!R56")= "","",INDIRECT("'"&amp;$C$1&amp;"'!R56"))</f>
        <v/>
      </c>
      <c r="T84" s="15" t="str">
        <f ca="1">IF(INDIRECT("'"&amp;$C$1&amp;"'!S56")= "","",INDIRECT("'"&amp;$C$1&amp;"'!S56"))</f>
        <v/>
      </c>
      <c r="U84" s="15" t="str">
        <f ca="1">IF(INDIRECT("'"&amp;$C$1&amp;"'!T56")= "","",INDIRECT("'"&amp;$C$1&amp;"'!T56"))</f>
        <v/>
      </c>
      <c r="V84" s="15" t="str">
        <f ca="1">IF(INDIRECT("'"&amp;$C$1&amp;"'!U56")= "","",INDIRECT("'"&amp;$C$1&amp;"'!U56"))</f>
        <v/>
      </c>
      <c r="W84" s="15" t="str">
        <f ca="1">IF(INDIRECT("'"&amp;$C$1&amp;"'!V56")= "","",INDIRECT("'"&amp;$C$1&amp;"'!V56"))</f>
        <v/>
      </c>
      <c r="X84" s="15" t="str">
        <f ca="1">IF(INDIRECT("'"&amp;$C$1&amp;"'!W56")= "","",INDIRECT("'"&amp;$C$1&amp;"'!W56"))</f>
        <v>Y</v>
      </c>
      <c r="Y84" s="15" t="str">
        <f ca="1">IF(INDIRECT("'"&amp;$C$1&amp;"'!X56")= "","",INDIRECT("'"&amp;$C$1&amp;"'!X56"))</f>
        <v/>
      </c>
      <c r="Z84" s="15" t="str">
        <f ca="1">IF(INDIRECT("'"&amp;$C$1&amp;"'!Y56")= "","",INDIRECT("'"&amp;$C$1&amp;"'!Y56"))</f>
        <v>Y</v>
      </c>
      <c r="AA84" s="15" t="str">
        <f ca="1">IF(INDIRECT("'"&amp;$C$1&amp;"'!Z56")= "","",INDIRECT("'"&amp;$C$1&amp;"'!Z56"))</f>
        <v>Y</v>
      </c>
      <c r="AB84" s="15" t="str">
        <f ca="1">IF(INDIRECT("'"&amp;$C$1&amp;"'!E56")= "","",INDIRECT("'"&amp;$C$1&amp;"'!E56"))</f>
        <v>Y</v>
      </c>
      <c r="AC84" s="15" t="str">
        <f ca="1">IF(INDIRECT("'"&amp;$C$1&amp;"'!AB56")= "","",INDIRECT("'"&amp;$C$1&amp;"'!AB56"))</f>
        <v/>
      </c>
      <c r="AD84" s="15" t="str">
        <f ca="1">IF(INDIRECT("'"&amp;$C$1&amp;"'!AC56")= "","",INDIRECT("'"&amp;$C$1&amp;"'!AC56"))</f>
        <v/>
      </c>
      <c r="AE84" s="15" t="str">
        <f ca="1">IF(INDIRECT("'"&amp;$C$1&amp;"'!AD56")= "","",INDIRECT("'"&amp;$C$1&amp;"'!AD56"))</f>
        <v/>
      </c>
      <c r="AF84" s="15" t="str">
        <f ca="1">IF(INDIRECT("'"&amp;$C$1&amp;"'!AE56")= "","",INDIRECT("'"&amp;$C$1&amp;"'!AE56"))</f>
        <v/>
      </c>
      <c r="AG84" s="15" t="str">
        <f ca="1">IF(INDIRECT("'"&amp;$C$1&amp;"'!AF56")= "","",INDIRECT("'"&amp;$C$1&amp;"'!AF56"))</f>
        <v/>
      </c>
      <c r="AH84" s="15" t="str">
        <f ca="1">IF(INDIRECT("'"&amp;$C$1&amp;"'!AG56")= "","",INDIRECT("'"&amp;$C$1&amp;"'!AG56"))</f>
        <v/>
      </c>
      <c r="AI84" s="15" t="str">
        <f ca="1">IF(INDIRECT("'"&amp;$C$1&amp;"'!AH56")= "","",INDIRECT("'"&amp;$C$1&amp;"'!AH56"))</f>
        <v/>
      </c>
      <c r="AJ84" s="15" t="str">
        <f ca="1">IF(INDIRECT("'"&amp;$C$1&amp;"'!AI56")= "","",INDIRECT("'"&amp;$C$1&amp;"'!AI56"))</f>
        <v/>
      </c>
      <c r="AK84" s="15" t="str">
        <f ca="1">IF(INDIRECT("'"&amp;$C$1&amp;"'!AJ56")= "","",INDIRECT("'"&amp;$C$1&amp;"'!AJ56"))</f>
        <v/>
      </c>
      <c r="AL84" s="15" t="str">
        <f ca="1">IF(INDIRECT("'"&amp;$C$1&amp;"'!AK56")= "","",INDIRECT("'"&amp;$C$1&amp;"'!AK56"))</f>
        <v/>
      </c>
      <c r="AM84" s="15" t="str">
        <f ca="1">IF(INDIRECT("'"&amp;$C$1&amp;"'!AL56")= "","",INDIRECT("'"&amp;$C$1&amp;"'!AL56"))</f>
        <v/>
      </c>
      <c r="AN84" s="15" t="str">
        <f ca="1">IF(INDIRECT("'"&amp;$C$1&amp;"'!AM56")= "","",INDIRECT("'"&amp;$C$1&amp;"'!AM56"))</f>
        <v>Y</v>
      </c>
      <c r="AO84" s="139" t="s">
        <v>22</v>
      </c>
    </row>
    <row r="85" spans="3:41" hidden="1">
      <c r="C85" s="125" t="str">
        <f ca="1">CONCATENATE(IF(INDIRECT("'"&amp;$C$1&amp;"'!B57")= "","",INDIRECT("'"&amp;$C$1&amp;"'!B57"))," ",IF(INDIRECT("'"&amp;$C$1&amp;"'!C57")= "","",INDIRECT("'"&amp;$C$1&amp;"'!C57")))</f>
        <v>aspected by ketu</v>
      </c>
      <c r="D85" s="15"/>
      <c r="E85" s="15" t="str">
        <f ca="1">IF(INDIRECT("'"&amp;$C$1&amp;"'!D57")= "","",INDIRECT("'"&amp;$C$1&amp;"'!D57"))</f>
        <v/>
      </c>
      <c r="F85" s="15" t="str">
        <f ca="1">IF(INDIRECT("'"&amp;$C$1&amp;"'!E57")= "","",INDIRECT("'"&amp;$C$1&amp;"'!E57"))</f>
        <v/>
      </c>
      <c r="G85" s="15" t="str">
        <f ca="1">IF(INDIRECT("'"&amp;$C$1&amp;"'!F57")= "","",INDIRECT("'"&amp;$C$1&amp;"'!F57"))</f>
        <v/>
      </c>
      <c r="H85" s="15" t="str">
        <f ca="1">IF(INDIRECT("'"&amp;$C$1&amp;"'!G57")= "","",INDIRECT("'"&amp;$C$1&amp;"'!G57"))</f>
        <v/>
      </c>
      <c r="I85" s="15" t="str">
        <f ca="1">IF(INDIRECT("'"&amp;$C$1&amp;"'!H57")= "","",INDIRECT("'"&amp;$C$1&amp;"'!H57"))</f>
        <v/>
      </c>
      <c r="J85" s="15" t="str">
        <f ca="1">IF(INDIRECT("'"&amp;$C$1&amp;"'!I57")= "","",INDIRECT("'"&amp;$C$1&amp;"'!I57"))</f>
        <v/>
      </c>
      <c r="K85" s="15" t="str">
        <f ca="1">IF(INDIRECT("'"&amp;$C$1&amp;"'!J57")= "","",INDIRECT("'"&amp;$C$1&amp;"'!J57"))</f>
        <v/>
      </c>
      <c r="L85" s="15" t="str">
        <f ca="1">IF(INDIRECT("'"&amp;$C$1&amp;"'!K57")= "","",INDIRECT("'"&amp;$C$1&amp;"'!K57"))</f>
        <v/>
      </c>
      <c r="M85" s="15" t="str">
        <f ca="1">IF(INDIRECT("'"&amp;$C$1&amp;"'!L57")= "","",INDIRECT("'"&amp;$C$1&amp;"'!L57"))</f>
        <v/>
      </c>
      <c r="N85" s="15" t="str">
        <f ca="1">IF(INDIRECT("'"&amp;$C$1&amp;"'!M57")= "","",INDIRECT("'"&amp;$C$1&amp;"'!M57"))</f>
        <v/>
      </c>
      <c r="O85" s="15" t="str">
        <f ca="1">IF(INDIRECT("'"&amp;$C$1&amp;"'!E57")= "","",INDIRECT("'"&amp;$C$1&amp;"'!E57"))</f>
        <v/>
      </c>
      <c r="P85" s="15" t="str">
        <f ca="1">IF(INDIRECT("'"&amp;$C$1&amp;"'!O57")= "","",INDIRECT("'"&amp;$C$1&amp;"'!O57"))</f>
        <v/>
      </c>
      <c r="Q85" s="15" t="str">
        <f ca="1">IF(INDIRECT("'"&amp;$C$1&amp;"'!P57")= "","",INDIRECT("'"&amp;$C$1&amp;"'!P57"))</f>
        <v/>
      </c>
      <c r="R85" s="15" t="str">
        <f ca="1">IF(INDIRECT("'"&amp;$C$1&amp;"'!Q57")= "","",INDIRECT("'"&amp;$C$1&amp;"'!Q57"))</f>
        <v/>
      </c>
      <c r="S85" s="15" t="str">
        <f ca="1">IF(INDIRECT("'"&amp;$C$1&amp;"'!R57")= "","",INDIRECT("'"&amp;$C$1&amp;"'!R57"))</f>
        <v/>
      </c>
      <c r="T85" s="15" t="str">
        <f ca="1">IF(INDIRECT("'"&amp;$C$1&amp;"'!S57")= "","",INDIRECT("'"&amp;$C$1&amp;"'!S57"))</f>
        <v/>
      </c>
      <c r="U85" s="15" t="str">
        <f ca="1">IF(INDIRECT("'"&amp;$C$1&amp;"'!T57")= "","",INDIRECT("'"&amp;$C$1&amp;"'!T57"))</f>
        <v/>
      </c>
      <c r="V85" s="15" t="str">
        <f ca="1">IF(INDIRECT("'"&amp;$C$1&amp;"'!U57")= "","",INDIRECT("'"&amp;$C$1&amp;"'!U57"))</f>
        <v/>
      </c>
      <c r="W85" s="15" t="str">
        <f ca="1">IF(INDIRECT("'"&amp;$C$1&amp;"'!V57")= "","",INDIRECT("'"&amp;$C$1&amp;"'!V57"))</f>
        <v/>
      </c>
      <c r="X85" s="15" t="str">
        <f ca="1">IF(INDIRECT("'"&amp;$C$1&amp;"'!W57")= "","",INDIRECT("'"&amp;$C$1&amp;"'!W57"))</f>
        <v/>
      </c>
      <c r="Y85" s="15" t="str">
        <f ca="1">IF(INDIRECT("'"&amp;$C$1&amp;"'!X57")= "","",INDIRECT("'"&amp;$C$1&amp;"'!X57"))</f>
        <v/>
      </c>
      <c r="Z85" s="15" t="str">
        <f ca="1">IF(INDIRECT("'"&amp;$C$1&amp;"'!Y57")= "","",INDIRECT("'"&amp;$C$1&amp;"'!Y57"))</f>
        <v/>
      </c>
      <c r="AA85" s="15" t="str">
        <f ca="1">IF(INDIRECT("'"&amp;$C$1&amp;"'!Z57")= "","",INDIRECT("'"&amp;$C$1&amp;"'!Z57"))</f>
        <v/>
      </c>
      <c r="AB85" s="15" t="str">
        <f ca="1">IF(INDIRECT("'"&amp;$C$1&amp;"'!E57")= "","",INDIRECT("'"&amp;$C$1&amp;"'!E57"))</f>
        <v/>
      </c>
      <c r="AC85" s="15" t="str">
        <f ca="1">IF(INDIRECT("'"&amp;$C$1&amp;"'!AB57")= "","",INDIRECT("'"&amp;$C$1&amp;"'!AB57"))</f>
        <v/>
      </c>
      <c r="AD85" s="15" t="str">
        <f ca="1">IF(INDIRECT("'"&amp;$C$1&amp;"'!AC57")= "","",INDIRECT("'"&amp;$C$1&amp;"'!AC57"))</f>
        <v/>
      </c>
      <c r="AE85" s="15" t="str">
        <f ca="1">IF(INDIRECT("'"&amp;$C$1&amp;"'!AD57")= "","",INDIRECT("'"&amp;$C$1&amp;"'!AD57"))</f>
        <v/>
      </c>
      <c r="AF85" s="15" t="str">
        <f ca="1">IF(INDIRECT("'"&amp;$C$1&amp;"'!AE57")= "","",INDIRECT("'"&amp;$C$1&amp;"'!AE57"))</f>
        <v/>
      </c>
      <c r="AG85" s="15" t="str">
        <f ca="1">IF(INDIRECT("'"&amp;$C$1&amp;"'!AF57")= "","",INDIRECT("'"&amp;$C$1&amp;"'!AF57"))</f>
        <v/>
      </c>
      <c r="AH85" s="15" t="str">
        <f ca="1">IF(INDIRECT("'"&amp;$C$1&amp;"'!AG57")= "","",INDIRECT("'"&amp;$C$1&amp;"'!AG57"))</f>
        <v>Y</v>
      </c>
      <c r="AI85" s="15" t="str">
        <f ca="1">IF(INDIRECT("'"&amp;$C$1&amp;"'!AH57")= "","",INDIRECT("'"&amp;$C$1&amp;"'!AH57"))</f>
        <v/>
      </c>
      <c r="AJ85" s="15" t="str">
        <f ca="1">IF(INDIRECT("'"&amp;$C$1&amp;"'!AI57")= "","",INDIRECT("'"&amp;$C$1&amp;"'!AI57"))</f>
        <v/>
      </c>
      <c r="AK85" s="15" t="str">
        <f ca="1">IF(INDIRECT("'"&amp;$C$1&amp;"'!AJ57")= "","",INDIRECT("'"&amp;$C$1&amp;"'!AJ57"))</f>
        <v/>
      </c>
      <c r="AL85" s="15" t="str">
        <f ca="1">IF(INDIRECT("'"&amp;$C$1&amp;"'!AK57")= "","",INDIRECT("'"&amp;$C$1&amp;"'!AK57"))</f>
        <v/>
      </c>
      <c r="AM85" s="15" t="str">
        <f ca="1">IF(INDIRECT("'"&amp;$C$1&amp;"'!AL57")= "","",INDIRECT("'"&amp;$C$1&amp;"'!AL57"))</f>
        <v/>
      </c>
      <c r="AN85" s="15" t="str">
        <f ca="1">IF(INDIRECT("'"&amp;$C$1&amp;"'!AM57")= "","",INDIRECT("'"&amp;$C$1&amp;"'!AM57"))</f>
        <v/>
      </c>
      <c r="AO85" s="139" t="s">
        <v>23</v>
      </c>
    </row>
    <row r="86" spans="3:41" hidden="1">
      <c r="D86" s="15"/>
      <c r="AO86" s="139" t="s">
        <v>24</v>
      </c>
    </row>
    <row r="87" spans="3:41" hidden="1">
      <c r="C87" s="125" t="str">
        <f ca="1">CONCATENATE(IF(INDIRECT("'"&amp;$C$1&amp;"'!B59")= "","",INDIRECT("'"&amp;$C$1&amp;"'!B59"))," ",IF(INDIRECT("'"&amp;$C$1&amp;"'!C59")= "","",INDIRECT("'"&amp;$C$1&amp;"'!C59")))</f>
        <v>aspected by first lord</v>
      </c>
      <c r="D87" s="15"/>
      <c r="E87" s="15" t="str">
        <f ca="1">IF(INDIRECT("'"&amp;$C$1&amp;"'!D59")= "","",INDIRECT("'"&amp;$C$1&amp;"'!D59"))</f>
        <v/>
      </c>
      <c r="F87" s="15" t="str">
        <f ca="1">IF(INDIRECT("'"&amp;$C$1&amp;"'!E59")= "","",INDIRECT("'"&amp;$C$1&amp;"'!E59"))</f>
        <v/>
      </c>
      <c r="G87" s="15" t="str">
        <f ca="1">IF(INDIRECT("'"&amp;$C$1&amp;"'!F59")= "","",INDIRECT("'"&amp;$C$1&amp;"'!F59"))</f>
        <v/>
      </c>
      <c r="H87" s="15" t="str">
        <f ca="1">IF(INDIRECT("'"&amp;$C$1&amp;"'!G59")= "","",INDIRECT("'"&amp;$C$1&amp;"'!G59"))</f>
        <v/>
      </c>
      <c r="I87" s="15" t="str">
        <f ca="1">IF(INDIRECT("'"&amp;$C$1&amp;"'!H59")= "","",INDIRECT("'"&amp;$C$1&amp;"'!H59"))</f>
        <v/>
      </c>
      <c r="J87" s="15" t="str">
        <f ca="1">IF(INDIRECT("'"&amp;$C$1&amp;"'!I59")= "","",INDIRECT("'"&amp;$C$1&amp;"'!I59"))</f>
        <v/>
      </c>
      <c r="K87" s="15" t="str">
        <f ca="1">IF(INDIRECT("'"&amp;$C$1&amp;"'!J59")= "","",INDIRECT("'"&amp;$C$1&amp;"'!J59"))</f>
        <v>Y</v>
      </c>
      <c r="L87" s="15" t="str">
        <f ca="1">IF(INDIRECT("'"&amp;$C$1&amp;"'!K59")= "","",INDIRECT("'"&amp;$C$1&amp;"'!K59"))</f>
        <v/>
      </c>
      <c r="M87" s="15" t="str">
        <f ca="1">IF(INDIRECT("'"&amp;$C$1&amp;"'!L59")= "","",INDIRECT("'"&amp;$C$1&amp;"'!L59"))</f>
        <v/>
      </c>
      <c r="N87" s="15" t="str">
        <f ca="1">IF(INDIRECT("'"&amp;$C$1&amp;"'!M59")= "","",INDIRECT("'"&amp;$C$1&amp;"'!M59"))</f>
        <v/>
      </c>
      <c r="O87" s="15" t="str">
        <f ca="1">IF(INDIRECT("'"&amp;$C$1&amp;"'!E59")= "","",INDIRECT("'"&amp;$C$1&amp;"'!E59"))</f>
        <v/>
      </c>
      <c r="P87" s="15" t="str">
        <f ca="1">IF(INDIRECT("'"&amp;$C$1&amp;"'!O59")= "","",INDIRECT("'"&amp;$C$1&amp;"'!O59"))</f>
        <v/>
      </c>
      <c r="Q87" s="15" t="str">
        <f ca="1">IF(INDIRECT("'"&amp;$C$1&amp;"'!P59")= "","",INDIRECT("'"&amp;$C$1&amp;"'!P59"))</f>
        <v/>
      </c>
      <c r="R87" s="15" t="str">
        <f ca="1">IF(INDIRECT("'"&amp;$C$1&amp;"'!Q59")= "","",INDIRECT("'"&amp;$C$1&amp;"'!Q59"))</f>
        <v>Y</v>
      </c>
      <c r="S87" s="15" t="str">
        <f ca="1">IF(INDIRECT("'"&amp;$C$1&amp;"'!R59")= "","",INDIRECT("'"&amp;$C$1&amp;"'!R59"))</f>
        <v/>
      </c>
      <c r="T87" s="15" t="str">
        <f ca="1">IF(INDIRECT("'"&amp;$C$1&amp;"'!S59")= "","",INDIRECT("'"&amp;$C$1&amp;"'!S59"))</f>
        <v/>
      </c>
      <c r="U87" s="15" t="str">
        <f ca="1">IF(INDIRECT("'"&amp;$C$1&amp;"'!T59")= "","",INDIRECT("'"&amp;$C$1&amp;"'!T59"))</f>
        <v>Y</v>
      </c>
      <c r="V87" s="15" t="str">
        <f ca="1">IF(INDIRECT("'"&amp;$C$1&amp;"'!U59")= "","",INDIRECT("'"&amp;$C$1&amp;"'!U59"))</f>
        <v/>
      </c>
      <c r="W87" s="15" t="str">
        <f ca="1">IF(INDIRECT("'"&amp;$C$1&amp;"'!V59")= "","",INDIRECT("'"&amp;$C$1&amp;"'!V59"))</f>
        <v/>
      </c>
      <c r="X87" s="15" t="str">
        <f ca="1">IF(INDIRECT("'"&amp;$C$1&amp;"'!W59")= "","",INDIRECT("'"&amp;$C$1&amp;"'!W59"))</f>
        <v/>
      </c>
      <c r="Y87" s="15" t="str">
        <f ca="1">IF(INDIRECT("'"&amp;$C$1&amp;"'!X59")= "","",INDIRECT("'"&amp;$C$1&amp;"'!X59"))</f>
        <v/>
      </c>
      <c r="Z87" s="15" t="str">
        <f ca="1">IF(INDIRECT("'"&amp;$C$1&amp;"'!Y59")= "","",INDIRECT("'"&amp;$C$1&amp;"'!Y59"))</f>
        <v/>
      </c>
      <c r="AA87" s="15" t="str">
        <f ca="1">IF(INDIRECT("'"&amp;$C$1&amp;"'!Z59")= "","",INDIRECT("'"&amp;$C$1&amp;"'!Z59"))</f>
        <v/>
      </c>
      <c r="AB87" s="15" t="str">
        <f ca="1">IF(INDIRECT("'"&amp;$C$1&amp;"'!E59")= "","",INDIRECT("'"&amp;$C$1&amp;"'!E59"))</f>
        <v/>
      </c>
      <c r="AC87" s="15" t="str">
        <f ca="1">IF(INDIRECT("'"&amp;$C$1&amp;"'!AB59")= "","",INDIRECT("'"&amp;$C$1&amp;"'!AB59"))</f>
        <v/>
      </c>
      <c r="AD87" s="15" t="str">
        <f ca="1">IF(INDIRECT("'"&amp;$C$1&amp;"'!AC59")= "","",INDIRECT("'"&amp;$C$1&amp;"'!AC59"))</f>
        <v/>
      </c>
      <c r="AE87" s="15" t="str">
        <f ca="1">IF(INDIRECT("'"&amp;$C$1&amp;"'!AD59")= "","",INDIRECT("'"&amp;$C$1&amp;"'!AD59"))</f>
        <v/>
      </c>
      <c r="AF87" s="15" t="str">
        <f ca="1">IF(INDIRECT("'"&amp;$C$1&amp;"'!AE59")= "","",INDIRECT("'"&amp;$C$1&amp;"'!AE59"))</f>
        <v/>
      </c>
      <c r="AG87" s="15" t="str">
        <f ca="1">IF(INDIRECT("'"&amp;$C$1&amp;"'!AF59")= "","",INDIRECT("'"&amp;$C$1&amp;"'!AF59"))</f>
        <v>Y</v>
      </c>
      <c r="AH87" s="15" t="str">
        <f ca="1">IF(INDIRECT("'"&amp;$C$1&amp;"'!AG59")= "","",INDIRECT("'"&amp;$C$1&amp;"'!AG59"))</f>
        <v/>
      </c>
      <c r="AI87" s="15" t="str">
        <f ca="1">IF(INDIRECT("'"&amp;$C$1&amp;"'!AH59")= "","",INDIRECT("'"&amp;$C$1&amp;"'!AH59"))</f>
        <v/>
      </c>
      <c r="AJ87" s="15" t="str">
        <f ca="1">IF(INDIRECT("'"&amp;$C$1&amp;"'!AI59")= "","",INDIRECT("'"&amp;$C$1&amp;"'!AI59"))</f>
        <v/>
      </c>
      <c r="AK87" s="15" t="str">
        <f ca="1">IF(INDIRECT("'"&amp;$C$1&amp;"'!AJ59")= "","",INDIRECT("'"&amp;$C$1&amp;"'!AJ59"))</f>
        <v/>
      </c>
      <c r="AL87" s="15" t="str">
        <f ca="1">IF(INDIRECT("'"&amp;$C$1&amp;"'!AK59")= "","",INDIRECT("'"&amp;$C$1&amp;"'!AK59"))</f>
        <v/>
      </c>
      <c r="AM87" s="15" t="str">
        <f ca="1">IF(INDIRECT("'"&amp;$C$1&amp;"'!AL59")= "","",INDIRECT("'"&amp;$C$1&amp;"'!AL59"))</f>
        <v/>
      </c>
      <c r="AN87" s="15" t="str">
        <f ca="1">IF(INDIRECT("'"&amp;$C$1&amp;"'!AM59")= "","",INDIRECT("'"&amp;$C$1&amp;"'!AM59"))</f>
        <v/>
      </c>
      <c r="AO87" s="139" t="s">
        <v>25</v>
      </c>
    </row>
    <row r="88" spans="3:41" hidden="1">
      <c r="C88" s="125" t="str">
        <f ca="1">CONCATENATE(IF(INDIRECT("'"&amp;$C$1&amp;"'!B60")= "","",INDIRECT("'"&amp;$C$1&amp;"'!B60"))," ",IF(INDIRECT("'"&amp;$C$1&amp;"'!C60")= "","",INDIRECT("'"&amp;$C$1&amp;"'!C60")))</f>
        <v>aspected by second lord</v>
      </c>
      <c r="D88" s="15"/>
      <c r="E88" s="15" t="str">
        <f ca="1">IF(INDIRECT("'"&amp;$C$1&amp;"'!D60")= "","",INDIRECT("'"&amp;$C$1&amp;"'!D60"))</f>
        <v/>
      </c>
      <c r="F88" s="15" t="str">
        <f ca="1">IF(INDIRECT("'"&amp;$C$1&amp;"'!E60")= "","",INDIRECT("'"&amp;$C$1&amp;"'!E60"))</f>
        <v/>
      </c>
      <c r="G88" s="15" t="str">
        <f ca="1">IF(INDIRECT("'"&amp;$C$1&amp;"'!F60")= "","",INDIRECT("'"&amp;$C$1&amp;"'!F60"))</f>
        <v/>
      </c>
      <c r="H88" s="15" t="str">
        <f ca="1">IF(INDIRECT("'"&amp;$C$1&amp;"'!G60")= "","",INDIRECT("'"&amp;$C$1&amp;"'!G60"))</f>
        <v/>
      </c>
      <c r="I88" s="15" t="str">
        <f ca="1">IF(INDIRECT("'"&amp;$C$1&amp;"'!H60")= "","",INDIRECT("'"&amp;$C$1&amp;"'!H60"))</f>
        <v/>
      </c>
      <c r="J88" s="15" t="str">
        <f ca="1">IF(INDIRECT("'"&amp;$C$1&amp;"'!I60")= "","",INDIRECT("'"&amp;$C$1&amp;"'!I60"))</f>
        <v/>
      </c>
      <c r="K88" s="15" t="str">
        <f ca="1">IF(INDIRECT("'"&amp;$C$1&amp;"'!J60")= "","",INDIRECT("'"&amp;$C$1&amp;"'!J60"))</f>
        <v>Y</v>
      </c>
      <c r="L88" s="15" t="str">
        <f ca="1">IF(INDIRECT("'"&amp;$C$1&amp;"'!K60")= "","",INDIRECT("'"&amp;$C$1&amp;"'!K60"))</f>
        <v/>
      </c>
      <c r="M88" s="15" t="str">
        <f ca="1">IF(INDIRECT("'"&amp;$C$1&amp;"'!L60")= "","",INDIRECT("'"&amp;$C$1&amp;"'!L60"))</f>
        <v/>
      </c>
      <c r="N88" s="15" t="str">
        <f ca="1">IF(INDIRECT("'"&amp;$C$1&amp;"'!M60")= "","",INDIRECT("'"&amp;$C$1&amp;"'!M60"))</f>
        <v/>
      </c>
      <c r="O88" s="15" t="str">
        <f ca="1">IF(INDIRECT("'"&amp;$C$1&amp;"'!E60")= "","",INDIRECT("'"&amp;$C$1&amp;"'!E60"))</f>
        <v/>
      </c>
      <c r="P88" s="15" t="str">
        <f ca="1">IF(INDIRECT("'"&amp;$C$1&amp;"'!O60")= "","",INDIRECT("'"&amp;$C$1&amp;"'!O60"))</f>
        <v/>
      </c>
      <c r="Q88" s="15" t="str">
        <f ca="1">IF(INDIRECT("'"&amp;$C$1&amp;"'!P60")= "","",INDIRECT("'"&amp;$C$1&amp;"'!P60"))</f>
        <v/>
      </c>
      <c r="R88" s="15" t="str">
        <f ca="1">IF(INDIRECT("'"&amp;$C$1&amp;"'!Q60")= "","",INDIRECT("'"&amp;$C$1&amp;"'!Q60"))</f>
        <v>Y</v>
      </c>
      <c r="S88" s="15" t="str">
        <f ca="1">IF(INDIRECT("'"&amp;$C$1&amp;"'!R60")= "","",INDIRECT("'"&amp;$C$1&amp;"'!R60"))</f>
        <v/>
      </c>
      <c r="T88" s="15" t="str">
        <f ca="1">IF(INDIRECT("'"&amp;$C$1&amp;"'!S60")= "","",INDIRECT("'"&amp;$C$1&amp;"'!S60"))</f>
        <v/>
      </c>
      <c r="U88" s="15" t="str">
        <f ca="1">IF(INDIRECT("'"&amp;$C$1&amp;"'!T60")= "","",INDIRECT("'"&amp;$C$1&amp;"'!T60"))</f>
        <v>Y</v>
      </c>
      <c r="V88" s="15" t="str">
        <f ca="1">IF(INDIRECT("'"&amp;$C$1&amp;"'!U60")= "","",INDIRECT("'"&amp;$C$1&amp;"'!U60"))</f>
        <v/>
      </c>
      <c r="W88" s="15" t="str">
        <f ca="1">IF(INDIRECT("'"&amp;$C$1&amp;"'!V60")= "","",INDIRECT("'"&amp;$C$1&amp;"'!V60"))</f>
        <v/>
      </c>
      <c r="X88" s="15" t="str">
        <f ca="1">IF(INDIRECT("'"&amp;$C$1&amp;"'!W60")= "","",INDIRECT("'"&amp;$C$1&amp;"'!W60"))</f>
        <v/>
      </c>
      <c r="Y88" s="15" t="str">
        <f ca="1">IF(INDIRECT("'"&amp;$C$1&amp;"'!X60")= "","",INDIRECT("'"&amp;$C$1&amp;"'!X60"))</f>
        <v/>
      </c>
      <c r="Z88" s="15" t="str">
        <f ca="1">IF(INDIRECT("'"&amp;$C$1&amp;"'!Y60")= "","",INDIRECT("'"&amp;$C$1&amp;"'!Y60"))</f>
        <v/>
      </c>
      <c r="AA88" s="15" t="str">
        <f ca="1">IF(INDIRECT("'"&amp;$C$1&amp;"'!Z60")= "","",INDIRECT("'"&amp;$C$1&amp;"'!Z60"))</f>
        <v/>
      </c>
      <c r="AB88" s="15" t="str">
        <f ca="1">IF(INDIRECT("'"&amp;$C$1&amp;"'!E60")= "","",INDIRECT("'"&amp;$C$1&amp;"'!E60"))</f>
        <v/>
      </c>
      <c r="AC88" s="15" t="str">
        <f ca="1">IF(INDIRECT("'"&amp;$C$1&amp;"'!AB60")= "","",INDIRECT("'"&amp;$C$1&amp;"'!AB60"))</f>
        <v/>
      </c>
      <c r="AD88" s="15" t="str">
        <f ca="1">IF(INDIRECT("'"&amp;$C$1&amp;"'!AC60")= "","",INDIRECT("'"&amp;$C$1&amp;"'!AC60"))</f>
        <v/>
      </c>
      <c r="AE88" s="15" t="str">
        <f ca="1">IF(INDIRECT("'"&amp;$C$1&amp;"'!AD60")= "","",INDIRECT("'"&amp;$C$1&amp;"'!AD60"))</f>
        <v/>
      </c>
      <c r="AF88" s="15" t="str">
        <f ca="1">IF(INDIRECT("'"&amp;$C$1&amp;"'!AE60")= "","",INDIRECT("'"&amp;$C$1&amp;"'!AE60"))</f>
        <v/>
      </c>
      <c r="AG88" s="15" t="str">
        <f ca="1">IF(INDIRECT("'"&amp;$C$1&amp;"'!AF60")= "","",INDIRECT("'"&amp;$C$1&amp;"'!AF60"))</f>
        <v>Y</v>
      </c>
      <c r="AH88" s="15" t="str">
        <f ca="1">IF(INDIRECT("'"&amp;$C$1&amp;"'!AG60")= "","",INDIRECT("'"&amp;$C$1&amp;"'!AG60"))</f>
        <v/>
      </c>
      <c r="AI88" s="15" t="str">
        <f ca="1">IF(INDIRECT("'"&amp;$C$1&amp;"'!AH60")= "","",INDIRECT("'"&amp;$C$1&amp;"'!AH60"))</f>
        <v/>
      </c>
      <c r="AJ88" s="15" t="str">
        <f ca="1">IF(INDIRECT("'"&amp;$C$1&amp;"'!AI60")= "","",INDIRECT("'"&amp;$C$1&amp;"'!AI60"))</f>
        <v>Y</v>
      </c>
      <c r="AK88" s="15" t="str">
        <f ca="1">IF(INDIRECT("'"&amp;$C$1&amp;"'!AJ60")= "","",INDIRECT("'"&amp;$C$1&amp;"'!AJ60"))</f>
        <v>Y</v>
      </c>
      <c r="AL88" s="15" t="str">
        <f ca="1">IF(INDIRECT("'"&amp;$C$1&amp;"'!AK60")= "","",INDIRECT("'"&amp;$C$1&amp;"'!AK60"))</f>
        <v/>
      </c>
      <c r="AM88" s="15" t="str">
        <f ca="1">IF(INDIRECT("'"&amp;$C$1&amp;"'!AL60")= "","",INDIRECT("'"&amp;$C$1&amp;"'!AL60"))</f>
        <v/>
      </c>
      <c r="AN88" s="15" t="str">
        <f ca="1">IF(INDIRECT("'"&amp;$C$1&amp;"'!AM60")= "","",INDIRECT("'"&amp;$C$1&amp;"'!AM60"))</f>
        <v/>
      </c>
      <c r="AO88" s="139" t="s">
        <v>26</v>
      </c>
    </row>
    <row r="89" spans="3:41" hidden="1">
      <c r="C89" s="125" t="str">
        <f ca="1">CONCATENATE(IF(INDIRECT("'"&amp;$C$1&amp;"'!B61")= "","",INDIRECT("'"&amp;$C$1&amp;"'!B61"))," ",IF(INDIRECT("'"&amp;$C$1&amp;"'!C61")= "","",INDIRECT("'"&amp;$C$1&amp;"'!C61")))</f>
        <v>aspected by third lord</v>
      </c>
      <c r="D89" s="15"/>
      <c r="E89" s="15" t="str">
        <f ca="1">IF(INDIRECT("'"&amp;$C$1&amp;"'!D61")= "","",INDIRECT("'"&amp;$C$1&amp;"'!D61"))</f>
        <v>Y</v>
      </c>
      <c r="F89" s="15" t="str">
        <f ca="1">IF(INDIRECT("'"&amp;$C$1&amp;"'!E61")= "","",INDIRECT("'"&amp;$C$1&amp;"'!E61"))</f>
        <v/>
      </c>
      <c r="G89" s="15" t="str">
        <f ca="1">IF(INDIRECT("'"&amp;$C$1&amp;"'!F61")= "","",INDIRECT("'"&amp;$C$1&amp;"'!F61"))</f>
        <v/>
      </c>
      <c r="H89" s="15" t="str">
        <f ca="1">IF(INDIRECT("'"&amp;$C$1&amp;"'!G61")= "","",INDIRECT("'"&amp;$C$1&amp;"'!G61"))</f>
        <v/>
      </c>
      <c r="I89" s="15" t="str">
        <f ca="1">IF(INDIRECT("'"&amp;$C$1&amp;"'!H61")= "","",INDIRECT("'"&amp;$C$1&amp;"'!H61"))</f>
        <v>Y</v>
      </c>
      <c r="J89" s="15" t="str">
        <f ca="1">IF(INDIRECT("'"&amp;$C$1&amp;"'!I61")= "","",INDIRECT("'"&amp;$C$1&amp;"'!I61"))</f>
        <v/>
      </c>
      <c r="K89" s="15" t="str">
        <f ca="1">IF(INDIRECT("'"&amp;$C$1&amp;"'!J61")= "","",INDIRECT("'"&amp;$C$1&amp;"'!J61"))</f>
        <v/>
      </c>
      <c r="L89" s="15" t="str">
        <f ca="1">IF(INDIRECT("'"&amp;$C$1&amp;"'!K61")= "","",INDIRECT("'"&amp;$C$1&amp;"'!K61"))</f>
        <v>Y</v>
      </c>
      <c r="M89" s="15" t="str">
        <f ca="1">IF(INDIRECT("'"&amp;$C$1&amp;"'!L61")= "","",INDIRECT("'"&amp;$C$1&amp;"'!L61"))</f>
        <v/>
      </c>
      <c r="N89" s="15" t="str">
        <f ca="1">IF(INDIRECT("'"&amp;$C$1&amp;"'!M61")= "","",INDIRECT("'"&amp;$C$1&amp;"'!M61"))</f>
        <v/>
      </c>
      <c r="O89" s="15" t="str">
        <f ca="1">IF(INDIRECT("'"&amp;$C$1&amp;"'!E61")= "","",INDIRECT("'"&amp;$C$1&amp;"'!E61"))</f>
        <v/>
      </c>
      <c r="P89" s="15" t="str">
        <f ca="1">IF(INDIRECT("'"&amp;$C$1&amp;"'!O61")= "","",INDIRECT("'"&amp;$C$1&amp;"'!O61"))</f>
        <v>Y</v>
      </c>
      <c r="Q89" s="15" t="str">
        <f ca="1">IF(INDIRECT("'"&amp;$C$1&amp;"'!P61")= "","",INDIRECT("'"&amp;$C$1&amp;"'!P61"))</f>
        <v/>
      </c>
      <c r="R89" s="15" t="str">
        <f ca="1">IF(INDIRECT("'"&amp;$C$1&amp;"'!Q61")= "","",INDIRECT("'"&amp;$C$1&amp;"'!Q61"))</f>
        <v/>
      </c>
      <c r="S89" s="15" t="str">
        <f ca="1">IF(INDIRECT("'"&amp;$C$1&amp;"'!R61")= "","",INDIRECT("'"&amp;$C$1&amp;"'!R61"))</f>
        <v>Y</v>
      </c>
      <c r="T89" s="15" t="str">
        <f ca="1">IF(INDIRECT("'"&amp;$C$1&amp;"'!S61")= "","",INDIRECT("'"&amp;$C$1&amp;"'!S61"))</f>
        <v>Y</v>
      </c>
      <c r="U89" s="15" t="str">
        <f ca="1">IF(INDIRECT("'"&amp;$C$1&amp;"'!T61")= "","",INDIRECT("'"&amp;$C$1&amp;"'!T61"))</f>
        <v/>
      </c>
      <c r="V89" s="15" t="str">
        <f ca="1">IF(INDIRECT("'"&amp;$C$1&amp;"'!U61")= "","",INDIRECT("'"&amp;$C$1&amp;"'!U61"))</f>
        <v/>
      </c>
      <c r="W89" s="15" t="str">
        <f ca="1">IF(INDIRECT("'"&amp;$C$1&amp;"'!V61")= "","",INDIRECT("'"&amp;$C$1&amp;"'!V61"))</f>
        <v>Y</v>
      </c>
      <c r="X89" s="15" t="str">
        <f ca="1">IF(INDIRECT("'"&amp;$C$1&amp;"'!W61")= "","",INDIRECT("'"&amp;$C$1&amp;"'!W61"))</f>
        <v/>
      </c>
      <c r="Y89" s="15" t="str">
        <f ca="1">IF(INDIRECT("'"&amp;$C$1&amp;"'!X61")= "","",INDIRECT("'"&amp;$C$1&amp;"'!X61"))</f>
        <v/>
      </c>
      <c r="Z89" s="15" t="str">
        <f ca="1">IF(INDIRECT("'"&amp;$C$1&amp;"'!Y61")= "","",INDIRECT("'"&amp;$C$1&amp;"'!Y61"))</f>
        <v/>
      </c>
      <c r="AA89" s="15" t="str">
        <f ca="1">IF(INDIRECT("'"&amp;$C$1&amp;"'!Z61")= "","",INDIRECT("'"&amp;$C$1&amp;"'!Z61"))</f>
        <v/>
      </c>
      <c r="AB89" s="15" t="str">
        <f ca="1">IF(INDIRECT("'"&amp;$C$1&amp;"'!E61")= "","",INDIRECT("'"&amp;$C$1&amp;"'!E61"))</f>
        <v/>
      </c>
      <c r="AC89" s="15" t="str">
        <f ca="1">IF(INDIRECT("'"&amp;$C$1&amp;"'!AB61")= "","",INDIRECT("'"&amp;$C$1&amp;"'!AB61"))</f>
        <v>Y</v>
      </c>
      <c r="AD89" s="15" t="str">
        <f ca="1">IF(INDIRECT("'"&amp;$C$1&amp;"'!AC61")= "","",INDIRECT("'"&amp;$C$1&amp;"'!AC61"))</f>
        <v/>
      </c>
      <c r="AE89" s="15" t="str">
        <f ca="1">IF(INDIRECT("'"&amp;$C$1&amp;"'!AD61")= "","",INDIRECT("'"&amp;$C$1&amp;"'!AD61"))</f>
        <v/>
      </c>
      <c r="AF89" s="15" t="str">
        <f ca="1">IF(INDIRECT("'"&amp;$C$1&amp;"'!AE61")= "","",INDIRECT("'"&amp;$C$1&amp;"'!AE61"))</f>
        <v/>
      </c>
      <c r="AG89" s="15" t="str">
        <f ca="1">IF(INDIRECT("'"&amp;$C$1&amp;"'!AF61")= "","",INDIRECT("'"&amp;$C$1&amp;"'!AF61"))</f>
        <v/>
      </c>
      <c r="AH89" s="15" t="str">
        <f ca="1">IF(INDIRECT("'"&amp;$C$1&amp;"'!AG61")= "","",INDIRECT("'"&amp;$C$1&amp;"'!AG61"))</f>
        <v/>
      </c>
      <c r="AI89" s="15" t="str">
        <f ca="1">IF(INDIRECT("'"&amp;$C$1&amp;"'!AH61")= "","",INDIRECT("'"&amp;$C$1&amp;"'!AH61"))</f>
        <v/>
      </c>
      <c r="AJ89" s="15" t="str">
        <f ca="1">IF(INDIRECT("'"&amp;$C$1&amp;"'!AI61")= "","",INDIRECT("'"&amp;$C$1&amp;"'!AI61"))</f>
        <v/>
      </c>
      <c r="AK89" s="15" t="str">
        <f ca="1">IF(INDIRECT("'"&amp;$C$1&amp;"'!AJ61")= "","",INDIRECT("'"&amp;$C$1&amp;"'!AJ61"))</f>
        <v>Y</v>
      </c>
      <c r="AL89" s="15" t="str">
        <f ca="1">IF(INDIRECT("'"&amp;$C$1&amp;"'!AK61")= "","",INDIRECT("'"&amp;$C$1&amp;"'!AK61"))</f>
        <v/>
      </c>
      <c r="AM89" s="15" t="str">
        <f ca="1">IF(INDIRECT("'"&amp;$C$1&amp;"'!AL61")= "","",INDIRECT("'"&amp;$C$1&amp;"'!AL61"))</f>
        <v>Y</v>
      </c>
      <c r="AN89" s="15" t="str">
        <f ca="1">IF(INDIRECT("'"&amp;$C$1&amp;"'!AM61")= "","",INDIRECT("'"&amp;$C$1&amp;"'!AM61"))</f>
        <v/>
      </c>
      <c r="AO89" s="139" t="s">
        <v>27</v>
      </c>
    </row>
    <row r="90" spans="3:41" hidden="1">
      <c r="C90" s="125" t="str">
        <f ca="1">CONCATENATE(IF(INDIRECT("'"&amp;$C$1&amp;"'!B62")= "","",INDIRECT("'"&amp;$C$1&amp;"'!B62"))," ",IF(INDIRECT("'"&amp;$C$1&amp;"'!C62")= "","",INDIRECT("'"&amp;$C$1&amp;"'!C62")))</f>
        <v>aspected by fourth lord</v>
      </c>
      <c r="D90" s="15"/>
      <c r="E90" s="15" t="str">
        <f ca="1">IF(INDIRECT("'"&amp;$C$1&amp;"'!D62")= "","",INDIRECT("'"&amp;$C$1&amp;"'!D62"))</f>
        <v>Y</v>
      </c>
      <c r="F90" s="15" t="str">
        <f ca="1">IF(INDIRECT("'"&amp;$C$1&amp;"'!E62")= "","",INDIRECT("'"&amp;$C$1&amp;"'!E62"))</f>
        <v/>
      </c>
      <c r="G90" s="15" t="str">
        <f ca="1">IF(INDIRECT("'"&amp;$C$1&amp;"'!F62")= "","",INDIRECT("'"&amp;$C$1&amp;"'!F62"))</f>
        <v/>
      </c>
      <c r="H90" s="15" t="str">
        <f ca="1">IF(INDIRECT("'"&amp;$C$1&amp;"'!G62")= "","",INDIRECT("'"&amp;$C$1&amp;"'!G62"))</f>
        <v/>
      </c>
      <c r="I90" s="15" t="str">
        <f ca="1">IF(INDIRECT("'"&amp;$C$1&amp;"'!H62")= "","",INDIRECT("'"&amp;$C$1&amp;"'!H62"))</f>
        <v/>
      </c>
      <c r="J90" s="15" t="str">
        <f ca="1">IF(INDIRECT("'"&amp;$C$1&amp;"'!I62")= "","",INDIRECT("'"&amp;$C$1&amp;"'!I62"))</f>
        <v/>
      </c>
      <c r="K90" s="15" t="str">
        <f ca="1">IF(INDIRECT("'"&amp;$C$1&amp;"'!J62")= "","",INDIRECT("'"&amp;$C$1&amp;"'!J62"))</f>
        <v>Y</v>
      </c>
      <c r="L90" s="15" t="str">
        <f ca="1">IF(INDIRECT("'"&amp;$C$1&amp;"'!K62")= "","",INDIRECT("'"&amp;$C$1&amp;"'!K62"))</f>
        <v/>
      </c>
      <c r="M90" s="15" t="str">
        <f ca="1">IF(INDIRECT("'"&amp;$C$1&amp;"'!L62")= "","",INDIRECT("'"&amp;$C$1&amp;"'!L62"))</f>
        <v/>
      </c>
      <c r="N90" s="15" t="str">
        <f ca="1">IF(INDIRECT("'"&amp;$C$1&amp;"'!M62")= "","",INDIRECT("'"&amp;$C$1&amp;"'!M62"))</f>
        <v/>
      </c>
      <c r="O90" s="15" t="str">
        <f ca="1">IF(INDIRECT("'"&amp;$C$1&amp;"'!E62")= "","",INDIRECT("'"&amp;$C$1&amp;"'!E62"))</f>
        <v/>
      </c>
      <c r="P90" s="15" t="str">
        <f ca="1">IF(INDIRECT("'"&amp;$C$1&amp;"'!O62")= "","",INDIRECT("'"&amp;$C$1&amp;"'!O62"))</f>
        <v/>
      </c>
      <c r="Q90" s="15" t="str">
        <f ca="1">IF(INDIRECT("'"&amp;$C$1&amp;"'!P62")= "","",INDIRECT("'"&amp;$C$1&amp;"'!P62"))</f>
        <v/>
      </c>
      <c r="R90" s="15" t="str">
        <f ca="1">IF(INDIRECT("'"&amp;$C$1&amp;"'!Q62")= "","",INDIRECT("'"&amp;$C$1&amp;"'!Q62"))</f>
        <v>Y</v>
      </c>
      <c r="S90" s="15" t="str">
        <f ca="1">IF(INDIRECT("'"&amp;$C$1&amp;"'!R62")= "","",INDIRECT("'"&amp;$C$1&amp;"'!R62"))</f>
        <v/>
      </c>
      <c r="T90" s="15" t="str">
        <f ca="1">IF(INDIRECT("'"&amp;$C$1&amp;"'!S62")= "","",INDIRECT("'"&amp;$C$1&amp;"'!S62"))</f>
        <v/>
      </c>
      <c r="U90" s="15" t="str">
        <f ca="1">IF(INDIRECT("'"&amp;$C$1&amp;"'!T62")= "","",INDIRECT("'"&amp;$C$1&amp;"'!T62"))</f>
        <v>Y</v>
      </c>
      <c r="V90" s="15" t="str">
        <f ca="1">IF(INDIRECT("'"&amp;$C$1&amp;"'!U62")= "","",INDIRECT("'"&amp;$C$1&amp;"'!U62"))</f>
        <v/>
      </c>
      <c r="W90" s="15" t="str">
        <f ca="1">IF(INDIRECT("'"&amp;$C$1&amp;"'!V62")= "","",INDIRECT("'"&amp;$C$1&amp;"'!V62"))</f>
        <v/>
      </c>
      <c r="X90" s="15" t="str">
        <f ca="1">IF(INDIRECT("'"&amp;$C$1&amp;"'!W62")= "","",INDIRECT("'"&amp;$C$1&amp;"'!W62"))</f>
        <v/>
      </c>
      <c r="Y90" s="15" t="str">
        <f ca="1">IF(INDIRECT("'"&amp;$C$1&amp;"'!X62")= "","",INDIRECT("'"&amp;$C$1&amp;"'!X62"))</f>
        <v/>
      </c>
      <c r="Z90" s="15" t="str">
        <f ca="1">IF(INDIRECT("'"&amp;$C$1&amp;"'!Y62")= "","",INDIRECT("'"&amp;$C$1&amp;"'!Y62"))</f>
        <v/>
      </c>
      <c r="AA90" s="15" t="str">
        <f ca="1">IF(INDIRECT("'"&amp;$C$1&amp;"'!Z62")= "","",INDIRECT("'"&amp;$C$1&amp;"'!Z62"))</f>
        <v/>
      </c>
      <c r="AB90" s="15" t="str">
        <f ca="1">IF(INDIRECT("'"&amp;$C$1&amp;"'!E62")= "","",INDIRECT("'"&amp;$C$1&amp;"'!E62"))</f>
        <v/>
      </c>
      <c r="AC90" s="15" t="str">
        <f ca="1">IF(INDIRECT("'"&amp;$C$1&amp;"'!AB62")= "","",INDIRECT("'"&amp;$C$1&amp;"'!AB62"))</f>
        <v>Y</v>
      </c>
      <c r="AD90" s="15" t="str">
        <f ca="1">IF(INDIRECT("'"&amp;$C$1&amp;"'!AC62")= "","",INDIRECT("'"&amp;$C$1&amp;"'!AC62"))</f>
        <v/>
      </c>
      <c r="AE90" s="15" t="str">
        <f ca="1">IF(INDIRECT("'"&amp;$C$1&amp;"'!AD62")= "","",INDIRECT("'"&amp;$C$1&amp;"'!AD62"))</f>
        <v/>
      </c>
      <c r="AF90" s="15" t="str">
        <f ca="1">IF(INDIRECT("'"&amp;$C$1&amp;"'!AE62")= "","",INDIRECT("'"&amp;$C$1&amp;"'!AE62"))</f>
        <v/>
      </c>
      <c r="AG90" s="15" t="str">
        <f ca="1">IF(INDIRECT("'"&amp;$C$1&amp;"'!AF62")= "","",INDIRECT("'"&amp;$C$1&amp;"'!AF62"))</f>
        <v>Y</v>
      </c>
      <c r="AH90" s="15" t="str">
        <f ca="1">IF(INDIRECT("'"&amp;$C$1&amp;"'!AG62")= "","",INDIRECT("'"&amp;$C$1&amp;"'!AG62"))</f>
        <v/>
      </c>
      <c r="AI90" s="15" t="str">
        <f ca="1">IF(INDIRECT("'"&amp;$C$1&amp;"'!AH62")= "","",INDIRECT("'"&amp;$C$1&amp;"'!AH62"))</f>
        <v/>
      </c>
      <c r="AJ90" s="15" t="str">
        <f ca="1">IF(INDIRECT("'"&amp;$C$1&amp;"'!AI62")= "","",INDIRECT("'"&amp;$C$1&amp;"'!AI62"))</f>
        <v>Y</v>
      </c>
      <c r="AK90" s="15" t="str">
        <f ca="1">IF(INDIRECT("'"&amp;$C$1&amp;"'!AJ62")= "","",INDIRECT("'"&amp;$C$1&amp;"'!AJ62"))</f>
        <v/>
      </c>
      <c r="AL90" s="15" t="str">
        <f ca="1">IF(INDIRECT("'"&amp;$C$1&amp;"'!AK62")= "","",INDIRECT("'"&amp;$C$1&amp;"'!AK62"))</f>
        <v/>
      </c>
      <c r="AM90" s="15" t="str">
        <f ca="1">IF(INDIRECT("'"&amp;$C$1&amp;"'!AL62")= "","",INDIRECT("'"&amp;$C$1&amp;"'!AL62"))</f>
        <v/>
      </c>
      <c r="AN90" s="15" t="str">
        <f ca="1">IF(INDIRECT("'"&amp;$C$1&amp;"'!AM62")= "","",INDIRECT("'"&amp;$C$1&amp;"'!AM62"))</f>
        <v/>
      </c>
      <c r="AO90" s="139" t="s">
        <v>28</v>
      </c>
    </row>
    <row r="91" spans="3:41" hidden="1">
      <c r="C91" s="125" t="str">
        <f ca="1">CONCATENATE(IF(INDIRECT("'"&amp;$C$1&amp;"'!B63")= "","",INDIRECT("'"&amp;$C$1&amp;"'!B63"))," ",IF(INDIRECT("'"&amp;$C$1&amp;"'!C63")= "","",INDIRECT("'"&amp;$C$1&amp;"'!C63")))</f>
        <v>aspected by fifth lord</v>
      </c>
      <c r="D91" s="15"/>
      <c r="E91" s="15" t="str">
        <f ca="1">IF(INDIRECT("'"&amp;$C$1&amp;"'!D63")= "","",INDIRECT("'"&amp;$C$1&amp;"'!D63"))</f>
        <v>Y</v>
      </c>
      <c r="F91" s="15" t="str">
        <f ca="1">IF(INDIRECT("'"&amp;$C$1&amp;"'!E63")= "","",INDIRECT("'"&amp;$C$1&amp;"'!E63"))</f>
        <v/>
      </c>
      <c r="G91" s="15" t="str">
        <f ca="1">IF(INDIRECT("'"&amp;$C$1&amp;"'!F63")= "","",INDIRECT("'"&amp;$C$1&amp;"'!F63"))</f>
        <v/>
      </c>
      <c r="H91" s="15" t="str">
        <f ca="1">IF(INDIRECT("'"&amp;$C$1&amp;"'!G63")= "","",INDIRECT("'"&amp;$C$1&amp;"'!G63"))</f>
        <v/>
      </c>
      <c r="I91" s="15" t="str">
        <f ca="1">IF(INDIRECT("'"&amp;$C$1&amp;"'!H63")= "","",INDIRECT("'"&amp;$C$1&amp;"'!H63"))</f>
        <v/>
      </c>
      <c r="J91" s="15" t="str">
        <f ca="1">IF(INDIRECT("'"&amp;$C$1&amp;"'!I63")= "","",INDIRECT("'"&amp;$C$1&amp;"'!I63"))</f>
        <v/>
      </c>
      <c r="K91" s="15" t="str">
        <f ca="1">IF(INDIRECT("'"&amp;$C$1&amp;"'!J63")= "","",INDIRECT("'"&amp;$C$1&amp;"'!J63"))</f>
        <v>Y</v>
      </c>
      <c r="L91" s="15" t="str">
        <f ca="1">IF(INDIRECT("'"&amp;$C$1&amp;"'!K63")= "","",INDIRECT("'"&amp;$C$1&amp;"'!K63"))</f>
        <v/>
      </c>
      <c r="M91" s="15" t="str">
        <f ca="1">IF(INDIRECT("'"&amp;$C$1&amp;"'!L63")= "","",INDIRECT("'"&amp;$C$1&amp;"'!L63"))</f>
        <v/>
      </c>
      <c r="N91" s="15" t="str">
        <f ca="1">IF(INDIRECT("'"&amp;$C$1&amp;"'!M63")= "","",INDIRECT("'"&amp;$C$1&amp;"'!M63"))</f>
        <v/>
      </c>
      <c r="O91" s="15" t="str">
        <f ca="1">IF(INDIRECT("'"&amp;$C$1&amp;"'!E63")= "","",INDIRECT("'"&amp;$C$1&amp;"'!E63"))</f>
        <v/>
      </c>
      <c r="P91" s="15" t="str">
        <f ca="1">IF(INDIRECT("'"&amp;$C$1&amp;"'!O63")= "","",INDIRECT("'"&amp;$C$1&amp;"'!O63"))</f>
        <v/>
      </c>
      <c r="Q91" s="15" t="str">
        <f ca="1">IF(INDIRECT("'"&amp;$C$1&amp;"'!P63")= "","",INDIRECT("'"&amp;$C$1&amp;"'!P63"))</f>
        <v/>
      </c>
      <c r="R91" s="15" t="str">
        <f ca="1">IF(INDIRECT("'"&amp;$C$1&amp;"'!Q63")= "","",INDIRECT("'"&amp;$C$1&amp;"'!Q63"))</f>
        <v>Y</v>
      </c>
      <c r="S91" s="15" t="str">
        <f ca="1">IF(INDIRECT("'"&amp;$C$1&amp;"'!R63")= "","",INDIRECT("'"&amp;$C$1&amp;"'!R63"))</f>
        <v/>
      </c>
      <c r="T91" s="15" t="str">
        <f ca="1">IF(INDIRECT("'"&amp;$C$1&amp;"'!S63")= "","",INDIRECT("'"&amp;$C$1&amp;"'!S63"))</f>
        <v/>
      </c>
      <c r="U91" s="15" t="str">
        <f ca="1">IF(INDIRECT("'"&amp;$C$1&amp;"'!T63")= "","",INDIRECT("'"&amp;$C$1&amp;"'!T63"))</f>
        <v>Y</v>
      </c>
      <c r="V91" s="15" t="str">
        <f ca="1">IF(INDIRECT("'"&amp;$C$1&amp;"'!U63")= "","",INDIRECT("'"&amp;$C$1&amp;"'!U63"))</f>
        <v/>
      </c>
      <c r="W91" s="15" t="str">
        <f ca="1">IF(INDIRECT("'"&amp;$C$1&amp;"'!V63")= "","",INDIRECT("'"&amp;$C$1&amp;"'!V63"))</f>
        <v/>
      </c>
      <c r="X91" s="15" t="str">
        <f ca="1">IF(INDIRECT("'"&amp;$C$1&amp;"'!W63")= "","",INDIRECT("'"&amp;$C$1&amp;"'!W63"))</f>
        <v/>
      </c>
      <c r="Y91" s="15" t="str">
        <f ca="1">IF(INDIRECT("'"&amp;$C$1&amp;"'!X63")= "","",INDIRECT("'"&amp;$C$1&amp;"'!X63"))</f>
        <v/>
      </c>
      <c r="Z91" s="15" t="str">
        <f ca="1">IF(INDIRECT("'"&amp;$C$1&amp;"'!Y63")= "","",INDIRECT("'"&amp;$C$1&amp;"'!Y63"))</f>
        <v/>
      </c>
      <c r="AA91" s="15" t="str">
        <f ca="1">IF(INDIRECT("'"&amp;$C$1&amp;"'!Z63")= "","",INDIRECT("'"&amp;$C$1&amp;"'!Z63"))</f>
        <v/>
      </c>
      <c r="AB91" s="15" t="str">
        <f ca="1">IF(INDIRECT("'"&amp;$C$1&amp;"'!E63")= "","",INDIRECT("'"&amp;$C$1&amp;"'!E63"))</f>
        <v/>
      </c>
      <c r="AC91" s="15" t="str">
        <f ca="1">IF(INDIRECT("'"&amp;$C$1&amp;"'!AB63")= "","",INDIRECT("'"&amp;$C$1&amp;"'!AB63"))</f>
        <v>Y</v>
      </c>
      <c r="AD91" s="15" t="str">
        <f ca="1">IF(INDIRECT("'"&amp;$C$1&amp;"'!AC63")= "","",INDIRECT("'"&amp;$C$1&amp;"'!AC63"))</f>
        <v/>
      </c>
      <c r="AE91" s="15" t="str">
        <f ca="1">IF(INDIRECT("'"&amp;$C$1&amp;"'!AD63")= "","",INDIRECT("'"&amp;$C$1&amp;"'!AD63"))</f>
        <v/>
      </c>
      <c r="AF91" s="15" t="str">
        <f ca="1">IF(INDIRECT("'"&amp;$C$1&amp;"'!AE63")= "","",INDIRECT("'"&amp;$C$1&amp;"'!AE63"))</f>
        <v/>
      </c>
      <c r="AG91" s="15" t="str">
        <f ca="1">IF(INDIRECT("'"&amp;$C$1&amp;"'!AF63")= "","",INDIRECT("'"&amp;$C$1&amp;"'!AF63"))</f>
        <v>Y</v>
      </c>
      <c r="AH91" s="15" t="str">
        <f ca="1">IF(INDIRECT("'"&amp;$C$1&amp;"'!AG63")= "","",INDIRECT("'"&amp;$C$1&amp;"'!AG63"))</f>
        <v/>
      </c>
      <c r="AI91" s="15" t="str">
        <f ca="1">IF(INDIRECT("'"&amp;$C$1&amp;"'!AH63")= "","",INDIRECT("'"&amp;$C$1&amp;"'!AH63"))</f>
        <v/>
      </c>
      <c r="AJ91" s="15" t="str">
        <f ca="1">IF(INDIRECT("'"&amp;$C$1&amp;"'!AI63")= "","",INDIRECT("'"&amp;$C$1&amp;"'!AI63"))</f>
        <v>Y</v>
      </c>
      <c r="AK91" s="15" t="str">
        <f ca="1">IF(INDIRECT("'"&amp;$C$1&amp;"'!AJ63")= "","",INDIRECT("'"&amp;$C$1&amp;"'!AJ63"))</f>
        <v/>
      </c>
      <c r="AL91" s="15" t="str">
        <f ca="1">IF(INDIRECT("'"&amp;$C$1&amp;"'!AK63")= "","",INDIRECT("'"&amp;$C$1&amp;"'!AK63"))</f>
        <v/>
      </c>
      <c r="AM91" s="15" t="str">
        <f ca="1">IF(INDIRECT("'"&amp;$C$1&amp;"'!AL63")= "","",INDIRECT("'"&amp;$C$1&amp;"'!AL63"))</f>
        <v/>
      </c>
      <c r="AN91" s="15" t="str">
        <f ca="1">IF(INDIRECT("'"&amp;$C$1&amp;"'!AM63")= "","",INDIRECT("'"&amp;$C$1&amp;"'!AM63"))</f>
        <v/>
      </c>
      <c r="AO91" s="139" t="s">
        <v>29</v>
      </c>
    </row>
    <row r="92" spans="3:41" hidden="1">
      <c r="C92" s="125" t="str">
        <f ca="1">CONCATENATE(IF(INDIRECT("'"&amp;$C$1&amp;"'!B64")= "","",INDIRECT("'"&amp;$C$1&amp;"'!B64"))," ",IF(INDIRECT("'"&amp;$C$1&amp;"'!C64")= "","",INDIRECT("'"&amp;$C$1&amp;"'!C64")))</f>
        <v>aspected by sixth lord</v>
      </c>
      <c r="D92" s="15"/>
      <c r="E92" s="15" t="str">
        <f ca="1">IF(INDIRECT("'"&amp;$C$1&amp;"'!D64")= "","",INDIRECT("'"&amp;$C$1&amp;"'!D64"))</f>
        <v>Y</v>
      </c>
      <c r="F92" s="15" t="str">
        <f ca="1">IF(INDIRECT("'"&amp;$C$1&amp;"'!E64")= "","",INDIRECT("'"&amp;$C$1&amp;"'!E64"))</f>
        <v/>
      </c>
      <c r="G92" s="15" t="str">
        <f ca="1">IF(INDIRECT("'"&amp;$C$1&amp;"'!F64")= "","",INDIRECT("'"&amp;$C$1&amp;"'!F64"))</f>
        <v/>
      </c>
      <c r="H92" s="15" t="str">
        <f ca="1">IF(INDIRECT("'"&amp;$C$1&amp;"'!G64")= "","",INDIRECT("'"&amp;$C$1&amp;"'!G64"))</f>
        <v/>
      </c>
      <c r="I92" s="15" t="str">
        <f ca="1">IF(INDIRECT("'"&amp;$C$1&amp;"'!H64")= "","",INDIRECT("'"&amp;$C$1&amp;"'!H64"))</f>
        <v>Y</v>
      </c>
      <c r="J92" s="15" t="str">
        <f ca="1">IF(INDIRECT("'"&amp;$C$1&amp;"'!I64")= "","",INDIRECT("'"&amp;$C$1&amp;"'!I64"))</f>
        <v/>
      </c>
      <c r="K92" s="15" t="str">
        <f ca="1">IF(INDIRECT("'"&amp;$C$1&amp;"'!J64")= "","",INDIRECT("'"&amp;$C$1&amp;"'!J64"))</f>
        <v/>
      </c>
      <c r="L92" s="15" t="str">
        <f ca="1">IF(INDIRECT("'"&amp;$C$1&amp;"'!K64")= "","",INDIRECT("'"&amp;$C$1&amp;"'!K64"))</f>
        <v>Y</v>
      </c>
      <c r="M92" s="15" t="str">
        <f ca="1">IF(INDIRECT("'"&amp;$C$1&amp;"'!L64")= "","",INDIRECT("'"&amp;$C$1&amp;"'!L64"))</f>
        <v/>
      </c>
      <c r="N92" s="15" t="str">
        <f ca="1">IF(INDIRECT("'"&amp;$C$1&amp;"'!M64")= "","",INDIRECT("'"&amp;$C$1&amp;"'!M64"))</f>
        <v/>
      </c>
      <c r="O92" s="15" t="str">
        <f ca="1">IF(INDIRECT("'"&amp;$C$1&amp;"'!E64")= "","",INDIRECT("'"&amp;$C$1&amp;"'!E64"))</f>
        <v/>
      </c>
      <c r="P92" s="15" t="str">
        <f ca="1">IF(INDIRECT("'"&amp;$C$1&amp;"'!O64")= "","",INDIRECT("'"&amp;$C$1&amp;"'!O64"))</f>
        <v>Y</v>
      </c>
      <c r="Q92" s="15" t="str">
        <f ca="1">IF(INDIRECT("'"&amp;$C$1&amp;"'!P64")= "","",INDIRECT("'"&amp;$C$1&amp;"'!P64"))</f>
        <v/>
      </c>
      <c r="R92" s="15" t="str">
        <f ca="1">IF(INDIRECT("'"&amp;$C$1&amp;"'!Q64")= "","",INDIRECT("'"&amp;$C$1&amp;"'!Q64"))</f>
        <v/>
      </c>
      <c r="S92" s="15" t="str">
        <f ca="1">IF(INDIRECT("'"&amp;$C$1&amp;"'!R64")= "","",INDIRECT("'"&amp;$C$1&amp;"'!R64"))</f>
        <v>Y</v>
      </c>
      <c r="T92" s="15" t="str">
        <f ca="1">IF(INDIRECT("'"&amp;$C$1&amp;"'!S64")= "","",INDIRECT("'"&amp;$C$1&amp;"'!S64"))</f>
        <v>Y</v>
      </c>
      <c r="U92" s="15" t="str">
        <f ca="1">IF(INDIRECT("'"&amp;$C$1&amp;"'!T64")= "","",INDIRECT("'"&amp;$C$1&amp;"'!T64"))</f>
        <v/>
      </c>
      <c r="V92" s="15" t="str">
        <f ca="1">IF(INDIRECT("'"&amp;$C$1&amp;"'!U64")= "","",INDIRECT("'"&amp;$C$1&amp;"'!U64"))</f>
        <v/>
      </c>
      <c r="W92" s="15" t="str">
        <f ca="1">IF(INDIRECT("'"&amp;$C$1&amp;"'!V64")= "","",INDIRECT("'"&amp;$C$1&amp;"'!V64"))</f>
        <v>Y</v>
      </c>
      <c r="X92" s="15" t="str">
        <f ca="1">IF(INDIRECT("'"&amp;$C$1&amp;"'!W64")= "","",INDIRECT("'"&amp;$C$1&amp;"'!W64"))</f>
        <v/>
      </c>
      <c r="Y92" s="15" t="str">
        <f ca="1">IF(INDIRECT("'"&amp;$C$1&amp;"'!X64")= "","",INDIRECT("'"&amp;$C$1&amp;"'!X64"))</f>
        <v/>
      </c>
      <c r="Z92" s="15" t="str">
        <f ca="1">IF(INDIRECT("'"&amp;$C$1&amp;"'!Y64")= "","",INDIRECT("'"&amp;$C$1&amp;"'!Y64"))</f>
        <v/>
      </c>
      <c r="AA92" s="15" t="str">
        <f ca="1">IF(INDIRECT("'"&amp;$C$1&amp;"'!Z64")= "","",INDIRECT("'"&amp;$C$1&amp;"'!Z64"))</f>
        <v/>
      </c>
      <c r="AB92" s="15" t="str">
        <f ca="1">IF(INDIRECT("'"&amp;$C$1&amp;"'!E64")= "","",INDIRECT("'"&amp;$C$1&amp;"'!E64"))</f>
        <v/>
      </c>
      <c r="AC92" s="15" t="str">
        <f ca="1">IF(INDIRECT("'"&amp;$C$1&amp;"'!AB64")= "","",INDIRECT("'"&amp;$C$1&amp;"'!AB64"))</f>
        <v>Y</v>
      </c>
      <c r="AD92" s="15" t="str">
        <f ca="1">IF(INDIRECT("'"&amp;$C$1&amp;"'!AC64")= "","",INDIRECT("'"&amp;$C$1&amp;"'!AC64"))</f>
        <v/>
      </c>
      <c r="AE92" s="15" t="str">
        <f ca="1">IF(INDIRECT("'"&amp;$C$1&amp;"'!AD64")= "","",INDIRECT("'"&amp;$C$1&amp;"'!AD64"))</f>
        <v/>
      </c>
      <c r="AF92" s="15" t="str">
        <f ca="1">IF(INDIRECT("'"&amp;$C$1&amp;"'!AE64")= "","",INDIRECT("'"&amp;$C$1&amp;"'!AE64"))</f>
        <v/>
      </c>
      <c r="AG92" s="15" t="str">
        <f ca="1">IF(INDIRECT("'"&amp;$C$1&amp;"'!AF64")= "","",INDIRECT("'"&amp;$C$1&amp;"'!AF64"))</f>
        <v/>
      </c>
      <c r="AH92" s="15" t="str">
        <f ca="1">IF(INDIRECT("'"&amp;$C$1&amp;"'!AG64")= "","",INDIRECT("'"&amp;$C$1&amp;"'!AG64"))</f>
        <v/>
      </c>
      <c r="AI92" s="15" t="str">
        <f ca="1">IF(INDIRECT("'"&amp;$C$1&amp;"'!AH64")= "","",INDIRECT("'"&amp;$C$1&amp;"'!AH64"))</f>
        <v/>
      </c>
      <c r="AJ92" s="15" t="str">
        <f ca="1">IF(INDIRECT("'"&amp;$C$1&amp;"'!AI64")= "","",INDIRECT("'"&amp;$C$1&amp;"'!AI64"))</f>
        <v/>
      </c>
      <c r="AK92" s="15" t="str">
        <f ca="1">IF(INDIRECT("'"&amp;$C$1&amp;"'!AJ64")= "","",INDIRECT("'"&amp;$C$1&amp;"'!AJ64"))</f>
        <v>Y</v>
      </c>
      <c r="AL92" s="15" t="str">
        <f ca="1">IF(INDIRECT("'"&amp;$C$1&amp;"'!AK64")= "","",INDIRECT("'"&amp;$C$1&amp;"'!AK64"))</f>
        <v/>
      </c>
      <c r="AM92" s="15" t="str">
        <f ca="1">IF(INDIRECT("'"&amp;$C$1&amp;"'!AL64")= "","",INDIRECT("'"&amp;$C$1&amp;"'!AL64"))</f>
        <v>Y</v>
      </c>
      <c r="AN92" s="15" t="str">
        <f ca="1">IF(INDIRECT("'"&amp;$C$1&amp;"'!AM64")= "","",INDIRECT("'"&amp;$C$1&amp;"'!AM64"))</f>
        <v/>
      </c>
      <c r="AO92" s="139" t="s">
        <v>30</v>
      </c>
    </row>
    <row r="93" spans="3:41" hidden="1">
      <c r="C93" s="125" t="str">
        <f ca="1">CONCATENATE(IF(INDIRECT("'"&amp;$C$1&amp;"'!B65")= "","",INDIRECT("'"&amp;$C$1&amp;"'!B65"))," ",IF(INDIRECT("'"&amp;$C$1&amp;"'!C65")= "","",INDIRECT("'"&amp;$C$1&amp;"'!C65")))</f>
        <v>aspected by seventh lord</v>
      </c>
      <c r="D93" s="15"/>
      <c r="E93" s="15" t="str">
        <f ca="1">IF(INDIRECT("'"&amp;$C$1&amp;"'!D65")= "","",INDIRECT("'"&amp;$C$1&amp;"'!D65"))</f>
        <v/>
      </c>
      <c r="F93" s="15" t="str">
        <f ca="1">IF(INDIRECT("'"&amp;$C$1&amp;"'!E65")= "","",INDIRECT("'"&amp;$C$1&amp;"'!E65"))</f>
        <v/>
      </c>
      <c r="G93" s="15" t="str">
        <f ca="1">IF(INDIRECT("'"&amp;$C$1&amp;"'!F65")= "","",INDIRECT("'"&amp;$C$1&amp;"'!F65"))</f>
        <v/>
      </c>
      <c r="H93" s="15" t="str">
        <f ca="1">IF(INDIRECT("'"&amp;$C$1&amp;"'!G65")= "","",INDIRECT("'"&amp;$C$1&amp;"'!G65"))</f>
        <v/>
      </c>
      <c r="I93" s="15" t="str">
        <f ca="1">IF(INDIRECT("'"&amp;$C$1&amp;"'!H65")= "","",INDIRECT("'"&amp;$C$1&amp;"'!H65"))</f>
        <v/>
      </c>
      <c r="J93" s="15" t="str">
        <f ca="1">IF(INDIRECT("'"&amp;$C$1&amp;"'!I65")= "","",INDIRECT("'"&amp;$C$1&amp;"'!I65"))</f>
        <v/>
      </c>
      <c r="K93" s="15" t="str">
        <f ca="1">IF(INDIRECT("'"&amp;$C$1&amp;"'!J65")= "","",INDIRECT("'"&amp;$C$1&amp;"'!J65"))</f>
        <v>Y</v>
      </c>
      <c r="L93" s="15" t="str">
        <f ca="1">IF(INDIRECT("'"&amp;$C$1&amp;"'!K65")= "","",INDIRECT("'"&amp;$C$1&amp;"'!K65"))</f>
        <v/>
      </c>
      <c r="M93" s="15" t="str">
        <f ca="1">IF(INDIRECT("'"&amp;$C$1&amp;"'!L65")= "","",INDIRECT("'"&amp;$C$1&amp;"'!L65"))</f>
        <v/>
      </c>
      <c r="N93" s="15" t="str">
        <f ca="1">IF(INDIRECT("'"&amp;$C$1&amp;"'!M65")= "","",INDIRECT("'"&amp;$C$1&amp;"'!M65"))</f>
        <v/>
      </c>
      <c r="O93" s="15" t="str">
        <f ca="1">IF(INDIRECT("'"&amp;$C$1&amp;"'!E65")= "","",INDIRECT("'"&amp;$C$1&amp;"'!E65"))</f>
        <v/>
      </c>
      <c r="P93" s="15" t="str">
        <f ca="1">IF(INDIRECT("'"&amp;$C$1&amp;"'!O65")= "","",INDIRECT("'"&amp;$C$1&amp;"'!O65"))</f>
        <v/>
      </c>
      <c r="Q93" s="15" t="str">
        <f ca="1">IF(INDIRECT("'"&amp;$C$1&amp;"'!P65")= "","",INDIRECT("'"&amp;$C$1&amp;"'!P65"))</f>
        <v/>
      </c>
      <c r="R93" s="15" t="str">
        <f ca="1">IF(INDIRECT("'"&amp;$C$1&amp;"'!Q65")= "","",INDIRECT("'"&amp;$C$1&amp;"'!Q65"))</f>
        <v>Y</v>
      </c>
      <c r="S93" s="15" t="str">
        <f ca="1">IF(INDIRECT("'"&amp;$C$1&amp;"'!R65")= "","",INDIRECT("'"&amp;$C$1&amp;"'!R65"))</f>
        <v/>
      </c>
      <c r="T93" s="15" t="str">
        <f ca="1">IF(INDIRECT("'"&amp;$C$1&amp;"'!S65")= "","",INDIRECT("'"&amp;$C$1&amp;"'!S65"))</f>
        <v/>
      </c>
      <c r="U93" s="15" t="str">
        <f ca="1">IF(INDIRECT("'"&amp;$C$1&amp;"'!T65")= "","",INDIRECT("'"&amp;$C$1&amp;"'!T65"))</f>
        <v>Y</v>
      </c>
      <c r="V93" s="15" t="str">
        <f ca="1">IF(INDIRECT("'"&amp;$C$1&amp;"'!U65")= "","",INDIRECT("'"&amp;$C$1&amp;"'!U65"))</f>
        <v/>
      </c>
      <c r="W93" s="15" t="str">
        <f ca="1">IF(INDIRECT("'"&amp;$C$1&amp;"'!V65")= "","",INDIRECT("'"&amp;$C$1&amp;"'!V65"))</f>
        <v/>
      </c>
      <c r="X93" s="15" t="str">
        <f ca="1">IF(INDIRECT("'"&amp;$C$1&amp;"'!W65")= "","",INDIRECT("'"&amp;$C$1&amp;"'!W65"))</f>
        <v/>
      </c>
      <c r="Y93" s="15" t="str">
        <f ca="1">IF(INDIRECT("'"&amp;$C$1&amp;"'!X65")= "","",INDIRECT("'"&amp;$C$1&amp;"'!X65"))</f>
        <v/>
      </c>
      <c r="Z93" s="15" t="str">
        <f ca="1">IF(INDIRECT("'"&amp;$C$1&amp;"'!Y65")= "","",INDIRECT("'"&amp;$C$1&amp;"'!Y65"))</f>
        <v/>
      </c>
      <c r="AA93" s="15" t="str">
        <f ca="1">IF(INDIRECT("'"&amp;$C$1&amp;"'!Z65")= "","",INDIRECT("'"&amp;$C$1&amp;"'!Z65"))</f>
        <v/>
      </c>
      <c r="AB93" s="15" t="str">
        <f ca="1">IF(INDIRECT("'"&amp;$C$1&amp;"'!E65")= "","",INDIRECT("'"&amp;$C$1&amp;"'!E65"))</f>
        <v/>
      </c>
      <c r="AC93" s="15" t="str">
        <f ca="1">IF(INDIRECT("'"&amp;$C$1&amp;"'!AB65")= "","",INDIRECT("'"&amp;$C$1&amp;"'!AB65"))</f>
        <v/>
      </c>
      <c r="AD93" s="15" t="str">
        <f ca="1">IF(INDIRECT("'"&amp;$C$1&amp;"'!AC65")= "","",INDIRECT("'"&amp;$C$1&amp;"'!AC65"))</f>
        <v/>
      </c>
      <c r="AE93" s="15" t="str">
        <f ca="1">IF(INDIRECT("'"&amp;$C$1&amp;"'!AD65")= "","",INDIRECT("'"&amp;$C$1&amp;"'!AD65"))</f>
        <v/>
      </c>
      <c r="AF93" s="15" t="str">
        <f ca="1">IF(INDIRECT("'"&amp;$C$1&amp;"'!AE65")= "","",INDIRECT("'"&amp;$C$1&amp;"'!AE65"))</f>
        <v/>
      </c>
      <c r="AG93" s="15" t="str">
        <f ca="1">IF(INDIRECT("'"&amp;$C$1&amp;"'!AF65")= "","",INDIRECT("'"&amp;$C$1&amp;"'!AF65"))</f>
        <v>Y</v>
      </c>
      <c r="AH93" s="15" t="str">
        <f ca="1">IF(INDIRECT("'"&amp;$C$1&amp;"'!AG65")= "","",INDIRECT("'"&amp;$C$1&amp;"'!AG65"))</f>
        <v/>
      </c>
      <c r="AI93" s="15" t="str">
        <f ca="1">IF(INDIRECT("'"&amp;$C$1&amp;"'!AH65")= "","",INDIRECT("'"&amp;$C$1&amp;"'!AH65"))</f>
        <v/>
      </c>
      <c r="AJ93" s="15" t="str">
        <f ca="1">IF(INDIRECT("'"&amp;$C$1&amp;"'!AI65")= "","",INDIRECT("'"&amp;$C$1&amp;"'!AI65"))</f>
        <v>Y</v>
      </c>
      <c r="AK93" s="15" t="str">
        <f ca="1">IF(INDIRECT("'"&amp;$C$1&amp;"'!AJ65")= "","",INDIRECT("'"&amp;$C$1&amp;"'!AJ65"))</f>
        <v>Y</v>
      </c>
      <c r="AL93" s="15" t="str">
        <f ca="1">IF(INDIRECT("'"&amp;$C$1&amp;"'!AK65")= "","",INDIRECT("'"&amp;$C$1&amp;"'!AK65"))</f>
        <v/>
      </c>
      <c r="AM93" s="15" t="str">
        <f ca="1">IF(INDIRECT("'"&amp;$C$1&amp;"'!AL65")= "","",INDIRECT("'"&amp;$C$1&amp;"'!AL65"))</f>
        <v/>
      </c>
      <c r="AN93" s="15" t="str">
        <f ca="1">IF(INDIRECT("'"&amp;$C$1&amp;"'!AM65")= "","",INDIRECT("'"&amp;$C$1&amp;"'!AM65"))</f>
        <v/>
      </c>
      <c r="AO93" s="139" t="s">
        <v>31</v>
      </c>
    </row>
    <row r="94" spans="3:41" hidden="1">
      <c r="C94" s="125" t="str">
        <f ca="1">CONCATENATE(IF(INDIRECT("'"&amp;$C$1&amp;"'!B66")= "","",INDIRECT("'"&amp;$C$1&amp;"'!B66"))," ",IF(INDIRECT("'"&amp;$C$1&amp;"'!C66")= "","",INDIRECT("'"&amp;$C$1&amp;"'!C66")))</f>
        <v>aspected by eighth lord</v>
      </c>
      <c r="D94" s="15"/>
      <c r="E94" s="15" t="str">
        <f ca="1">IF(INDIRECT("'"&amp;$C$1&amp;"'!D66")= "","",INDIRECT("'"&amp;$C$1&amp;"'!D66"))</f>
        <v/>
      </c>
      <c r="F94" s="15" t="str">
        <f ca="1">IF(INDIRECT("'"&amp;$C$1&amp;"'!E66")= "","",INDIRECT("'"&amp;$C$1&amp;"'!E66"))</f>
        <v/>
      </c>
      <c r="G94" s="15" t="str">
        <f ca="1">IF(INDIRECT("'"&amp;$C$1&amp;"'!F66")= "","",INDIRECT("'"&amp;$C$1&amp;"'!F66"))</f>
        <v/>
      </c>
      <c r="H94" s="15" t="str">
        <f ca="1">IF(INDIRECT("'"&amp;$C$1&amp;"'!G66")= "","",INDIRECT("'"&amp;$C$1&amp;"'!G66"))</f>
        <v/>
      </c>
      <c r="I94" s="15" t="str">
        <f ca="1">IF(INDIRECT("'"&amp;$C$1&amp;"'!H66")= "","",INDIRECT("'"&amp;$C$1&amp;"'!H66"))</f>
        <v/>
      </c>
      <c r="J94" s="15" t="str">
        <f ca="1">IF(INDIRECT("'"&amp;$C$1&amp;"'!I66")= "","",INDIRECT("'"&amp;$C$1&amp;"'!I66"))</f>
        <v/>
      </c>
      <c r="K94" s="15" t="str">
        <f ca="1">IF(INDIRECT("'"&amp;$C$1&amp;"'!J66")= "","",INDIRECT("'"&amp;$C$1&amp;"'!J66"))</f>
        <v>Y</v>
      </c>
      <c r="L94" s="15" t="str">
        <f ca="1">IF(INDIRECT("'"&amp;$C$1&amp;"'!K66")= "","",INDIRECT("'"&amp;$C$1&amp;"'!K66"))</f>
        <v/>
      </c>
      <c r="M94" s="15" t="str">
        <f ca="1">IF(INDIRECT("'"&amp;$C$1&amp;"'!L66")= "","",INDIRECT("'"&amp;$C$1&amp;"'!L66"))</f>
        <v/>
      </c>
      <c r="N94" s="15" t="str">
        <f ca="1">IF(INDIRECT("'"&amp;$C$1&amp;"'!M66")= "","",INDIRECT("'"&amp;$C$1&amp;"'!M66"))</f>
        <v/>
      </c>
      <c r="O94" s="15" t="str">
        <f ca="1">IF(INDIRECT("'"&amp;$C$1&amp;"'!E66")= "","",INDIRECT("'"&amp;$C$1&amp;"'!E66"))</f>
        <v/>
      </c>
      <c r="P94" s="15" t="str">
        <f ca="1">IF(INDIRECT("'"&amp;$C$1&amp;"'!O66")= "","",INDIRECT("'"&amp;$C$1&amp;"'!O66"))</f>
        <v/>
      </c>
      <c r="Q94" s="15" t="str">
        <f ca="1">IF(INDIRECT("'"&amp;$C$1&amp;"'!P66")= "","",INDIRECT("'"&amp;$C$1&amp;"'!P66"))</f>
        <v/>
      </c>
      <c r="R94" s="15" t="str">
        <f ca="1">IF(INDIRECT("'"&amp;$C$1&amp;"'!Q66")= "","",INDIRECT("'"&amp;$C$1&amp;"'!Q66"))</f>
        <v>Y</v>
      </c>
      <c r="S94" s="15" t="str">
        <f ca="1">IF(INDIRECT("'"&amp;$C$1&amp;"'!R66")= "","",INDIRECT("'"&amp;$C$1&amp;"'!R66"))</f>
        <v/>
      </c>
      <c r="T94" s="15" t="str">
        <f ca="1">IF(INDIRECT("'"&amp;$C$1&amp;"'!S66")= "","",INDIRECT("'"&amp;$C$1&amp;"'!S66"))</f>
        <v/>
      </c>
      <c r="U94" s="15" t="str">
        <f ca="1">IF(INDIRECT("'"&amp;$C$1&amp;"'!T66")= "","",INDIRECT("'"&amp;$C$1&amp;"'!T66"))</f>
        <v>Y</v>
      </c>
      <c r="V94" s="15" t="str">
        <f ca="1">IF(INDIRECT("'"&amp;$C$1&amp;"'!U66")= "","",INDIRECT("'"&amp;$C$1&amp;"'!U66"))</f>
        <v/>
      </c>
      <c r="W94" s="15" t="str">
        <f ca="1">IF(INDIRECT("'"&amp;$C$1&amp;"'!V66")= "","",INDIRECT("'"&amp;$C$1&amp;"'!V66"))</f>
        <v/>
      </c>
      <c r="X94" s="15" t="str">
        <f ca="1">IF(INDIRECT("'"&amp;$C$1&amp;"'!W66")= "","",INDIRECT("'"&amp;$C$1&amp;"'!W66"))</f>
        <v/>
      </c>
      <c r="Y94" s="15" t="str">
        <f ca="1">IF(INDIRECT("'"&amp;$C$1&amp;"'!X66")= "","",INDIRECT("'"&amp;$C$1&amp;"'!X66"))</f>
        <v/>
      </c>
      <c r="Z94" s="15" t="str">
        <f ca="1">IF(INDIRECT("'"&amp;$C$1&amp;"'!Y66")= "","",INDIRECT("'"&amp;$C$1&amp;"'!Y66"))</f>
        <v/>
      </c>
      <c r="AA94" s="15" t="str">
        <f ca="1">IF(INDIRECT("'"&amp;$C$1&amp;"'!Z66")= "","",INDIRECT("'"&amp;$C$1&amp;"'!Z66"))</f>
        <v/>
      </c>
      <c r="AB94" s="15" t="str">
        <f ca="1">IF(INDIRECT("'"&amp;$C$1&amp;"'!E66")= "","",INDIRECT("'"&amp;$C$1&amp;"'!E66"))</f>
        <v/>
      </c>
      <c r="AC94" s="15" t="str">
        <f ca="1">IF(INDIRECT("'"&amp;$C$1&amp;"'!AB66")= "","",INDIRECT("'"&amp;$C$1&amp;"'!AB66"))</f>
        <v/>
      </c>
      <c r="AD94" s="15" t="str">
        <f ca="1">IF(INDIRECT("'"&amp;$C$1&amp;"'!AC66")= "","",INDIRECT("'"&amp;$C$1&amp;"'!AC66"))</f>
        <v/>
      </c>
      <c r="AE94" s="15" t="str">
        <f ca="1">IF(INDIRECT("'"&amp;$C$1&amp;"'!AD66")= "","",INDIRECT("'"&amp;$C$1&amp;"'!AD66"))</f>
        <v/>
      </c>
      <c r="AF94" s="15" t="str">
        <f ca="1">IF(INDIRECT("'"&amp;$C$1&amp;"'!AE66")= "","",INDIRECT("'"&amp;$C$1&amp;"'!AE66"))</f>
        <v/>
      </c>
      <c r="AG94" s="15" t="str">
        <f ca="1">IF(INDIRECT("'"&amp;$C$1&amp;"'!AF66")= "","",INDIRECT("'"&amp;$C$1&amp;"'!AF66"))</f>
        <v>Y</v>
      </c>
      <c r="AH94" s="15" t="str">
        <f ca="1">IF(INDIRECT("'"&amp;$C$1&amp;"'!AG66")= "","",INDIRECT("'"&amp;$C$1&amp;"'!AG66"))</f>
        <v/>
      </c>
      <c r="AI94" s="15" t="str">
        <f ca="1">IF(INDIRECT("'"&amp;$C$1&amp;"'!AH66")= "","",INDIRECT("'"&amp;$C$1&amp;"'!AH66"))</f>
        <v/>
      </c>
      <c r="AJ94" s="15" t="str">
        <f ca="1">IF(INDIRECT("'"&amp;$C$1&amp;"'!AI66")= "","",INDIRECT("'"&amp;$C$1&amp;"'!AI66"))</f>
        <v/>
      </c>
      <c r="AK94" s="15" t="str">
        <f ca="1">IF(INDIRECT("'"&amp;$C$1&amp;"'!AJ66")= "","",INDIRECT("'"&amp;$C$1&amp;"'!AJ66"))</f>
        <v/>
      </c>
      <c r="AL94" s="15" t="str">
        <f ca="1">IF(INDIRECT("'"&amp;$C$1&amp;"'!AK66")= "","",INDIRECT("'"&amp;$C$1&amp;"'!AK66"))</f>
        <v/>
      </c>
      <c r="AM94" s="15" t="str">
        <f ca="1">IF(INDIRECT("'"&amp;$C$1&amp;"'!AL66")= "","",INDIRECT("'"&amp;$C$1&amp;"'!AL66"))</f>
        <v/>
      </c>
      <c r="AN94" s="15" t="str">
        <f ca="1">IF(INDIRECT("'"&amp;$C$1&amp;"'!AM66")= "","",INDIRECT("'"&amp;$C$1&amp;"'!AM66"))</f>
        <v/>
      </c>
      <c r="AO94" s="139" t="s">
        <v>32</v>
      </c>
    </row>
    <row r="95" spans="3:41" hidden="1">
      <c r="C95" s="125" t="str">
        <f ca="1">CONCATENATE(IF(INDIRECT("'"&amp;$C$1&amp;"'!B67")= "","",INDIRECT("'"&amp;$C$1&amp;"'!B67"))," ",IF(INDIRECT("'"&amp;$C$1&amp;"'!C67")= "","",INDIRECT("'"&amp;$C$1&amp;"'!C67")))</f>
        <v>aspected by ninth lord</v>
      </c>
      <c r="D95" s="15"/>
      <c r="E95" s="15" t="str">
        <f ca="1">IF(INDIRECT("'"&amp;$C$1&amp;"'!D67")= "","",INDIRECT("'"&amp;$C$1&amp;"'!D67"))</f>
        <v/>
      </c>
      <c r="F95" s="15" t="str">
        <f ca="1">IF(INDIRECT("'"&amp;$C$1&amp;"'!E67")= "","",INDIRECT("'"&amp;$C$1&amp;"'!E67"))</f>
        <v/>
      </c>
      <c r="G95" s="15" t="str">
        <f ca="1">IF(INDIRECT("'"&amp;$C$1&amp;"'!F67")= "","",INDIRECT("'"&amp;$C$1&amp;"'!F67"))</f>
        <v/>
      </c>
      <c r="H95" s="15" t="str">
        <f ca="1">IF(INDIRECT("'"&amp;$C$1&amp;"'!G67")= "","",INDIRECT("'"&amp;$C$1&amp;"'!G67"))</f>
        <v/>
      </c>
      <c r="I95" s="15" t="str">
        <f ca="1">IF(INDIRECT("'"&amp;$C$1&amp;"'!H67")= "","",INDIRECT("'"&amp;$C$1&amp;"'!H67"))</f>
        <v/>
      </c>
      <c r="J95" s="15" t="str">
        <f ca="1">IF(INDIRECT("'"&amp;$C$1&amp;"'!I67")= "","",INDIRECT("'"&amp;$C$1&amp;"'!I67"))</f>
        <v/>
      </c>
      <c r="K95" s="15" t="str">
        <f ca="1">IF(INDIRECT("'"&amp;$C$1&amp;"'!J67")= "","",INDIRECT("'"&amp;$C$1&amp;"'!J67"))</f>
        <v/>
      </c>
      <c r="L95" s="15" t="str">
        <f ca="1">IF(INDIRECT("'"&amp;$C$1&amp;"'!K67")= "","",INDIRECT("'"&amp;$C$1&amp;"'!K67"))</f>
        <v/>
      </c>
      <c r="M95" s="15" t="str">
        <f ca="1">IF(INDIRECT("'"&amp;$C$1&amp;"'!L67")= "","",INDIRECT("'"&amp;$C$1&amp;"'!L67"))</f>
        <v>Y</v>
      </c>
      <c r="N95" s="15" t="str">
        <f ca="1">IF(INDIRECT("'"&amp;$C$1&amp;"'!M67")= "","",INDIRECT("'"&amp;$C$1&amp;"'!M67"))</f>
        <v/>
      </c>
      <c r="O95" s="15" t="str">
        <f ca="1">IF(INDIRECT("'"&amp;$C$1&amp;"'!E67")= "","",INDIRECT("'"&amp;$C$1&amp;"'!E67"))</f>
        <v/>
      </c>
      <c r="P95" s="15" t="str">
        <f ca="1">IF(INDIRECT("'"&amp;$C$1&amp;"'!O67")= "","",INDIRECT("'"&amp;$C$1&amp;"'!O67"))</f>
        <v/>
      </c>
      <c r="Q95" s="15" t="str">
        <f ca="1">IF(INDIRECT("'"&amp;$C$1&amp;"'!P67")= "","",INDIRECT("'"&amp;$C$1&amp;"'!P67"))</f>
        <v/>
      </c>
      <c r="R95" s="15" t="str">
        <f ca="1">IF(INDIRECT("'"&amp;$C$1&amp;"'!Q67")= "","",INDIRECT("'"&amp;$C$1&amp;"'!Q67"))</f>
        <v/>
      </c>
      <c r="S95" s="15" t="str">
        <f ca="1">IF(INDIRECT("'"&amp;$C$1&amp;"'!R67")= "","",INDIRECT("'"&amp;$C$1&amp;"'!R67"))</f>
        <v/>
      </c>
      <c r="T95" s="15" t="str">
        <f ca="1">IF(INDIRECT("'"&amp;$C$1&amp;"'!S67")= "","",INDIRECT("'"&amp;$C$1&amp;"'!S67"))</f>
        <v/>
      </c>
      <c r="U95" s="15" t="str">
        <f ca="1">IF(INDIRECT("'"&amp;$C$1&amp;"'!T67")= "","",INDIRECT("'"&amp;$C$1&amp;"'!T67"))</f>
        <v/>
      </c>
      <c r="V95" s="15" t="str">
        <f ca="1">IF(INDIRECT("'"&amp;$C$1&amp;"'!U67")= "","",INDIRECT("'"&amp;$C$1&amp;"'!U67"))</f>
        <v/>
      </c>
      <c r="W95" s="15" t="str">
        <f ca="1">IF(INDIRECT("'"&amp;$C$1&amp;"'!V67")= "","",INDIRECT("'"&amp;$C$1&amp;"'!V67"))</f>
        <v/>
      </c>
      <c r="X95" s="15" t="str">
        <f ca="1">IF(INDIRECT("'"&amp;$C$1&amp;"'!W67")= "","",INDIRECT("'"&amp;$C$1&amp;"'!W67"))</f>
        <v/>
      </c>
      <c r="Y95" s="15" t="str">
        <f ca="1">IF(INDIRECT("'"&amp;$C$1&amp;"'!X67")= "","",INDIRECT("'"&amp;$C$1&amp;"'!X67"))</f>
        <v/>
      </c>
      <c r="Z95" s="15" t="str">
        <f ca="1">IF(INDIRECT("'"&amp;$C$1&amp;"'!Y67")= "","",INDIRECT("'"&amp;$C$1&amp;"'!Y67"))</f>
        <v/>
      </c>
      <c r="AA95" s="15" t="str">
        <f ca="1">IF(INDIRECT("'"&amp;$C$1&amp;"'!Z67")= "","",INDIRECT("'"&amp;$C$1&amp;"'!Z67"))</f>
        <v/>
      </c>
      <c r="AB95" s="15" t="str">
        <f ca="1">IF(INDIRECT("'"&amp;$C$1&amp;"'!E67")= "","",INDIRECT("'"&amp;$C$1&amp;"'!E67"))</f>
        <v/>
      </c>
      <c r="AC95" s="15" t="str">
        <f ca="1">IF(INDIRECT("'"&amp;$C$1&amp;"'!AB67")= "","",INDIRECT("'"&amp;$C$1&amp;"'!AB67"))</f>
        <v/>
      </c>
      <c r="AD95" s="15" t="str">
        <f ca="1">IF(INDIRECT("'"&amp;$C$1&amp;"'!AC67")= "","",INDIRECT("'"&amp;$C$1&amp;"'!AC67"))</f>
        <v/>
      </c>
      <c r="AE95" s="15" t="str">
        <f ca="1">IF(INDIRECT("'"&amp;$C$1&amp;"'!AD67")= "","",INDIRECT("'"&amp;$C$1&amp;"'!AD67"))</f>
        <v/>
      </c>
      <c r="AF95" s="15" t="str">
        <f ca="1">IF(INDIRECT("'"&amp;$C$1&amp;"'!AE67")= "","",INDIRECT("'"&amp;$C$1&amp;"'!AE67"))</f>
        <v/>
      </c>
      <c r="AG95" s="15" t="str">
        <f ca="1">IF(INDIRECT("'"&amp;$C$1&amp;"'!AF67")= "","",INDIRECT("'"&amp;$C$1&amp;"'!AF67"))</f>
        <v/>
      </c>
      <c r="AH95" s="15" t="str">
        <f ca="1">IF(INDIRECT("'"&amp;$C$1&amp;"'!AG67")= "","",INDIRECT("'"&amp;$C$1&amp;"'!AG67"))</f>
        <v>Y</v>
      </c>
      <c r="AI95" s="15" t="str">
        <f ca="1">IF(INDIRECT("'"&amp;$C$1&amp;"'!AH67")= "","",INDIRECT("'"&amp;$C$1&amp;"'!AH67"))</f>
        <v/>
      </c>
      <c r="AJ95" s="15" t="str">
        <f ca="1">IF(INDIRECT("'"&amp;$C$1&amp;"'!AI67")= "","",INDIRECT("'"&amp;$C$1&amp;"'!AI67"))</f>
        <v/>
      </c>
      <c r="AK95" s="15" t="str">
        <f ca="1">IF(INDIRECT("'"&amp;$C$1&amp;"'!AJ67")= "","",INDIRECT("'"&amp;$C$1&amp;"'!AJ67"))</f>
        <v/>
      </c>
      <c r="AL95" s="15" t="str">
        <f ca="1">IF(INDIRECT("'"&amp;$C$1&amp;"'!AK67")= "","",INDIRECT("'"&amp;$C$1&amp;"'!AK67"))</f>
        <v/>
      </c>
      <c r="AM95" s="15" t="str">
        <f ca="1">IF(INDIRECT("'"&amp;$C$1&amp;"'!AL67")= "","",INDIRECT("'"&amp;$C$1&amp;"'!AL67"))</f>
        <v/>
      </c>
      <c r="AN95" s="15" t="str">
        <f ca="1">IF(INDIRECT("'"&amp;$C$1&amp;"'!AM67")= "","",INDIRECT("'"&amp;$C$1&amp;"'!AM67"))</f>
        <v/>
      </c>
      <c r="AO95" s="139" t="s">
        <v>33</v>
      </c>
    </row>
    <row r="96" spans="3:41" hidden="1">
      <c r="C96" s="125" t="str">
        <f ca="1">CONCATENATE(IF(INDIRECT("'"&amp;$C$1&amp;"'!B68")= "","",INDIRECT("'"&amp;$C$1&amp;"'!B68"))," ",IF(INDIRECT("'"&amp;$C$1&amp;"'!C68")= "","",INDIRECT("'"&amp;$C$1&amp;"'!C68")))</f>
        <v>aspected by tenth lord</v>
      </c>
      <c r="D96" s="15"/>
      <c r="E96" s="15" t="str">
        <f ca="1">IF(INDIRECT("'"&amp;$C$1&amp;"'!D68")= "","",INDIRECT("'"&amp;$C$1&amp;"'!D68"))</f>
        <v/>
      </c>
      <c r="F96" s="15" t="str">
        <f ca="1">IF(INDIRECT("'"&amp;$C$1&amp;"'!E68")= "","",INDIRECT("'"&amp;$C$1&amp;"'!E68"))</f>
        <v/>
      </c>
      <c r="G96" s="15" t="str">
        <f ca="1">IF(INDIRECT("'"&amp;$C$1&amp;"'!F68")= "","",INDIRECT("'"&amp;$C$1&amp;"'!F68"))</f>
        <v/>
      </c>
      <c r="H96" s="15" t="str">
        <f ca="1">IF(INDIRECT("'"&amp;$C$1&amp;"'!G68")= "","",INDIRECT("'"&amp;$C$1&amp;"'!G68"))</f>
        <v/>
      </c>
      <c r="I96" s="15" t="str">
        <f ca="1">IF(INDIRECT("'"&amp;$C$1&amp;"'!H68")= "","",INDIRECT("'"&amp;$C$1&amp;"'!H68"))</f>
        <v/>
      </c>
      <c r="J96" s="15" t="str">
        <f ca="1">IF(INDIRECT("'"&amp;$C$1&amp;"'!I68")= "","",INDIRECT("'"&amp;$C$1&amp;"'!I68"))</f>
        <v/>
      </c>
      <c r="K96" s="15" t="str">
        <f ca="1">IF(INDIRECT("'"&amp;$C$1&amp;"'!J68")= "","",INDIRECT("'"&amp;$C$1&amp;"'!J68"))</f>
        <v/>
      </c>
      <c r="L96" s="15" t="str">
        <f ca="1">IF(INDIRECT("'"&amp;$C$1&amp;"'!K68")= "","",INDIRECT("'"&amp;$C$1&amp;"'!K68"))</f>
        <v/>
      </c>
      <c r="M96" s="15" t="str">
        <f ca="1">IF(INDIRECT("'"&amp;$C$1&amp;"'!L68")= "","",INDIRECT("'"&amp;$C$1&amp;"'!L68"))</f>
        <v/>
      </c>
      <c r="N96" s="15" t="str">
        <f ca="1">IF(INDIRECT("'"&amp;$C$1&amp;"'!M68")= "","",INDIRECT("'"&amp;$C$1&amp;"'!M68"))</f>
        <v/>
      </c>
      <c r="O96" s="15" t="str">
        <f ca="1">IF(INDIRECT("'"&amp;$C$1&amp;"'!E68")= "","",INDIRECT("'"&amp;$C$1&amp;"'!E68"))</f>
        <v/>
      </c>
      <c r="P96" s="15" t="str">
        <f ca="1">IF(INDIRECT("'"&amp;$C$1&amp;"'!O68")= "","",INDIRECT("'"&amp;$C$1&amp;"'!O68"))</f>
        <v/>
      </c>
      <c r="Q96" s="15" t="str">
        <f ca="1">IF(INDIRECT("'"&amp;$C$1&amp;"'!P68")= "","",INDIRECT("'"&amp;$C$1&amp;"'!P68"))</f>
        <v/>
      </c>
      <c r="R96" s="15" t="str">
        <f ca="1">IF(INDIRECT("'"&amp;$C$1&amp;"'!Q68")= "","",INDIRECT("'"&amp;$C$1&amp;"'!Q68"))</f>
        <v/>
      </c>
      <c r="S96" s="15" t="str">
        <f ca="1">IF(INDIRECT("'"&amp;$C$1&amp;"'!R68")= "","",INDIRECT("'"&amp;$C$1&amp;"'!R68"))</f>
        <v/>
      </c>
      <c r="T96" s="15" t="str">
        <f ca="1">IF(INDIRECT("'"&amp;$C$1&amp;"'!S68")= "","",INDIRECT("'"&amp;$C$1&amp;"'!S68"))</f>
        <v/>
      </c>
      <c r="U96" s="15" t="str">
        <f ca="1">IF(INDIRECT("'"&amp;$C$1&amp;"'!T68")= "","",INDIRECT("'"&amp;$C$1&amp;"'!T68"))</f>
        <v/>
      </c>
      <c r="V96" s="15" t="str">
        <f ca="1">IF(INDIRECT("'"&amp;$C$1&amp;"'!U68")= "","",INDIRECT("'"&amp;$C$1&amp;"'!U68"))</f>
        <v/>
      </c>
      <c r="W96" s="15" t="str">
        <f ca="1">IF(INDIRECT("'"&amp;$C$1&amp;"'!V68")= "","",INDIRECT("'"&amp;$C$1&amp;"'!V68"))</f>
        <v/>
      </c>
      <c r="X96" s="15" t="str">
        <f ca="1">IF(INDIRECT("'"&amp;$C$1&amp;"'!W68")= "","",INDIRECT("'"&amp;$C$1&amp;"'!W68"))</f>
        <v/>
      </c>
      <c r="Y96" s="15" t="str">
        <f ca="1">IF(INDIRECT("'"&amp;$C$1&amp;"'!X68")= "","",INDIRECT("'"&amp;$C$1&amp;"'!X68"))</f>
        <v/>
      </c>
      <c r="Z96" s="15" t="str">
        <f ca="1">IF(INDIRECT("'"&amp;$C$1&amp;"'!Y68")= "","",INDIRECT("'"&amp;$C$1&amp;"'!Y68"))</f>
        <v/>
      </c>
      <c r="AA96" s="15" t="str">
        <f ca="1">IF(INDIRECT("'"&amp;$C$1&amp;"'!Z68")= "","",INDIRECT("'"&amp;$C$1&amp;"'!Z68"))</f>
        <v/>
      </c>
      <c r="AB96" s="15" t="str">
        <f ca="1">IF(INDIRECT("'"&amp;$C$1&amp;"'!E68")= "","",INDIRECT("'"&amp;$C$1&amp;"'!E68"))</f>
        <v/>
      </c>
      <c r="AC96" s="15" t="str">
        <f ca="1">IF(INDIRECT("'"&amp;$C$1&amp;"'!AB68")= "","",INDIRECT("'"&amp;$C$1&amp;"'!AB68"))</f>
        <v/>
      </c>
      <c r="AD96" s="15" t="str">
        <f ca="1">IF(INDIRECT("'"&amp;$C$1&amp;"'!AC68")= "","",INDIRECT("'"&amp;$C$1&amp;"'!AC68"))</f>
        <v/>
      </c>
      <c r="AE96" s="15" t="str">
        <f ca="1">IF(INDIRECT("'"&amp;$C$1&amp;"'!AD68")= "","",INDIRECT("'"&amp;$C$1&amp;"'!AD68"))</f>
        <v/>
      </c>
      <c r="AF96" s="15" t="str">
        <f ca="1">IF(INDIRECT("'"&amp;$C$1&amp;"'!AE68")= "","",INDIRECT("'"&amp;$C$1&amp;"'!AE68"))</f>
        <v/>
      </c>
      <c r="AG96" s="15" t="str">
        <f ca="1">IF(INDIRECT("'"&amp;$C$1&amp;"'!AF68")= "","",INDIRECT("'"&amp;$C$1&amp;"'!AF68"))</f>
        <v/>
      </c>
      <c r="AH96" s="15" t="str">
        <f ca="1">IF(INDIRECT("'"&amp;$C$1&amp;"'!AG68")= "","",INDIRECT("'"&amp;$C$1&amp;"'!AG68"))</f>
        <v/>
      </c>
      <c r="AI96" s="15" t="str">
        <f ca="1">IF(INDIRECT("'"&amp;$C$1&amp;"'!AH68")= "","",INDIRECT("'"&amp;$C$1&amp;"'!AH68"))</f>
        <v/>
      </c>
      <c r="AJ96" s="15" t="str">
        <f ca="1">IF(INDIRECT("'"&amp;$C$1&amp;"'!AI68")= "","",INDIRECT("'"&amp;$C$1&amp;"'!AI68"))</f>
        <v>Y</v>
      </c>
      <c r="AK96" s="15" t="str">
        <f ca="1">IF(INDIRECT("'"&amp;$C$1&amp;"'!AJ68")= "","",INDIRECT("'"&amp;$C$1&amp;"'!AJ68"))</f>
        <v/>
      </c>
      <c r="AL96" s="15" t="str">
        <f ca="1">IF(INDIRECT("'"&amp;$C$1&amp;"'!AK68")= "","",INDIRECT("'"&amp;$C$1&amp;"'!AK68"))</f>
        <v/>
      </c>
      <c r="AM96" s="15" t="str">
        <f ca="1">IF(INDIRECT("'"&amp;$C$1&amp;"'!AL68")= "","",INDIRECT("'"&amp;$C$1&amp;"'!AL68"))</f>
        <v/>
      </c>
      <c r="AN96" s="15" t="str">
        <f ca="1">IF(INDIRECT("'"&amp;$C$1&amp;"'!AM68")= "","",INDIRECT("'"&amp;$C$1&amp;"'!AM68"))</f>
        <v/>
      </c>
      <c r="AO96" s="139" t="s">
        <v>34</v>
      </c>
    </row>
    <row r="97" spans="2:41" hidden="1">
      <c r="C97" s="125" t="str">
        <f ca="1">CONCATENATE(IF(INDIRECT("'"&amp;$C$1&amp;"'!B69")= "","",INDIRECT("'"&amp;$C$1&amp;"'!B69"))," ",IF(INDIRECT("'"&amp;$C$1&amp;"'!C69")= "","",INDIRECT("'"&amp;$C$1&amp;"'!C69")))</f>
        <v>aspected by eleventh lord</v>
      </c>
      <c r="D97" s="15"/>
      <c r="E97" s="15" t="str">
        <f ca="1">IF(INDIRECT("'"&amp;$C$1&amp;"'!D69")= "","",INDIRECT("'"&amp;$C$1&amp;"'!D69"))</f>
        <v/>
      </c>
      <c r="F97" s="15" t="str">
        <f ca="1">IF(INDIRECT("'"&amp;$C$1&amp;"'!E69")= "","",INDIRECT("'"&amp;$C$1&amp;"'!E69"))</f>
        <v/>
      </c>
      <c r="G97" s="15" t="str">
        <f ca="1">IF(INDIRECT("'"&amp;$C$1&amp;"'!F69")= "","",INDIRECT("'"&amp;$C$1&amp;"'!F69"))</f>
        <v/>
      </c>
      <c r="H97" s="15" t="str">
        <f ca="1">IF(INDIRECT("'"&amp;$C$1&amp;"'!G69")= "","",INDIRECT("'"&amp;$C$1&amp;"'!G69"))</f>
        <v/>
      </c>
      <c r="I97" s="15" t="str">
        <f ca="1">IF(INDIRECT("'"&amp;$C$1&amp;"'!H69")= "","",INDIRECT("'"&amp;$C$1&amp;"'!H69"))</f>
        <v/>
      </c>
      <c r="J97" s="15" t="str">
        <f ca="1">IF(INDIRECT("'"&amp;$C$1&amp;"'!I69")= "","",INDIRECT("'"&amp;$C$1&amp;"'!I69"))</f>
        <v/>
      </c>
      <c r="K97" s="15" t="str">
        <f ca="1">IF(INDIRECT("'"&amp;$C$1&amp;"'!J69")= "","",INDIRECT("'"&amp;$C$1&amp;"'!J69"))</f>
        <v/>
      </c>
      <c r="L97" s="15" t="str">
        <f ca="1">IF(INDIRECT("'"&amp;$C$1&amp;"'!K69")= "","",INDIRECT("'"&amp;$C$1&amp;"'!K69"))</f>
        <v/>
      </c>
      <c r="M97" s="15" t="str">
        <f ca="1">IF(INDIRECT("'"&amp;$C$1&amp;"'!L69")= "","",INDIRECT("'"&amp;$C$1&amp;"'!L69"))</f>
        <v>Y</v>
      </c>
      <c r="N97" s="15" t="str">
        <f ca="1">IF(INDIRECT("'"&amp;$C$1&amp;"'!M69")= "","",INDIRECT("'"&amp;$C$1&amp;"'!M69"))</f>
        <v/>
      </c>
      <c r="O97" s="15" t="str">
        <f ca="1">IF(INDIRECT("'"&amp;$C$1&amp;"'!E69")= "","",INDIRECT("'"&amp;$C$1&amp;"'!E69"))</f>
        <v/>
      </c>
      <c r="P97" s="15" t="str">
        <f ca="1">IF(INDIRECT("'"&amp;$C$1&amp;"'!O69")= "","",INDIRECT("'"&amp;$C$1&amp;"'!O69"))</f>
        <v/>
      </c>
      <c r="Q97" s="15" t="str">
        <f ca="1">IF(INDIRECT("'"&amp;$C$1&amp;"'!P69")= "","",INDIRECT("'"&amp;$C$1&amp;"'!P69"))</f>
        <v/>
      </c>
      <c r="R97" s="15" t="str">
        <f ca="1">IF(INDIRECT("'"&amp;$C$1&amp;"'!Q69")= "","",INDIRECT("'"&amp;$C$1&amp;"'!Q69"))</f>
        <v/>
      </c>
      <c r="S97" s="15" t="str">
        <f ca="1">IF(INDIRECT("'"&amp;$C$1&amp;"'!R69")= "","",INDIRECT("'"&amp;$C$1&amp;"'!R69"))</f>
        <v/>
      </c>
      <c r="T97" s="15" t="str">
        <f ca="1">IF(INDIRECT("'"&amp;$C$1&amp;"'!S69")= "","",INDIRECT("'"&amp;$C$1&amp;"'!S69"))</f>
        <v/>
      </c>
      <c r="U97" s="15" t="str">
        <f ca="1">IF(INDIRECT("'"&amp;$C$1&amp;"'!T69")= "","",INDIRECT("'"&amp;$C$1&amp;"'!T69"))</f>
        <v/>
      </c>
      <c r="V97" s="15" t="str">
        <f ca="1">IF(INDIRECT("'"&amp;$C$1&amp;"'!U69")= "","",INDIRECT("'"&amp;$C$1&amp;"'!U69"))</f>
        <v/>
      </c>
      <c r="W97" s="15" t="str">
        <f ca="1">IF(INDIRECT("'"&amp;$C$1&amp;"'!V69")= "","",INDIRECT("'"&amp;$C$1&amp;"'!V69"))</f>
        <v/>
      </c>
      <c r="X97" s="15" t="str">
        <f ca="1">IF(INDIRECT("'"&amp;$C$1&amp;"'!W69")= "","",INDIRECT("'"&amp;$C$1&amp;"'!W69"))</f>
        <v/>
      </c>
      <c r="Y97" s="15" t="str">
        <f ca="1">IF(INDIRECT("'"&amp;$C$1&amp;"'!X69")= "","",INDIRECT("'"&amp;$C$1&amp;"'!X69"))</f>
        <v/>
      </c>
      <c r="Z97" s="15" t="str">
        <f ca="1">IF(INDIRECT("'"&amp;$C$1&amp;"'!Y69")= "","",INDIRECT("'"&amp;$C$1&amp;"'!Y69"))</f>
        <v/>
      </c>
      <c r="AA97" s="15" t="str">
        <f ca="1">IF(INDIRECT("'"&amp;$C$1&amp;"'!Z69")= "","",INDIRECT("'"&amp;$C$1&amp;"'!Z69"))</f>
        <v/>
      </c>
      <c r="AB97" s="15" t="str">
        <f ca="1">IF(INDIRECT("'"&amp;$C$1&amp;"'!E69")= "","",INDIRECT("'"&amp;$C$1&amp;"'!E69"))</f>
        <v/>
      </c>
      <c r="AC97" s="15" t="str">
        <f ca="1">IF(INDIRECT("'"&amp;$C$1&amp;"'!AB69")= "","",INDIRECT("'"&amp;$C$1&amp;"'!AB69"))</f>
        <v/>
      </c>
      <c r="AD97" s="15" t="str">
        <f ca="1">IF(INDIRECT("'"&amp;$C$1&amp;"'!AC69")= "","",INDIRECT("'"&amp;$C$1&amp;"'!AC69"))</f>
        <v/>
      </c>
      <c r="AE97" s="15" t="str">
        <f ca="1">IF(INDIRECT("'"&amp;$C$1&amp;"'!AD69")= "","",INDIRECT("'"&amp;$C$1&amp;"'!AD69"))</f>
        <v/>
      </c>
      <c r="AF97" s="15" t="str">
        <f ca="1">IF(INDIRECT("'"&amp;$C$1&amp;"'!AE69")= "","",INDIRECT("'"&amp;$C$1&amp;"'!AE69"))</f>
        <v/>
      </c>
      <c r="AG97" s="15" t="str">
        <f ca="1">IF(INDIRECT("'"&amp;$C$1&amp;"'!AF69")= "","",INDIRECT("'"&amp;$C$1&amp;"'!AF69"))</f>
        <v/>
      </c>
      <c r="AH97" s="15" t="str">
        <f ca="1">IF(INDIRECT("'"&amp;$C$1&amp;"'!AG69")= "","",INDIRECT("'"&amp;$C$1&amp;"'!AG69"))</f>
        <v>Y</v>
      </c>
      <c r="AI97" s="15" t="str">
        <f ca="1">IF(INDIRECT("'"&amp;$C$1&amp;"'!AH69")= "","",INDIRECT("'"&amp;$C$1&amp;"'!AH69"))</f>
        <v/>
      </c>
      <c r="AJ97" s="15" t="str">
        <f ca="1">IF(INDIRECT("'"&amp;$C$1&amp;"'!AI69")= "","",INDIRECT("'"&amp;$C$1&amp;"'!AI69"))</f>
        <v/>
      </c>
      <c r="AK97" s="15" t="str">
        <f ca="1">IF(INDIRECT("'"&amp;$C$1&amp;"'!AJ69")= "","",INDIRECT("'"&amp;$C$1&amp;"'!AJ69"))</f>
        <v/>
      </c>
      <c r="AL97" s="15" t="str">
        <f ca="1">IF(INDIRECT("'"&amp;$C$1&amp;"'!AK69")= "","",INDIRECT("'"&amp;$C$1&amp;"'!AK69"))</f>
        <v/>
      </c>
      <c r="AM97" s="15" t="str">
        <f ca="1">IF(INDIRECT("'"&amp;$C$1&amp;"'!AL69")= "","",INDIRECT("'"&amp;$C$1&amp;"'!AL69"))</f>
        <v/>
      </c>
      <c r="AN97" s="15" t="str">
        <f ca="1">IF(INDIRECT("'"&amp;$C$1&amp;"'!AM69")= "","",INDIRECT("'"&amp;$C$1&amp;"'!AM69"))</f>
        <v/>
      </c>
      <c r="AO97" s="139" t="s">
        <v>35</v>
      </c>
    </row>
    <row r="98" spans="2:41" hidden="1">
      <c r="C98" s="125" t="str">
        <f ca="1">CONCATENATE(IF(INDIRECT("'"&amp;$C$1&amp;"'!B70")= "","",INDIRECT("'"&amp;$C$1&amp;"'!B70"))," ",IF(INDIRECT("'"&amp;$C$1&amp;"'!C70")= "","",INDIRECT("'"&amp;$C$1&amp;"'!C70")))</f>
        <v>aspected by twelveth lord</v>
      </c>
      <c r="D98" s="15"/>
      <c r="E98" s="15" t="str">
        <f ca="1">IF(INDIRECT("'"&amp;$C$1&amp;"'!D70")= "","",INDIRECT("'"&amp;$C$1&amp;"'!D70"))</f>
        <v/>
      </c>
      <c r="F98" s="15" t="str">
        <f ca="1">IF(INDIRECT("'"&amp;$C$1&amp;"'!E70")= "","",INDIRECT("'"&amp;$C$1&amp;"'!E70"))</f>
        <v/>
      </c>
      <c r="G98" s="15" t="str">
        <f ca="1">IF(INDIRECT("'"&amp;$C$1&amp;"'!F70")= "","",INDIRECT("'"&amp;$C$1&amp;"'!F70"))</f>
        <v/>
      </c>
      <c r="H98" s="15" t="str">
        <f ca="1">IF(INDIRECT("'"&amp;$C$1&amp;"'!G70")= "","",INDIRECT("'"&amp;$C$1&amp;"'!G70"))</f>
        <v/>
      </c>
      <c r="I98" s="15" t="str">
        <f ca="1">IF(INDIRECT("'"&amp;$C$1&amp;"'!H70")= "","",INDIRECT("'"&amp;$C$1&amp;"'!H70"))</f>
        <v/>
      </c>
      <c r="J98" s="15" t="str">
        <f ca="1">IF(INDIRECT("'"&amp;$C$1&amp;"'!I70")= "","",INDIRECT("'"&amp;$C$1&amp;"'!I70"))</f>
        <v/>
      </c>
      <c r="K98" s="15" t="str">
        <f ca="1">IF(INDIRECT("'"&amp;$C$1&amp;"'!J70")= "","",INDIRECT("'"&amp;$C$1&amp;"'!J70"))</f>
        <v/>
      </c>
      <c r="L98" s="15" t="str">
        <f ca="1">IF(INDIRECT("'"&amp;$C$1&amp;"'!K70")= "","",INDIRECT("'"&amp;$C$1&amp;"'!K70"))</f>
        <v/>
      </c>
      <c r="M98" s="15" t="str">
        <f ca="1">IF(INDIRECT("'"&amp;$C$1&amp;"'!L70")= "","",INDIRECT("'"&amp;$C$1&amp;"'!L70"))</f>
        <v>Y</v>
      </c>
      <c r="N98" s="15" t="str">
        <f ca="1">IF(INDIRECT("'"&amp;$C$1&amp;"'!M70")= "","",INDIRECT("'"&amp;$C$1&amp;"'!M70"))</f>
        <v/>
      </c>
      <c r="O98" s="15" t="str">
        <f ca="1">IF(INDIRECT("'"&amp;$C$1&amp;"'!E70")= "","",INDIRECT("'"&amp;$C$1&amp;"'!E70"))</f>
        <v/>
      </c>
      <c r="P98" s="15" t="str">
        <f ca="1">IF(INDIRECT("'"&amp;$C$1&amp;"'!O70")= "","",INDIRECT("'"&amp;$C$1&amp;"'!O70"))</f>
        <v/>
      </c>
      <c r="Q98" s="15" t="str">
        <f ca="1">IF(INDIRECT("'"&amp;$C$1&amp;"'!P70")= "","",INDIRECT("'"&amp;$C$1&amp;"'!P70"))</f>
        <v/>
      </c>
      <c r="R98" s="15" t="str">
        <f ca="1">IF(INDIRECT("'"&amp;$C$1&amp;"'!Q70")= "","",INDIRECT("'"&amp;$C$1&amp;"'!Q70"))</f>
        <v/>
      </c>
      <c r="S98" s="15" t="str">
        <f ca="1">IF(INDIRECT("'"&amp;$C$1&amp;"'!R70")= "","",INDIRECT("'"&amp;$C$1&amp;"'!R70"))</f>
        <v/>
      </c>
      <c r="T98" s="15" t="str">
        <f ca="1">IF(INDIRECT("'"&amp;$C$1&amp;"'!S70")= "","",INDIRECT("'"&amp;$C$1&amp;"'!S70"))</f>
        <v/>
      </c>
      <c r="U98" s="15" t="str">
        <f ca="1">IF(INDIRECT("'"&amp;$C$1&amp;"'!T70")= "","",INDIRECT("'"&amp;$C$1&amp;"'!T70"))</f>
        <v/>
      </c>
      <c r="V98" s="15" t="str">
        <f ca="1">IF(INDIRECT("'"&amp;$C$1&amp;"'!U70")= "","",INDIRECT("'"&amp;$C$1&amp;"'!U70"))</f>
        <v/>
      </c>
      <c r="W98" s="15" t="str">
        <f ca="1">IF(INDIRECT("'"&amp;$C$1&amp;"'!V70")= "","",INDIRECT("'"&amp;$C$1&amp;"'!V70"))</f>
        <v/>
      </c>
      <c r="X98" s="15" t="str">
        <f ca="1">IF(INDIRECT("'"&amp;$C$1&amp;"'!W70")= "","",INDIRECT("'"&amp;$C$1&amp;"'!W70"))</f>
        <v/>
      </c>
      <c r="Y98" s="15" t="str">
        <f ca="1">IF(INDIRECT("'"&amp;$C$1&amp;"'!X70")= "","",INDIRECT("'"&amp;$C$1&amp;"'!X70"))</f>
        <v/>
      </c>
      <c r="Z98" s="15" t="str">
        <f ca="1">IF(INDIRECT("'"&amp;$C$1&amp;"'!Y70")= "","",INDIRECT("'"&amp;$C$1&amp;"'!Y70"))</f>
        <v/>
      </c>
      <c r="AA98" s="15" t="str">
        <f ca="1">IF(INDIRECT("'"&amp;$C$1&amp;"'!Z70")= "","",INDIRECT("'"&amp;$C$1&amp;"'!Z70"))</f>
        <v/>
      </c>
      <c r="AB98" s="15" t="str">
        <f ca="1">IF(INDIRECT("'"&amp;$C$1&amp;"'!E70")= "","",INDIRECT("'"&amp;$C$1&amp;"'!E70"))</f>
        <v/>
      </c>
      <c r="AC98" s="15" t="str">
        <f ca="1">IF(INDIRECT("'"&amp;$C$1&amp;"'!AB70")= "","",INDIRECT("'"&amp;$C$1&amp;"'!AB70"))</f>
        <v/>
      </c>
      <c r="AD98" s="15" t="str">
        <f ca="1">IF(INDIRECT("'"&amp;$C$1&amp;"'!AC70")= "","",INDIRECT("'"&amp;$C$1&amp;"'!AC70"))</f>
        <v/>
      </c>
      <c r="AE98" s="15" t="str">
        <f ca="1">IF(INDIRECT("'"&amp;$C$1&amp;"'!AD70")= "","",INDIRECT("'"&amp;$C$1&amp;"'!AD70"))</f>
        <v/>
      </c>
      <c r="AF98" s="15" t="str">
        <f ca="1">IF(INDIRECT("'"&amp;$C$1&amp;"'!AE70")= "","",INDIRECT("'"&amp;$C$1&amp;"'!AE70"))</f>
        <v/>
      </c>
      <c r="AG98" s="15" t="str">
        <f ca="1">IF(INDIRECT("'"&amp;$C$1&amp;"'!AF70")= "","",INDIRECT("'"&amp;$C$1&amp;"'!AF70"))</f>
        <v/>
      </c>
      <c r="AH98" s="15" t="str">
        <f ca="1">IF(INDIRECT("'"&amp;$C$1&amp;"'!AG70")= "","",INDIRECT("'"&amp;$C$1&amp;"'!AG70"))</f>
        <v>Y</v>
      </c>
      <c r="AI98" s="15" t="str">
        <f ca="1">IF(INDIRECT("'"&amp;$C$1&amp;"'!AH70")= "","",INDIRECT("'"&amp;$C$1&amp;"'!AH70"))</f>
        <v/>
      </c>
      <c r="AJ98" s="15" t="str">
        <f ca="1">IF(INDIRECT("'"&amp;$C$1&amp;"'!AI70")= "","",INDIRECT("'"&amp;$C$1&amp;"'!AI70"))</f>
        <v/>
      </c>
      <c r="AK98" s="15" t="str">
        <f ca="1">IF(INDIRECT("'"&amp;$C$1&amp;"'!AJ70")= "","",INDIRECT("'"&amp;$C$1&amp;"'!AJ70"))</f>
        <v/>
      </c>
      <c r="AL98" s="15" t="str">
        <f ca="1">IF(INDIRECT("'"&amp;$C$1&amp;"'!AK70")= "","",INDIRECT("'"&amp;$C$1&amp;"'!AK70"))</f>
        <v/>
      </c>
      <c r="AM98" s="15" t="str">
        <f ca="1">IF(INDIRECT("'"&amp;$C$1&amp;"'!AL70")= "","",INDIRECT("'"&amp;$C$1&amp;"'!AL70"))</f>
        <v/>
      </c>
      <c r="AN98" s="15" t="str">
        <f ca="1">IF(INDIRECT("'"&amp;$C$1&amp;"'!AM70")= "","",INDIRECT("'"&amp;$C$1&amp;"'!AM70"))</f>
        <v/>
      </c>
      <c r="AO98" s="139" t="s">
        <v>36</v>
      </c>
    </row>
    <row r="99" spans="2:41" hidden="1">
      <c r="D99" s="15"/>
      <c r="E99" s="15" t="str">
        <f>IF(PAC!D71= "","",PAC!D71)</f>
        <v/>
      </c>
      <c r="F99" s="15" t="str">
        <f>IF(PAC!E71= "","",PAC!E71)</f>
        <v/>
      </c>
      <c r="G99" s="15" t="str">
        <f>IF(PAC!F71= "","",PAC!F71)</f>
        <v/>
      </c>
      <c r="H99" s="15" t="str">
        <f>IF(PAC!G71= "","",PAC!G71)</f>
        <v/>
      </c>
      <c r="I99" s="15" t="str">
        <f>IF(PAC!H71= "","",PAC!H71)</f>
        <v/>
      </c>
      <c r="J99" s="15" t="str">
        <f>IF(PAC!I71= "","",PAC!I71)</f>
        <v/>
      </c>
      <c r="K99" s="15" t="str">
        <f>IF(PAC!J71= "","",PAC!J71)</f>
        <v/>
      </c>
      <c r="L99" s="15" t="str">
        <f>IF(PAC!K71= "","",PAC!K71)</f>
        <v/>
      </c>
      <c r="M99" s="15" t="str">
        <f>IF(PAC!L71= "","",PAC!L71)</f>
        <v/>
      </c>
      <c r="N99" s="15" t="str">
        <f>IF(PAC!M71= "","",PAC!M71)</f>
        <v/>
      </c>
      <c r="P99" s="15" t="str">
        <f>IF(PAC!O71= "","",PAC!O71)</f>
        <v/>
      </c>
      <c r="Q99" s="15" t="str">
        <f>IF(PAC!P71= "","",PAC!P71)</f>
        <v/>
      </c>
      <c r="R99" s="15" t="str">
        <f>IF(PAC!Q71= "","",PAC!Q71)</f>
        <v/>
      </c>
      <c r="S99" s="15" t="str">
        <f>IF(PAC!R71= "","",PAC!R71)</f>
        <v/>
      </c>
      <c r="T99" s="15" t="str">
        <f>IF(PAC!S71= "","",PAC!S71)</f>
        <v/>
      </c>
      <c r="U99" s="15" t="str">
        <f>IF(PAC!T71= "","",PAC!T71)</f>
        <v/>
      </c>
      <c r="V99" s="15" t="str">
        <f>IF(PAC!U71= "","",PAC!U71)</f>
        <v/>
      </c>
      <c r="W99" s="15" t="str">
        <f>IF(PAC!V71= "","",PAC!V71)</f>
        <v/>
      </c>
      <c r="X99" s="15" t="str">
        <f>IF(PAC!W71= "","",PAC!W71)</f>
        <v/>
      </c>
      <c r="Y99" s="15" t="str">
        <f>IF(PAC!X71= "","",PAC!X71)</f>
        <v/>
      </c>
      <c r="Z99" s="15" t="str">
        <f>IF(PAC!Y71= "","",PAC!Y71)</f>
        <v/>
      </c>
      <c r="AA99" s="15" t="str">
        <f>IF(PAC!Z71= "","",PAC!Z71)</f>
        <v/>
      </c>
      <c r="AB99" s="15" t="str">
        <f>IF(PAC!AA71= "","",PAC!AA71)</f>
        <v/>
      </c>
      <c r="AC99" s="15" t="str">
        <f>IF(PAC!AB71= "","",PAC!AB71)</f>
        <v/>
      </c>
      <c r="AD99" s="15" t="str">
        <f>IF(PAC!AC71= "","",PAC!AC71)</f>
        <v/>
      </c>
      <c r="AE99" s="15" t="str">
        <f>IF(PAC!AD71= "","",PAC!AD71)</f>
        <v/>
      </c>
      <c r="AF99" s="15" t="str">
        <f>IF(PAC!AE71= "","",PAC!AE71)</f>
        <v/>
      </c>
      <c r="AG99" s="15" t="str">
        <f>IF(PAC!AF71= "","",PAC!AF71)</f>
        <v/>
      </c>
      <c r="AH99" s="15" t="str">
        <f>IF(PAC!AG71= "","",PAC!AG71)</f>
        <v/>
      </c>
      <c r="AI99" s="15" t="str">
        <f>IF(PAC!AH71= "","",PAC!AH71)</f>
        <v/>
      </c>
      <c r="AJ99" s="15" t="str">
        <f>IF(PAC!AI71= "","",PAC!AI71)</f>
        <v/>
      </c>
      <c r="AK99" s="15" t="str">
        <f>IF(PAC!AJ71= "","",PAC!AJ71)</f>
        <v/>
      </c>
      <c r="AL99" s="15" t="str">
        <f>IF(PAC!AK71= "","",PAC!AK71)</f>
        <v/>
      </c>
      <c r="AM99" s="15" t="str">
        <f>IF(PAC!AL71= "","",PAC!AL71)</f>
        <v/>
      </c>
      <c r="AN99" s="15" t="str">
        <f>IF(PAC!AM71= "","",PAC!AM71)</f>
        <v/>
      </c>
      <c r="AO99" s="139" t="s">
        <v>37</v>
      </c>
    </row>
    <row r="100" spans="2:41" ht="13.8" hidden="1" thickBot="1">
      <c r="B100" s="132"/>
      <c r="C100" s="133" t="str">
        <f>IF(PAC!B72= "","",PAC!B72)</f>
        <v>Conjunctions</v>
      </c>
      <c r="D100" s="134"/>
      <c r="E100" s="53"/>
      <c r="F100" s="53"/>
      <c r="G100" s="53"/>
      <c r="H100" s="53"/>
      <c r="I100" s="53"/>
      <c r="J100" s="53"/>
      <c r="K100" s="53"/>
      <c r="L100" s="53"/>
      <c r="M100" s="53"/>
      <c r="N100" s="53"/>
      <c r="O100" s="53"/>
      <c r="P100" s="53"/>
      <c r="Q100" s="53"/>
      <c r="R100" s="53"/>
      <c r="S100" s="53"/>
      <c r="T100" s="53"/>
      <c r="U100" s="53"/>
      <c r="V100" s="53"/>
      <c r="W100" s="53"/>
      <c r="X100" s="53"/>
      <c r="Y100" s="53"/>
      <c r="Z100" s="53"/>
      <c r="AA100" s="53"/>
      <c r="AB100" s="53"/>
      <c r="AC100" s="53"/>
      <c r="AD100" s="53"/>
      <c r="AE100" s="53"/>
      <c r="AF100" s="53"/>
      <c r="AG100" s="53"/>
      <c r="AH100" s="53"/>
      <c r="AI100" s="53"/>
      <c r="AJ100" s="53"/>
      <c r="AK100" s="53"/>
      <c r="AL100" s="53"/>
      <c r="AM100" s="53"/>
      <c r="AN100" s="53"/>
      <c r="AO100" s="140" t="s">
        <v>167</v>
      </c>
    </row>
    <row r="101" spans="2:41" hidden="1">
      <c r="D101" s="15"/>
      <c r="AO101" s="140" t="s">
        <v>169</v>
      </c>
    </row>
    <row r="102" spans="2:41" hidden="1">
      <c r="C102" s="125" t="str">
        <f ca="1">CONCATENATE(IF(INDIRECT("'"&amp;$C$1&amp;"'!B74")="","",INDIRECT("'"&amp;$C$1&amp;"'!B74"))," ",IF(INDIRECT("'"&amp;$C$1&amp;"'!C74")="","""",INDIRECT("'"&amp;$C$1&amp;"'!C74")))</f>
        <v>conjunct with sun</v>
      </c>
      <c r="D102" s="147"/>
      <c r="E102" s="15" t="str">
        <f ca="1">IF(INDIRECT("'"&amp;$C$1&amp;"'!D74")= "","",INDIRECT("'"&amp;$C$1&amp;"'!D74"))</f>
        <v/>
      </c>
      <c r="F102" s="15" t="str">
        <f ca="1">IF(INDIRECT("'"&amp;$C$1&amp;"'!e74")= "","",INDIRECT("'"&amp;$C$1&amp;"'!e74"))</f>
        <v/>
      </c>
      <c r="G102" s="15" t="str">
        <f ca="1">IF(INDIRECT("'"&amp;$C$1&amp;"'!f74")= "","",INDIRECT("'"&amp;$C$1&amp;"'!f74"))</f>
        <v/>
      </c>
      <c r="H102" s="15" t="str">
        <f ca="1">IF(INDIRECT("'"&amp;$C$1&amp;"'!g74")= "","",INDIRECT("'"&amp;$C$1&amp;"'!g74"))</f>
        <v>Y</v>
      </c>
      <c r="I102" s="15" t="str">
        <f ca="1">IF(INDIRECT("'"&amp;$C$1&amp;"'!h74")= "","",INDIRECT("'"&amp;$C$1&amp;"'!h74"))</f>
        <v/>
      </c>
      <c r="J102" s="15" t="str">
        <f ca="1">IF(INDIRECT("'"&amp;$C$1&amp;"'!i74")= "","",INDIRECT("'"&amp;$C$1&amp;"'!i74"))</f>
        <v/>
      </c>
      <c r="K102" s="15" t="str">
        <f ca="1">IF(INDIRECT("'"&amp;$C$1&amp;"'!j74")= "","",INDIRECT("'"&amp;$C$1&amp;"'!j74"))</f>
        <v/>
      </c>
      <c r="L102" s="15" t="str">
        <f ca="1">IF(INDIRECT("'"&amp;$C$1&amp;"'!k74")= "","",INDIRECT("'"&amp;$C$1&amp;"'!k74"))</f>
        <v/>
      </c>
      <c r="M102" s="15" t="str">
        <f ca="1">IF(INDIRECT("'"&amp;$C$1&amp;"'!L74")= "","",INDIRECT("'"&amp;$C$1&amp;"'!L74"))</f>
        <v/>
      </c>
      <c r="N102" s="15" t="str">
        <f ca="1">IF(INDIRECT("'"&amp;$C$1&amp;"'!M74")= "","",INDIRECT("'"&amp;$C$1&amp;"'!M74"))</f>
        <v>Y</v>
      </c>
      <c r="P102" s="15" t="str">
        <f ca="1">IF(INDIRECT("'"&amp;$C$1&amp;"'!o74")= "","",INDIRECT("'"&amp;$C$1&amp;"'!o74"))</f>
        <v/>
      </c>
      <c r="Q102" s="15" t="str">
        <f ca="1">IF(INDIRECT("'"&amp;$C$1&amp;"'!p74")= "","",INDIRECT("'"&amp;$C$1&amp;"'!p74"))</f>
        <v/>
      </c>
      <c r="R102" s="15" t="str">
        <f ca="1">IF(INDIRECT("'"&amp;$C$1&amp;"'!q74")= "","",INDIRECT("'"&amp;$C$1&amp;"'!q74"))</f>
        <v/>
      </c>
      <c r="S102" s="15" t="str">
        <f ca="1">IF(INDIRECT("'"&amp;$C$1&amp;"'!r74")= "","",INDIRECT("'"&amp;$C$1&amp;"'!r74"))</f>
        <v/>
      </c>
      <c r="T102" s="15" t="str">
        <f ca="1">IF(INDIRECT("'"&amp;$C$1&amp;"'!s74")= "","",INDIRECT("'"&amp;$C$1&amp;"'!s74"))</f>
        <v/>
      </c>
      <c r="U102" s="15" t="str">
        <f ca="1">IF(INDIRECT("'"&amp;$C$1&amp;"'!t74")= "","",INDIRECT("'"&amp;$C$1&amp;"'!t74"))</f>
        <v/>
      </c>
      <c r="V102" s="15" t="str">
        <f ca="1">IF(INDIRECT("'"&amp;$C$1&amp;"'!u74")= "","",INDIRECT("'"&amp;$C$1&amp;"'!u74"))</f>
        <v/>
      </c>
      <c r="W102" s="15" t="str">
        <f ca="1">IF(INDIRECT("'"&amp;$C$1&amp;"'!v74")= "","",INDIRECT("'"&amp;$C$1&amp;"'!v74"))</f>
        <v/>
      </c>
      <c r="X102" s="15" t="str">
        <f ca="1">IF(INDIRECT("'"&amp;$C$1&amp;"'!w74")= "","",INDIRECT("'"&amp;$C$1&amp;"'!w74"))</f>
        <v>Y</v>
      </c>
      <c r="Y102" s="15" t="str">
        <f ca="1">IF(INDIRECT("'"&amp;$C$1&amp;"'!x74")= "","",INDIRECT("'"&amp;$C$1&amp;"'!x74"))</f>
        <v/>
      </c>
      <c r="Z102" s="15" t="str">
        <f ca="1">IF(INDIRECT("'"&amp;$C$1&amp;"'!y74")= "","",INDIRECT("'"&amp;$C$1&amp;"'!y74"))</f>
        <v xml:space="preserve"> </v>
      </c>
      <c r="AA102" s="15" t="str">
        <f ca="1">IF(INDIRECT("'"&amp;$C$1&amp;"'!z74")= "","",INDIRECT("'"&amp;$C$1&amp;"'!z74"))</f>
        <v>Y</v>
      </c>
      <c r="AB102" s="15" t="str">
        <f>IF(PAC!AA74= "","",PAC!AA74)</f>
        <v/>
      </c>
      <c r="AC102" s="151"/>
      <c r="AD102" s="151"/>
      <c r="AE102" s="151"/>
      <c r="AF102" s="151"/>
      <c r="AG102" s="151"/>
      <c r="AH102" s="151"/>
      <c r="AI102" s="151"/>
      <c r="AJ102" s="151"/>
      <c r="AK102" s="151"/>
      <c r="AL102" s="151"/>
      <c r="AM102" s="151"/>
      <c r="AN102" s="151"/>
      <c r="AO102" s="140" t="s">
        <v>171</v>
      </c>
    </row>
    <row r="103" spans="2:41" hidden="1">
      <c r="C103" s="125" t="str">
        <f ca="1">CONCATENATE(IF(INDIRECT("'"&amp;$C$1&amp;"'!B75")="","",INDIRECT("'"&amp;$C$1&amp;"'!B75"))," ",IF(INDIRECT("'"&amp;$C$1&amp;"'!C75")="","""",INDIRECT("'"&amp;$C$1&amp;"'!C75")))</f>
        <v xml:space="preserve">conjunct with moon </v>
      </c>
      <c r="D103" s="147"/>
      <c r="E103" s="15" t="str">
        <f ca="1">IF(INDIRECT("'"&amp;$C$1&amp;"'!D75")= "","",INDIRECT("'"&amp;$C$1&amp;"'!D75"))</f>
        <v/>
      </c>
      <c r="F103" s="15" t="str">
        <f ca="1">IF(INDIRECT("'"&amp;$C$1&amp;"'!e75")= "","",INDIRECT("'"&amp;$C$1&amp;"'!e75"))</f>
        <v/>
      </c>
      <c r="G103" s="15" t="str">
        <f ca="1">IF(INDIRECT("'"&amp;$C$1&amp;"'!f75")= "","",INDIRECT("'"&amp;$C$1&amp;"'!f75"))</f>
        <v/>
      </c>
      <c r="H103" s="15" t="str">
        <f ca="1">IF(INDIRECT("'"&amp;$C$1&amp;"'!g75")= "","",INDIRECT("'"&amp;$C$1&amp;"'!g75"))</f>
        <v/>
      </c>
      <c r="I103" s="15" t="str">
        <f ca="1">IF(INDIRECT("'"&amp;$C$1&amp;"'!h75")= "","",INDIRECT("'"&amp;$C$1&amp;"'!h75"))</f>
        <v/>
      </c>
      <c r="J103" s="15" t="str">
        <f ca="1">IF(INDIRECT("'"&amp;$C$1&amp;"'!i75")= "","",INDIRECT("'"&amp;$C$1&amp;"'!i75"))</f>
        <v>Y</v>
      </c>
      <c r="K103" s="15" t="str">
        <f ca="1">IF(INDIRECT("'"&amp;$C$1&amp;"'!j75")= "","",INDIRECT("'"&amp;$C$1&amp;"'!j75"))</f>
        <v/>
      </c>
      <c r="L103" s="15" t="str">
        <f ca="1">IF(INDIRECT("'"&amp;$C$1&amp;"'!k75")= "","",INDIRECT("'"&amp;$C$1&amp;"'!k75"))</f>
        <v/>
      </c>
      <c r="M103" s="15" t="str">
        <f ca="1">IF(INDIRECT("'"&amp;$C$1&amp;"'!L75")= "","",INDIRECT("'"&amp;$C$1&amp;"'!L75"))</f>
        <v/>
      </c>
      <c r="N103" s="15" t="str">
        <f ca="1">IF(INDIRECT("'"&amp;$C$1&amp;"'!M75")= "","",INDIRECT("'"&amp;$C$1&amp;"'!M75"))</f>
        <v/>
      </c>
      <c r="P103" s="15" t="str">
        <f ca="1">IF(INDIRECT("'"&amp;$C$1&amp;"'!o75")= "","",INDIRECT("'"&amp;$C$1&amp;"'!o75"))</f>
        <v/>
      </c>
      <c r="Q103" s="15" t="str">
        <f ca="1">IF(INDIRECT("'"&amp;$C$1&amp;"'!p75")= "","",INDIRECT("'"&amp;$C$1&amp;"'!p75"))</f>
        <v>Y</v>
      </c>
      <c r="R103" s="15" t="str">
        <f ca="1">IF(INDIRECT("'"&amp;$C$1&amp;"'!q75")= "","",INDIRECT("'"&amp;$C$1&amp;"'!q75"))</f>
        <v/>
      </c>
      <c r="S103" s="15" t="str">
        <f ca="1">IF(INDIRECT("'"&amp;$C$1&amp;"'!r75")= "","",INDIRECT("'"&amp;$C$1&amp;"'!r75"))</f>
        <v/>
      </c>
      <c r="T103" s="15" t="str">
        <f ca="1">IF(INDIRECT("'"&amp;$C$1&amp;"'!s75")= "","",INDIRECT("'"&amp;$C$1&amp;"'!s75"))</f>
        <v/>
      </c>
      <c r="U103" s="15" t="str">
        <f ca="1">IF(INDIRECT("'"&amp;$C$1&amp;"'!t75")= "","",INDIRECT("'"&amp;$C$1&amp;"'!t75"))</f>
        <v/>
      </c>
      <c r="V103" s="15" t="str">
        <f ca="1">IF(INDIRECT("'"&amp;$C$1&amp;"'!u75")= "","",INDIRECT("'"&amp;$C$1&amp;"'!u75"))</f>
        <v>Y</v>
      </c>
      <c r="W103" s="15" t="str">
        <f ca="1">IF(INDIRECT("'"&amp;$C$1&amp;"'!v75")= "","",INDIRECT("'"&amp;$C$1&amp;"'!v75"))</f>
        <v/>
      </c>
      <c r="X103" s="15" t="str">
        <f ca="1">IF(INDIRECT("'"&amp;$C$1&amp;"'!w75")= "","",INDIRECT("'"&amp;$C$1&amp;"'!w75"))</f>
        <v/>
      </c>
      <c r="Y103" s="15" t="str">
        <f ca="1">IF(INDIRECT("'"&amp;$C$1&amp;"'!x75")= "","",INDIRECT("'"&amp;$C$1&amp;"'!x75"))</f>
        <v xml:space="preserve"> </v>
      </c>
      <c r="Z103" s="15" t="str">
        <f ca="1">IF(INDIRECT("'"&amp;$C$1&amp;"'!y75")= "","",INDIRECT("'"&amp;$C$1&amp;"'!y75"))</f>
        <v/>
      </c>
      <c r="AA103" s="15" t="str">
        <f ca="1">IF(INDIRECT("'"&amp;$C$1&amp;"'!z75")= "","",INDIRECT("'"&amp;$C$1&amp;"'!z75"))</f>
        <v/>
      </c>
      <c r="AB103" s="15" t="str">
        <f>IF(PAC!AA75= "","",PAC!AA75)</f>
        <v/>
      </c>
      <c r="AC103" s="151"/>
      <c r="AD103" s="151"/>
      <c r="AE103" s="151"/>
      <c r="AF103" s="151"/>
      <c r="AG103" s="151"/>
      <c r="AH103" s="151"/>
      <c r="AI103" s="151"/>
      <c r="AJ103" s="151"/>
      <c r="AK103" s="151"/>
      <c r="AL103" s="151"/>
      <c r="AM103" s="151"/>
      <c r="AN103" s="151"/>
      <c r="AO103" s="140" t="s">
        <v>173</v>
      </c>
    </row>
    <row r="104" spans="2:41" hidden="1">
      <c r="C104" s="125" t="str">
        <f ca="1">CONCATENATE(IF(INDIRECT("'"&amp;$C$1&amp;"'!B76")="","",INDIRECT("'"&amp;$C$1&amp;"'!B76"))," ",IF(INDIRECT("'"&amp;$C$1&amp;"'!C76")="","""",INDIRECT("'"&amp;$C$1&amp;"'!C76")))</f>
        <v>conjunct with mercury</v>
      </c>
      <c r="D104" s="147"/>
      <c r="E104" s="15" t="str">
        <f ca="1">IF(INDIRECT("'"&amp;$C$1&amp;"'!D76")= "","",INDIRECT("'"&amp;$C$1&amp;"'!D76"))</f>
        <v/>
      </c>
      <c r="F104" s="15" t="str">
        <f ca="1">IF(INDIRECT("'"&amp;$C$1&amp;"'!e76")= "","",INDIRECT("'"&amp;$C$1&amp;"'!e76"))</f>
        <v>Y</v>
      </c>
      <c r="G104" s="15" t="str">
        <f ca="1">IF(INDIRECT("'"&amp;$C$1&amp;"'!f76")= "","",INDIRECT("'"&amp;$C$1&amp;"'!f76"))</f>
        <v/>
      </c>
      <c r="H104" s="15" t="str">
        <f ca="1">IF(INDIRECT("'"&amp;$C$1&amp;"'!g76")= "","",INDIRECT("'"&amp;$C$1&amp;"'!g76"))</f>
        <v/>
      </c>
      <c r="I104" s="15" t="str">
        <f ca="1">IF(INDIRECT("'"&amp;$C$1&amp;"'!h76")= "","",INDIRECT("'"&amp;$C$1&amp;"'!h76"))</f>
        <v/>
      </c>
      <c r="J104" s="15" t="str">
        <f ca="1">IF(INDIRECT("'"&amp;$C$1&amp;"'!i76")= "","",INDIRECT("'"&amp;$C$1&amp;"'!i76"))</f>
        <v/>
      </c>
      <c r="K104" s="15" t="str">
        <f ca="1">IF(INDIRECT("'"&amp;$C$1&amp;"'!j76")= "","",INDIRECT("'"&amp;$C$1&amp;"'!j76"))</f>
        <v/>
      </c>
      <c r="L104" s="15" t="str">
        <f ca="1">IF(INDIRECT("'"&amp;$C$1&amp;"'!k76")= "","",INDIRECT("'"&amp;$C$1&amp;"'!k76"))</f>
        <v/>
      </c>
      <c r="M104" s="15" t="str">
        <f ca="1">IF(INDIRECT("'"&amp;$C$1&amp;"'!L76")= "","",INDIRECT("'"&amp;$C$1&amp;"'!L76"))</f>
        <v/>
      </c>
      <c r="N104" s="15" t="str">
        <f ca="1">IF(INDIRECT("'"&amp;$C$1&amp;"'!M76")= "","",INDIRECT("'"&amp;$C$1&amp;"'!M76"))</f>
        <v>Y</v>
      </c>
      <c r="P104" s="15" t="str">
        <f ca="1">IF(INDIRECT("'"&amp;$C$1&amp;"'!o76")= "","",INDIRECT("'"&amp;$C$1&amp;"'!o76"))</f>
        <v/>
      </c>
      <c r="Q104" s="15" t="str">
        <f ca="1">IF(INDIRECT("'"&amp;$C$1&amp;"'!p76")= "","",INDIRECT("'"&amp;$C$1&amp;"'!p76"))</f>
        <v/>
      </c>
      <c r="R104" s="15" t="str">
        <f ca="1">IF(INDIRECT("'"&amp;$C$1&amp;"'!q76")= "","",INDIRECT("'"&amp;$C$1&amp;"'!q76"))</f>
        <v/>
      </c>
      <c r="S104" s="15" t="str">
        <f ca="1">IF(INDIRECT("'"&amp;$C$1&amp;"'!r76")= "","",INDIRECT("'"&amp;$C$1&amp;"'!r76"))</f>
        <v/>
      </c>
      <c r="T104" s="15" t="str">
        <f ca="1">IF(INDIRECT("'"&amp;$C$1&amp;"'!s76")= "","",INDIRECT("'"&amp;$C$1&amp;"'!s76"))</f>
        <v/>
      </c>
      <c r="U104" s="15" t="str">
        <f ca="1">IF(INDIRECT("'"&amp;$C$1&amp;"'!t76")= "","",INDIRECT("'"&amp;$C$1&amp;"'!t76"))</f>
        <v/>
      </c>
      <c r="V104" s="15" t="str">
        <f ca="1">IF(INDIRECT("'"&amp;$C$1&amp;"'!u76")= "","",INDIRECT("'"&amp;$C$1&amp;"'!u76"))</f>
        <v/>
      </c>
      <c r="W104" s="15" t="str">
        <f ca="1">IF(INDIRECT("'"&amp;$C$1&amp;"'!v76")= "","",INDIRECT("'"&amp;$C$1&amp;"'!v76"))</f>
        <v/>
      </c>
      <c r="X104" s="15" t="str">
        <f ca="1">IF(INDIRECT("'"&amp;$C$1&amp;"'!w76")= "","",INDIRECT("'"&amp;$C$1&amp;"'!w76"))</f>
        <v xml:space="preserve"> </v>
      </c>
      <c r="Y104" s="15" t="str">
        <f ca="1">IF(INDIRECT("'"&amp;$C$1&amp;"'!x76")= "","",INDIRECT("'"&amp;$C$1&amp;"'!x76"))</f>
        <v/>
      </c>
      <c r="Z104" s="15" t="str">
        <f ca="1">IF(INDIRECT("'"&amp;$C$1&amp;"'!y76")= "","",INDIRECT("'"&amp;$C$1&amp;"'!y76"))</f>
        <v>Y</v>
      </c>
      <c r="AA104" s="15" t="str">
        <f ca="1">IF(INDIRECT("'"&amp;$C$1&amp;"'!z76")= "","",INDIRECT("'"&amp;$C$1&amp;"'!z76"))</f>
        <v xml:space="preserve"> </v>
      </c>
      <c r="AB104" s="15" t="str">
        <f>IF(PAC!AA76= "","",PAC!AA76)</f>
        <v/>
      </c>
      <c r="AC104" s="151"/>
      <c r="AD104" s="151"/>
      <c r="AE104" s="151"/>
      <c r="AF104" s="151"/>
      <c r="AG104" s="151"/>
      <c r="AH104" s="151"/>
      <c r="AI104" s="151"/>
      <c r="AJ104" s="151"/>
      <c r="AK104" s="151"/>
      <c r="AL104" s="151"/>
      <c r="AM104" s="151"/>
      <c r="AN104" s="151"/>
      <c r="AO104" s="140" t="s">
        <v>175</v>
      </c>
    </row>
    <row r="105" spans="2:41" hidden="1">
      <c r="C105" s="125" t="str">
        <f ca="1">CONCATENATE(IF(INDIRECT("'"&amp;$C$1&amp;"'!B77")="","",INDIRECT("'"&amp;$C$1&amp;"'!B77"))," ",IF(INDIRECT("'"&amp;$C$1&amp;"'!C77")="","""",INDIRECT("'"&amp;$C$1&amp;"'!C77")))</f>
        <v>conjunct with venus</v>
      </c>
      <c r="D105" s="147"/>
      <c r="E105" s="15" t="str">
        <f ca="1">IF(INDIRECT("'"&amp;$C$1&amp;"'!D77")= "","",INDIRECT("'"&amp;$C$1&amp;"'!D77"))</f>
        <v/>
      </c>
      <c r="F105" s="15" t="str">
        <f ca="1">IF(INDIRECT("'"&amp;$C$1&amp;"'!e77")= "","",INDIRECT("'"&amp;$C$1&amp;"'!e77"))</f>
        <v/>
      </c>
      <c r="G105" s="15" t="str">
        <f ca="1">IF(INDIRECT("'"&amp;$C$1&amp;"'!f77")= "","",INDIRECT("'"&amp;$C$1&amp;"'!f77"))</f>
        <v/>
      </c>
      <c r="H105" s="15" t="str">
        <f ca="1">IF(INDIRECT("'"&amp;$C$1&amp;"'!g77")= "","",INDIRECT("'"&amp;$C$1&amp;"'!g77"))</f>
        <v/>
      </c>
      <c r="I105" s="15" t="str">
        <f ca="1">IF(INDIRECT("'"&amp;$C$1&amp;"'!h77")= "","",INDIRECT("'"&amp;$C$1&amp;"'!h77"))</f>
        <v/>
      </c>
      <c r="J105" s="15" t="str">
        <f ca="1">IF(INDIRECT("'"&amp;$C$1&amp;"'!i77")= "","",INDIRECT("'"&amp;$C$1&amp;"'!i77"))</f>
        <v/>
      </c>
      <c r="K105" s="15" t="str">
        <f ca="1">IF(INDIRECT("'"&amp;$C$1&amp;"'!j77")= "","",INDIRECT("'"&amp;$C$1&amp;"'!j77"))</f>
        <v/>
      </c>
      <c r="L105" s="15" t="str">
        <f ca="1">IF(INDIRECT("'"&amp;$C$1&amp;"'!k77")= "","",INDIRECT("'"&amp;$C$1&amp;"'!k77"))</f>
        <v>Y</v>
      </c>
      <c r="M105" s="15" t="str">
        <f ca="1">IF(INDIRECT("'"&amp;$C$1&amp;"'!L77")= "","",INDIRECT("'"&amp;$C$1&amp;"'!L77"))</f>
        <v/>
      </c>
      <c r="N105" s="15" t="str">
        <f ca="1">IF(INDIRECT("'"&amp;$C$1&amp;"'!M77")= "","",INDIRECT("'"&amp;$C$1&amp;"'!M77"))</f>
        <v/>
      </c>
      <c r="P105" s="15" t="str">
        <f ca="1">IF(INDIRECT("'"&amp;$C$1&amp;"'!o77")= "","",INDIRECT("'"&amp;$C$1&amp;"'!o77"))</f>
        <v xml:space="preserve"> </v>
      </c>
      <c r="Q105" s="15" t="str">
        <f ca="1">IF(INDIRECT("'"&amp;$C$1&amp;"'!p77")= "","",INDIRECT("'"&amp;$C$1&amp;"'!p77"))</f>
        <v/>
      </c>
      <c r="R105" s="15" t="str">
        <f ca="1">IF(INDIRECT("'"&amp;$C$1&amp;"'!q77")= "","",INDIRECT("'"&amp;$C$1&amp;"'!q77"))</f>
        <v/>
      </c>
      <c r="S105" s="15" t="str">
        <f ca="1">IF(INDIRECT("'"&amp;$C$1&amp;"'!r77")= "","",INDIRECT("'"&amp;$C$1&amp;"'!r77"))</f>
        <v>Y</v>
      </c>
      <c r="T105" s="15" t="str">
        <f ca="1">IF(INDIRECT("'"&amp;$C$1&amp;"'!s77")= "","",INDIRECT("'"&amp;$C$1&amp;"'!s77"))</f>
        <v>Y</v>
      </c>
      <c r="U105" s="15" t="str">
        <f ca="1">IF(INDIRECT("'"&amp;$C$1&amp;"'!t77")= "","",INDIRECT("'"&amp;$C$1&amp;"'!t77"))</f>
        <v/>
      </c>
      <c r="V105" s="15" t="str">
        <f ca="1">IF(INDIRECT("'"&amp;$C$1&amp;"'!u77")= "","",INDIRECT("'"&amp;$C$1&amp;"'!u77"))</f>
        <v/>
      </c>
      <c r="W105" s="15" t="str">
        <f ca="1">IF(INDIRECT("'"&amp;$C$1&amp;"'!v77")= "","",INDIRECT("'"&amp;$C$1&amp;"'!v77"))</f>
        <v xml:space="preserve"> </v>
      </c>
      <c r="X105" s="15" t="str">
        <f ca="1">IF(INDIRECT("'"&amp;$C$1&amp;"'!w77")= "","",INDIRECT("'"&amp;$C$1&amp;"'!w77"))</f>
        <v/>
      </c>
      <c r="Y105" s="15" t="str">
        <f ca="1">IF(INDIRECT("'"&amp;$C$1&amp;"'!x77")= "","",INDIRECT("'"&amp;$C$1&amp;"'!x77"))</f>
        <v/>
      </c>
      <c r="Z105" s="15" t="str">
        <f ca="1">IF(INDIRECT("'"&amp;$C$1&amp;"'!y77")= "","",INDIRECT("'"&amp;$C$1&amp;"'!y77"))</f>
        <v/>
      </c>
      <c r="AA105" s="15" t="str">
        <f ca="1">IF(INDIRECT("'"&amp;$C$1&amp;"'!z77")= "","",INDIRECT("'"&amp;$C$1&amp;"'!z77"))</f>
        <v/>
      </c>
      <c r="AB105" s="15" t="str">
        <f>IF(PAC!AA77= "","",PAC!AA77)</f>
        <v/>
      </c>
      <c r="AC105" s="151"/>
      <c r="AD105" s="151"/>
      <c r="AE105" s="151"/>
      <c r="AF105" s="151"/>
      <c r="AG105" s="151"/>
      <c r="AH105" s="151"/>
      <c r="AI105" s="151"/>
      <c r="AJ105" s="151"/>
      <c r="AK105" s="151"/>
      <c r="AL105" s="151"/>
      <c r="AM105" s="151"/>
      <c r="AN105" s="151"/>
      <c r="AO105" s="140" t="s">
        <v>177</v>
      </c>
    </row>
    <row r="106" spans="2:41" hidden="1">
      <c r="C106" s="125" t="str">
        <f ca="1">CONCATENATE(IF(INDIRECT("'"&amp;$C$1&amp;"'!B78")="","",INDIRECT("'"&amp;$C$1&amp;"'!B78"))," ",IF(INDIRECT("'"&amp;$C$1&amp;"'!C78")="","""",INDIRECT("'"&amp;$C$1&amp;"'!C78")))</f>
        <v>conjunct with mars</v>
      </c>
      <c r="D106" s="147"/>
      <c r="E106" s="15" t="str">
        <f ca="1">IF(INDIRECT("'"&amp;$C$1&amp;"'!D78")= "","",INDIRECT("'"&amp;$C$1&amp;"'!D78"))</f>
        <v/>
      </c>
      <c r="F106" s="15" t="str">
        <f ca="1">IF(INDIRECT("'"&amp;$C$1&amp;"'!e78")= "","",INDIRECT("'"&amp;$C$1&amp;"'!e78"))</f>
        <v/>
      </c>
      <c r="G106" s="15" t="str">
        <f ca="1">IF(INDIRECT("'"&amp;$C$1&amp;"'!f78")= "","",INDIRECT("'"&amp;$C$1&amp;"'!f78"))</f>
        <v>Y</v>
      </c>
      <c r="H106" s="15" t="str">
        <f ca="1">IF(INDIRECT("'"&amp;$C$1&amp;"'!g78")= "","",INDIRECT("'"&amp;$C$1&amp;"'!g78"))</f>
        <v/>
      </c>
      <c r="I106" s="15" t="str">
        <f ca="1">IF(INDIRECT("'"&amp;$C$1&amp;"'!h78")= "","",INDIRECT("'"&amp;$C$1&amp;"'!h78"))</f>
        <v/>
      </c>
      <c r="J106" s="15" t="str">
        <f ca="1">IF(INDIRECT("'"&amp;$C$1&amp;"'!i78")= "","",INDIRECT("'"&amp;$C$1&amp;"'!i78"))</f>
        <v/>
      </c>
      <c r="K106" s="15" t="str">
        <f ca="1">IF(INDIRECT("'"&amp;$C$1&amp;"'!j78")= "","",INDIRECT("'"&amp;$C$1&amp;"'!j78"))</f>
        <v/>
      </c>
      <c r="L106" s="15" t="str">
        <f ca="1">IF(INDIRECT("'"&amp;$C$1&amp;"'!k78")= "","",INDIRECT("'"&amp;$C$1&amp;"'!k78"))</f>
        <v/>
      </c>
      <c r="M106" s="15" t="str">
        <f ca="1">IF(INDIRECT("'"&amp;$C$1&amp;"'!L78")= "","",INDIRECT("'"&amp;$C$1&amp;"'!L78"))</f>
        <v/>
      </c>
      <c r="N106" s="15" t="str">
        <f ca="1">IF(INDIRECT("'"&amp;$C$1&amp;"'!M78")= "","",INDIRECT("'"&amp;$C$1&amp;"'!M78"))</f>
        <v/>
      </c>
      <c r="P106" s="15" t="str">
        <f ca="1">IF(INDIRECT("'"&amp;$C$1&amp;"'!o78")= "","",INDIRECT("'"&amp;$C$1&amp;"'!o78"))</f>
        <v/>
      </c>
      <c r="Q106" s="15" t="str">
        <f ca="1">IF(INDIRECT("'"&amp;$C$1&amp;"'!p78")= "","",INDIRECT("'"&amp;$C$1&amp;"'!p78"))</f>
        <v xml:space="preserve"> </v>
      </c>
      <c r="R106" s="15" t="str">
        <f ca="1">IF(INDIRECT("'"&amp;$C$1&amp;"'!q78")= "","",INDIRECT("'"&amp;$C$1&amp;"'!q78"))</f>
        <v/>
      </c>
      <c r="S106" s="15" t="str">
        <f ca="1">IF(INDIRECT("'"&amp;$C$1&amp;"'!r78")= "","",INDIRECT("'"&amp;$C$1&amp;"'!r78"))</f>
        <v/>
      </c>
      <c r="T106" s="15" t="str">
        <f ca="1">IF(INDIRECT("'"&amp;$C$1&amp;"'!s78")= "","",INDIRECT("'"&amp;$C$1&amp;"'!s78"))</f>
        <v/>
      </c>
      <c r="U106" s="15" t="str">
        <f ca="1">IF(INDIRECT("'"&amp;$C$1&amp;"'!t78")= "","",INDIRECT("'"&amp;$C$1&amp;"'!t78"))</f>
        <v/>
      </c>
      <c r="V106" s="15" t="str">
        <f ca="1">IF(INDIRECT("'"&amp;$C$1&amp;"'!u78")= "","",INDIRECT("'"&amp;$C$1&amp;"'!u78"))</f>
        <v xml:space="preserve"> </v>
      </c>
      <c r="W106" s="15" t="str">
        <f ca="1">IF(INDIRECT("'"&amp;$C$1&amp;"'!v78")= "","",INDIRECT("'"&amp;$C$1&amp;"'!v78"))</f>
        <v/>
      </c>
      <c r="X106" s="15" t="str">
        <f ca="1">IF(INDIRECT("'"&amp;$C$1&amp;"'!w78")= "","",INDIRECT("'"&amp;$C$1&amp;"'!w78"))</f>
        <v/>
      </c>
      <c r="Y106" s="15" t="str">
        <f ca="1">IF(INDIRECT("'"&amp;$C$1&amp;"'!x78")= "","",INDIRECT("'"&amp;$C$1&amp;"'!x78"))</f>
        <v>Y</v>
      </c>
      <c r="Z106" s="15" t="str">
        <f ca="1">IF(INDIRECT("'"&amp;$C$1&amp;"'!y78")= "","",INDIRECT("'"&amp;$C$1&amp;"'!y78"))</f>
        <v/>
      </c>
      <c r="AA106" s="15" t="str">
        <f ca="1">IF(INDIRECT("'"&amp;$C$1&amp;"'!z78")= "","",INDIRECT("'"&amp;$C$1&amp;"'!z78"))</f>
        <v/>
      </c>
      <c r="AB106" s="15" t="str">
        <f>IF(PAC!AA78= "","",PAC!AA78)</f>
        <v/>
      </c>
      <c r="AC106" s="151"/>
      <c r="AD106" s="151"/>
      <c r="AE106" s="151"/>
      <c r="AF106" s="151"/>
      <c r="AG106" s="151"/>
      <c r="AH106" s="151"/>
      <c r="AI106" s="151"/>
      <c r="AJ106" s="151"/>
      <c r="AK106" s="151"/>
      <c r="AL106" s="151"/>
      <c r="AM106" s="151"/>
      <c r="AN106" s="151"/>
      <c r="AO106" s="140" t="s">
        <v>179</v>
      </c>
    </row>
    <row r="107" spans="2:41" hidden="1">
      <c r="C107" s="125" t="str">
        <f ca="1">CONCATENATE(IF(INDIRECT("'"&amp;$C$1&amp;"'!B79")="","",INDIRECT("'"&amp;$C$1&amp;"'!B79"))," ",IF(INDIRECT("'"&amp;$C$1&amp;"'!C79")="","""",INDIRECT("'"&amp;$C$1&amp;"'!C79")))</f>
        <v>conjunct with jupiter</v>
      </c>
      <c r="D107" s="147"/>
      <c r="E107" s="15" t="str">
        <f ca="1">IF(INDIRECT("'"&amp;$C$1&amp;"'!D79")= "","",INDIRECT("'"&amp;$C$1&amp;"'!D79"))</f>
        <v/>
      </c>
      <c r="F107" s="15" t="str">
        <f ca="1">IF(INDIRECT("'"&amp;$C$1&amp;"'!e79")= "","",INDIRECT("'"&amp;$C$1&amp;"'!e79"))</f>
        <v/>
      </c>
      <c r="G107" s="15" t="str">
        <f ca="1">IF(INDIRECT("'"&amp;$C$1&amp;"'!f79")= "","",INDIRECT("'"&amp;$C$1&amp;"'!f79"))</f>
        <v/>
      </c>
      <c r="H107" s="15" t="str">
        <f ca="1">IF(INDIRECT("'"&amp;$C$1&amp;"'!g79")= "","",INDIRECT("'"&amp;$C$1&amp;"'!g79"))</f>
        <v/>
      </c>
      <c r="I107" s="15" t="str">
        <f ca="1">IF(INDIRECT("'"&amp;$C$1&amp;"'!h79")= "","",INDIRECT("'"&amp;$C$1&amp;"'!h79"))</f>
        <v/>
      </c>
      <c r="J107" s="15" t="str">
        <f ca="1">IF(INDIRECT("'"&amp;$C$1&amp;"'!i79")= "","",INDIRECT("'"&amp;$C$1&amp;"'!i79"))</f>
        <v/>
      </c>
      <c r="K107" s="15" t="str">
        <f ca="1">IF(INDIRECT("'"&amp;$C$1&amp;"'!j79")= "","",INDIRECT("'"&amp;$C$1&amp;"'!j79"))</f>
        <v/>
      </c>
      <c r="L107" s="15" t="str">
        <f ca="1">IF(INDIRECT("'"&amp;$C$1&amp;"'!k79")= "","",INDIRECT("'"&amp;$C$1&amp;"'!k79"))</f>
        <v/>
      </c>
      <c r="M107" s="15" t="str">
        <f ca="1">IF(INDIRECT("'"&amp;$C$1&amp;"'!L79")= "","",INDIRECT("'"&amp;$C$1&amp;"'!L79"))</f>
        <v/>
      </c>
      <c r="N107" s="15" t="str">
        <f ca="1">IF(INDIRECT("'"&amp;$C$1&amp;"'!M79")= "","",INDIRECT("'"&amp;$C$1&amp;"'!M79"))</f>
        <v/>
      </c>
      <c r="P107" s="15" t="str">
        <f ca="1">IF(INDIRECT("'"&amp;$C$1&amp;"'!o79")= "","",INDIRECT("'"&amp;$C$1&amp;"'!o79"))</f>
        <v/>
      </c>
      <c r="Q107" s="15" t="str">
        <f ca="1">IF(INDIRECT("'"&amp;$C$1&amp;"'!p79")= "","",INDIRECT("'"&amp;$C$1&amp;"'!p79"))</f>
        <v/>
      </c>
      <c r="R107" s="15" t="str">
        <f ca="1">IF(INDIRECT("'"&amp;$C$1&amp;"'!q79")= "","",INDIRECT("'"&amp;$C$1&amp;"'!q79"))</f>
        <v xml:space="preserve"> </v>
      </c>
      <c r="S107" s="15" t="str">
        <f ca="1">IF(INDIRECT("'"&amp;$C$1&amp;"'!r79")= "","",INDIRECT("'"&amp;$C$1&amp;"'!r79"))</f>
        <v/>
      </c>
      <c r="T107" s="15" t="str">
        <f ca="1">IF(INDIRECT("'"&amp;$C$1&amp;"'!s79")= "","",INDIRECT("'"&amp;$C$1&amp;"'!s79"))</f>
        <v/>
      </c>
      <c r="U107" s="15" t="str">
        <f ca="1">IF(INDIRECT("'"&amp;$C$1&amp;"'!t79")= "","",INDIRECT("'"&amp;$C$1&amp;"'!t79"))</f>
        <v xml:space="preserve"> </v>
      </c>
      <c r="V107" s="15" t="str">
        <f ca="1">IF(INDIRECT("'"&amp;$C$1&amp;"'!u79")= "","",INDIRECT("'"&amp;$C$1&amp;"'!u79"))</f>
        <v/>
      </c>
      <c r="W107" s="15" t="str">
        <f ca="1">IF(INDIRECT("'"&amp;$C$1&amp;"'!v79")= "","",INDIRECT("'"&amp;$C$1&amp;"'!v79"))</f>
        <v/>
      </c>
      <c r="X107" s="15" t="str">
        <f ca="1">IF(INDIRECT("'"&amp;$C$1&amp;"'!w79")= "","",INDIRECT("'"&amp;$C$1&amp;"'!w79"))</f>
        <v/>
      </c>
      <c r="Y107" s="15" t="str">
        <f ca="1">IF(INDIRECT("'"&amp;$C$1&amp;"'!x79")= "","",INDIRECT("'"&amp;$C$1&amp;"'!x79"))</f>
        <v/>
      </c>
      <c r="Z107" s="15" t="str">
        <f ca="1">IF(INDIRECT("'"&amp;$C$1&amp;"'!y79")= "","",INDIRECT("'"&amp;$C$1&amp;"'!y79"))</f>
        <v/>
      </c>
      <c r="AA107" s="15" t="str">
        <f ca="1">IF(INDIRECT("'"&amp;$C$1&amp;"'!z79")= "","",INDIRECT("'"&amp;$C$1&amp;"'!z79"))</f>
        <v/>
      </c>
      <c r="AB107" s="15" t="str">
        <f>IF(PAC!AA79= "","",PAC!AA79)</f>
        <v/>
      </c>
      <c r="AC107" s="151"/>
      <c r="AD107" s="151"/>
      <c r="AE107" s="151"/>
      <c r="AF107" s="151"/>
      <c r="AG107" s="151"/>
      <c r="AH107" s="151"/>
      <c r="AI107" s="151"/>
      <c r="AJ107" s="151"/>
      <c r="AK107" s="151"/>
      <c r="AL107" s="151"/>
      <c r="AM107" s="151"/>
      <c r="AN107" s="151"/>
      <c r="AO107" s="140" t="s">
        <v>181</v>
      </c>
    </row>
    <row r="108" spans="2:41" hidden="1">
      <c r="C108" s="125" t="str">
        <f ca="1">CONCATENATE(IF(INDIRECT("'"&amp;$C$1&amp;"'!B80")="","",INDIRECT("'"&amp;$C$1&amp;"'!B80"))," ",IF(INDIRECT("'"&amp;$C$1&amp;"'!C80")="","""",INDIRECT("'"&amp;$C$1&amp;"'!C80")))</f>
        <v>conjunct with saturn</v>
      </c>
      <c r="D108" s="147"/>
      <c r="E108" s="15" t="str">
        <f ca="1">IF(INDIRECT("'"&amp;$C$1&amp;"'!D80")= "","",INDIRECT("'"&amp;$C$1&amp;"'!D80"))</f>
        <v/>
      </c>
      <c r="F108" s="15" t="str">
        <f ca="1">IF(INDIRECT("'"&amp;$C$1&amp;"'!e80")= "","",INDIRECT("'"&amp;$C$1&amp;"'!e80"))</f>
        <v/>
      </c>
      <c r="G108" s="15" t="str">
        <f ca="1">IF(INDIRECT("'"&amp;$C$1&amp;"'!f80")= "","",INDIRECT("'"&amp;$C$1&amp;"'!f80"))</f>
        <v/>
      </c>
      <c r="H108" s="15" t="str">
        <f ca="1">IF(INDIRECT("'"&amp;$C$1&amp;"'!g80")= "","",INDIRECT("'"&amp;$C$1&amp;"'!g80"))</f>
        <v/>
      </c>
      <c r="I108" s="15" t="str">
        <f ca="1">IF(INDIRECT("'"&amp;$C$1&amp;"'!h80")= "","",INDIRECT("'"&amp;$C$1&amp;"'!h80"))</f>
        <v>Y</v>
      </c>
      <c r="J108" s="15" t="str">
        <f ca="1">IF(INDIRECT("'"&amp;$C$1&amp;"'!i80")= "","",INDIRECT("'"&amp;$C$1&amp;"'!i80"))</f>
        <v/>
      </c>
      <c r="K108" s="15" t="str">
        <f ca="1">IF(INDIRECT("'"&amp;$C$1&amp;"'!j80")= "","",INDIRECT("'"&amp;$C$1&amp;"'!j80"))</f>
        <v/>
      </c>
      <c r="L108" s="15" t="str">
        <f ca="1">IF(INDIRECT("'"&amp;$C$1&amp;"'!k80")= "","",INDIRECT("'"&amp;$C$1&amp;"'!k80"))</f>
        <v/>
      </c>
      <c r="M108" s="15" t="str">
        <f ca="1">IF(INDIRECT("'"&amp;$C$1&amp;"'!L80")= "","",INDIRECT("'"&amp;$C$1&amp;"'!L80"))</f>
        <v/>
      </c>
      <c r="N108" s="15" t="str">
        <f ca="1">IF(INDIRECT("'"&amp;$C$1&amp;"'!M80")= "","",INDIRECT("'"&amp;$C$1&amp;"'!M80"))</f>
        <v/>
      </c>
      <c r="P108" s="15" t="str">
        <f ca="1">IF(INDIRECT("'"&amp;$C$1&amp;"'!o80")= "","",INDIRECT("'"&amp;$C$1&amp;"'!o80"))</f>
        <v>Y</v>
      </c>
      <c r="Q108" s="15" t="str">
        <f ca="1">IF(INDIRECT("'"&amp;$C$1&amp;"'!p80")= "","",INDIRECT("'"&amp;$C$1&amp;"'!p80"))</f>
        <v/>
      </c>
      <c r="R108" s="15" t="str">
        <f ca="1">IF(INDIRECT("'"&amp;$C$1&amp;"'!q80")= "","",INDIRECT("'"&amp;$C$1&amp;"'!q80"))</f>
        <v/>
      </c>
      <c r="S108" s="15" t="str">
        <f ca="1">IF(INDIRECT("'"&amp;$C$1&amp;"'!r80")= "","",INDIRECT("'"&amp;$C$1&amp;"'!r80"))</f>
        <v xml:space="preserve"> </v>
      </c>
      <c r="T108" s="15" t="str">
        <f ca="1">IF(INDIRECT("'"&amp;$C$1&amp;"'!s80")= "","",INDIRECT("'"&amp;$C$1&amp;"'!s80"))</f>
        <v xml:space="preserve"> </v>
      </c>
      <c r="U108" s="15" t="str">
        <f ca="1">IF(INDIRECT("'"&amp;$C$1&amp;"'!t80")= "","",INDIRECT("'"&amp;$C$1&amp;"'!t80"))</f>
        <v/>
      </c>
      <c r="V108" s="15" t="str">
        <f ca="1">IF(INDIRECT("'"&amp;$C$1&amp;"'!u80")= "","",INDIRECT("'"&amp;$C$1&amp;"'!u80"))</f>
        <v/>
      </c>
      <c r="W108" s="15" t="str">
        <f ca="1">IF(INDIRECT("'"&amp;$C$1&amp;"'!v80")= "","",INDIRECT("'"&amp;$C$1&amp;"'!v80"))</f>
        <v>Y</v>
      </c>
      <c r="X108" s="15" t="str">
        <f ca="1">IF(INDIRECT("'"&amp;$C$1&amp;"'!w80")= "","",INDIRECT("'"&amp;$C$1&amp;"'!w80"))</f>
        <v/>
      </c>
      <c r="Y108" s="15" t="str">
        <f ca="1">IF(INDIRECT("'"&amp;$C$1&amp;"'!x80")= "","",INDIRECT("'"&amp;$C$1&amp;"'!x80"))</f>
        <v/>
      </c>
      <c r="Z108" s="15" t="str">
        <f ca="1">IF(INDIRECT("'"&amp;$C$1&amp;"'!y80")= "","",INDIRECT("'"&amp;$C$1&amp;"'!y80"))</f>
        <v/>
      </c>
      <c r="AA108" s="15" t="str">
        <f ca="1">IF(INDIRECT("'"&amp;$C$1&amp;"'!z80")= "","",INDIRECT("'"&amp;$C$1&amp;"'!z80"))</f>
        <v/>
      </c>
      <c r="AB108" s="15" t="str">
        <f>IF(PAC!AA80= "","",PAC!AA80)</f>
        <v/>
      </c>
      <c r="AC108" s="151"/>
      <c r="AD108" s="151"/>
      <c r="AE108" s="151"/>
      <c r="AF108" s="151"/>
      <c r="AG108" s="151"/>
      <c r="AH108" s="151"/>
      <c r="AI108" s="151"/>
      <c r="AJ108" s="151"/>
      <c r="AK108" s="151"/>
      <c r="AL108" s="151"/>
      <c r="AM108" s="151"/>
      <c r="AN108" s="151"/>
      <c r="AO108" s="140" t="s">
        <v>183</v>
      </c>
    </row>
    <row r="109" spans="2:41" hidden="1">
      <c r="C109" s="125" t="str">
        <f ca="1">CONCATENATE(IF(INDIRECT("'"&amp;$C$1&amp;"'!B81")="","",INDIRECT("'"&amp;$C$1&amp;"'!B81"))," ",IF(INDIRECT("'"&amp;$C$1&amp;"'!C81")="","""",INDIRECT("'"&amp;$C$1&amp;"'!C81")))</f>
        <v>conjunct with rahu</v>
      </c>
      <c r="D109" s="147"/>
      <c r="E109" s="15" t="str">
        <f ca="1">IF(INDIRECT("'"&amp;$C$1&amp;"'!D81")= "","",INDIRECT("'"&amp;$C$1&amp;"'!D81"))</f>
        <v/>
      </c>
      <c r="F109" s="15" t="str">
        <f ca="1">IF(INDIRECT("'"&amp;$C$1&amp;"'!e81")= "","",INDIRECT("'"&amp;$C$1&amp;"'!e81"))</f>
        <v/>
      </c>
      <c r="G109" s="15" t="str">
        <f ca="1">IF(INDIRECT("'"&amp;$C$1&amp;"'!f81")= "","",INDIRECT("'"&amp;$C$1&amp;"'!f81"))</f>
        <v/>
      </c>
      <c r="H109" s="15" t="str">
        <f ca="1">IF(INDIRECT("'"&amp;$C$1&amp;"'!g81")= "","",INDIRECT("'"&amp;$C$1&amp;"'!g81"))</f>
        <v/>
      </c>
      <c r="I109" s="15" t="str">
        <f ca="1">IF(INDIRECT("'"&amp;$C$1&amp;"'!h81")= "","",INDIRECT("'"&amp;$C$1&amp;"'!h81"))</f>
        <v/>
      </c>
      <c r="J109" s="15" t="str">
        <f ca="1">IF(INDIRECT("'"&amp;$C$1&amp;"'!i81")= "","",INDIRECT("'"&amp;$C$1&amp;"'!i81"))</f>
        <v/>
      </c>
      <c r="K109" s="15" t="str">
        <f ca="1">IF(INDIRECT("'"&amp;$C$1&amp;"'!j81")= "","",INDIRECT("'"&amp;$C$1&amp;"'!j81"))</f>
        <v/>
      </c>
      <c r="L109" s="15" t="str">
        <f ca="1">IF(INDIRECT("'"&amp;$C$1&amp;"'!k81")= "","",INDIRECT("'"&amp;$C$1&amp;"'!k81"))</f>
        <v/>
      </c>
      <c r="M109" s="15" t="str">
        <f ca="1">IF(INDIRECT("'"&amp;$C$1&amp;"'!L81")= "","",INDIRECT("'"&amp;$C$1&amp;"'!L81"))</f>
        <v/>
      </c>
      <c r="N109" s="15" t="str">
        <f ca="1">IF(INDIRECT("'"&amp;$C$1&amp;"'!M81")= "","",INDIRECT("'"&amp;$C$1&amp;"'!M81"))</f>
        <v/>
      </c>
      <c r="P109" s="15" t="str">
        <f ca="1">IF(INDIRECT("'"&amp;$C$1&amp;"'!o81")= "","",INDIRECT("'"&amp;$C$1&amp;"'!o81"))</f>
        <v/>
      </c>
      <c r="Q109" s="15" t="str">
        <f ca="1">IF(INDIRECT("'"&amp;$C$1&amp;"'!p81")= "","",INDIRECT("'"&amp;$C$1&amp;"'!p81"))</f>
        <v/>
      </c>
      <c r="R109" s="15" t="str">
        <f ca="1">IF(INDIRECT("'"&amp;$C$1&amp;"'!q81")= "","",INDIRECT("'"&amp;$C$1&amp;"'!q81"))</f>
        <v/>
      </c>
      <c r="S109" s="15" t="str">
        <f ca="1">IF(INDIRECT("'"&amp;$C$1&amp;"'!r81")= "","",INDIRECT("'"&amp;$C$1&amp;"'!r81"))</f>
        <v/>
      </c>
      <c r="T109" s="15" t="str">
        <f ca="1">IF(INDIRECT("'"&amp;$C$1&amp;"'!s81")= "","",INDIRECT("'"&amp;$C$1&amp;"'!s81"))</f>
        <v/>
      </c>
      <c r="U109" s="15" t="str">
        <f ca="1">IF(INDIRECT("'"&amp;$C$1&amp;"'!t81")= "","",INDIRECT("'"&amp;$C$1&amp;"'!t81"))</f>
        <v/>
      </c>
      <c r="V109" s="15" t="str">
        <f ca="1">IF(INDIRECT("'"&amp;$C$1&amp;"'!u81")= "","",INDIRECT("'"&amp;$C$1&amp;"'!u81"))</f>
        <v/>
      </c>
      <c r="W109" s="15" t="str">
        <f ca="1">IF(INDIRECT("'"&amp;$C$1&amp;"'!v81")= "","",INDIRECT("'"&amp;$C$1&amp;"'!v81"))</f>
        <v/>
      </c>
      <c r="X109" s="15" t="str">
        <f ca="1">IF(INDIRECT("'"&amp;$C$1&amp;"'!w81")= "","",INDIRECT("'"&amp;$C$1&amp;"'!w81"))</f>
        <v/>
      </c>
      <c r="Y109" s="15" t="str">
        <f ca="1">IF(INDIRECT("'"&amp;$C$1&amp;"'!x81")= "","",INDIRECT("'"&amp;$C$1&amp;"'!x81"))</f>
        <v/>
      </c>
      <c r="Z109" s="15" t="str">
        <f ca="1">IF(INDIRECT("'"&amp;$C$1&amp;"'!y81")= "","",INDIRECT("'"&amp;$C$1&amp;"'!y81"))</f>
        <v/>
      </c>
      <c r="AA109" s="15" t="str">
        <f ca="1">IF(INDIRECT("'"&amp;$C$1&amp;"'!z81")= "","",INDIRECT("'"&amp;$C$1&amp;"'!z81"))</f>
        <v/>
      </c>
      <c r="AB109" s="15" t="str">
        <f>IF(PAC!AA81= "","",PAC!AA81)</f>
        <v/>
      </c>
      <c r="AC109" s="151"/>
      <c r="AD109" s="151"/>
      <c r="AE109" s="151"/>
      <c r="AF109" s="151"/>
      <c r="AG109" s="151"/>
      <c r="AH109" s="151"/>
      <c r="AI109" s="151"/>
      <c r="AJ109" s="151"/>
      <c r="AK109" s="151"/>
      <c r="AL109" s="151"/>
      <c r="AM109" s="151"/>
      <c r="AN109" s="151"/>
      <c r="AO109" s="140" t="s">
        <v>185</v>
      </c>
    </row>
    <row r="110" spans="2:41" hidden="1">
      <c r="C110" s="125" t="str">
        <f ca="1">CONCATENATE(IF(INDIRECT("'"&amp;$C$1&amp;"'!B82")="","",INDIRECT("'"&amp;$C$1&amp;"'!B82"))," ",IF(INDIRECT("'"&amp;$C$1&amp;"'!C82")="","""",INDIRECT("'"&amp;$C$1&amp;"'!C82")))</f>
        <v>conjunct with ketu</v>
      </c>
      <c r="D110" s="147"/>
      <c r="E110" s="15" t="str">
        <f ca="1">IF(INDIRECT("'"&amp;$C$1&amp;"'!D82")= "","",INDIRECT("'"&amp;$C$1&amp;"'!D82"))</f>
        <v/>
      </c>
      <c r="F110" s="15" t="str">
        <f ca="1">IF(INDIRECT("'"&amp;$C$1&amp;"'!e82")= "","",INDIRECT("'"&amp;$C$1&amp;"'!e82"))</f>
        <v>Y</v>
      </c>
      <c r="G110" s="15" t="str">
        <f ca="1">IF(INDIRECT("'"&amp;$C$1&amp;"'!f82")= "","",INDIRECT("'"&amp;$C$1&amp;"'!f82"))</f>
        <v/>
      </c>
      <c r="H110" s="15" t="str">
        <f ca="1">IF(INDIRECT("'"&amp;$C$1&amp;"'!g82")= "","",INDIRECT("'"&amp;$C$1&amp;"'!g82"))</f>
        <v>Y</v>
      </c>
      <c r="I110" s="15" t="str">
        <f ca="1">IF(INDIRECT("'"&amp;$C$1&amp;"'!h82")= "","",INDIRECT("'"&amp;$C$1&amp;"'!h82"))</f>
        <v/>
      </c>
      <c r="J110" s="15" t="str">
        <f ca="1">IF(INDIRECT("'"&amp;$C$1&amp;"'!i82")= "","",INDIRECT("'"&amp;$C$1&amp;"'!i82"))</f>
        <v/>
      </c>
      <c r="K110" s="15" t="str">
        <f ca="1">IF(INDIRECT("'"&amp;$C$1&amp;"'!j82")= "","",INDIRECT("'"&amp;$C$1&amp;"'!j82"))</f>
        <v/>
      </c>
      <c r="L110" s="15" t="str">
        <f ca="1">IF(INDIRECT("'"&amp;$C$1&amp;"'!k82")= "","",INDIRECT("'"&amp;$C$1&amp;"'!k82"))</f>
        <v/>
      </c>
      <c r="M110" s="15" t="str">
        <f ca="1">IF(INDIRECT("'"&amp;$C$1&amp;"'!L82")= "","",INDIRECT("'"&amp;$C$1&amp;"'!L82"))</f>
        <v/>
      </c>
      <c r="N110" s="15" t="str">
        <f ca="1">IF(INDIRECT("'"&amp;$C$1&amp;"'!M82")= "","",INDIRECT("'"&amp;$C$1&amp;"'!M82"))</f>
        <v/>
      </c>
      <c r="P110" s="15" t="str">
        <f ca="1">IF(INDIRECT("'"&amp;$C$1&amp;"'!o82")= "","",INDIRECT("'"&amp;$C$1&amp;"'!o82"))</f>
        <v/>
      </c>
      <c r="Q110" s="15" t="str">
        <f ca="1">IF(INDIRECT("'"&amp;$C$1&amp;"'!p82")= "","",INDIRECT("'"&amp;$C$1&amp;"'!p82"))</f>
        <v/>
      </c>
      <c r="R110" s="15" t="str">
        <f ca="1">IF(INDIRECT("'"&amp;$C$1&amp;"'!q82")= "","",INDIRECT("'"&amp;$C$1&amp;"'!q82"))</f>
        <v/>
      </c>
      <c r="S110" s="15" t="str">
        <f ca="1">IF(INDIRECT("'"&amp;$C$1&amp;"'!r82")= "","",INDIRECT("'"&amp;$C$1&amp;"'!r82"))</f>
        <v/>
      </c>
      <c r="T110" s="15" t="str">
        <f ca="1">IF(INDIRECT("'"&amp;$C$1&amp;"'!s82")= "","",INDIRECT("'"&amp;$C$1&amp;"'!s82"))</f>
        <v/>
      </c>
      <c r="U110" s="15" t="str">
        <f ca="1">IF(INDIRECT("'"&amp;$C$1&amp;"'!t82")= "","",INDIRECT("'"&amp;$C$1&amp;"'!t82"))</f>
        <v/>
      </c>
      <c r="V110" s="15" t="str">
        <f ca="1">IF(INDIRECT("'"&amp;$C$1&amp;"'!u82")= "","",INDIRECT("'"&amp;$C$1&amp;"'!u82"))</f>
        <v/>
      </c>
      <c r="W110" s="15" t="str">
        <f ca="1">IF(INDIRECT("'"&amp;$C$1&amp;"'!v82")= "","",INDIRECT("'"&amp;$C$1&amp;"'!v82"))</f>
        <v/>
      </c>
      <c r="X110" s="15" t="str">
        <f ca="1">IF(INDIRECT("'"&amp;$C$1&amp;"'!w82")= "","",INDIRECT("'"&amp;$C$1&amp;"'!w82"))</f>
        <v>Y</v>
      </c>
      <c r="Y110" s="15" t="str">
        <f ca="1">IF(INDIRECT("'"&amp;$C$1&amp;"'!x82")= "","",INDIRECT("'"&amp;$C$1&amp;"'!x82"))</f>
        <v/>
      </c>
      <c r="Z110" s="15" t="str">
        <f ca="1">IF(INDIRECT("'"&amp;$C$1&amp;"'!y82")= "","",INDIRECT("'"&amp;$C$1&amp;"'!y82"))</f>
        <v>Y</v>
      </c>
      <c r="AA110" s="15" t="str">
        <f ca="1">IF(INDIRECT("'"&amp;$C$1&amp;"'!z82")= "","",INDIRECT("'"&amp;$C$1&amp;"'!z82"))</f>
        <v>Y</v>
      </c>
      <c r="AB110" s="15" t="str">
        <f>IF(PAC!AA82= "","",PAC!AA82)</f>
        <v/>
      </c>
      <c r="AO110" s="140" t="s">
        <v>187</v>
      </c>
    </row>
    <row r="111" spans="2:41" hidden="1">
      <c r="D111" s="15"/>
      <c r="AB111" s="15" t="str">
        <f>IF(PAC!AA83= "","",PAC!AA83)</f>
        <v/>
      </c>
      <c r="AC111" s="151"/>
      <c r="AD111" s="151"/>
      <c r="AE111" s="151"/>
      <c r="AF111" s="151"/>
      <c r="AG111" s="151"/>
      <c r="AH111" s="151"/>
      <c r="AI111" s="151"/>
      <c r="AJ111" s="151"/>
      <c r="AK111" s="151"/>
      <c r="AL111" s="151"/>
      <c r="AM111" s="151"/>
      <c r="AN111" s="151"/>
      <c r="AO111" s="140" t="s">
        <v>189</v>
      </c>
    </row>
    <row r="112" spans="2:41" hidden="1">
      <c r="C112" s="125" t="str">
        <f ca="1">CONCATENATE(IF(INDIRECT("'"&amp;$C$1&amp;"'!B84")="","",INDIRECT("'"&amp;$C$1&amp;"'!B84"))," ",IF(INDIRECT("'"&amp;$C$1&amp;"'!C84")="","""",INDIRECT("'"&amp;$C$1&amp;"'!C84")))</f>
        <v>conjunct with first lord</v>
      </c>
      <c r="D112" s="147"/>
      <c r="E112" s="15" t="str">
        <f ca="1">IF(INDIRECT("'"&amp;$C$1&amp;"'!D84")= "","",INDIRECT("'"&amp;$C$1&amp;"'!D84"))</f>
        <v/>
      </c>
      <c r="F112" s="15" t="str">
        <f ca="1">IF(INDIRECT("'"&amp;$C$1&amp;"'!e84")= "","",INDIRECT("'"&amp;$C$1&amp;"'!e84"))</f>
        <v/>
      </c>
      <c r="G112" s="15" t="str">
        <f ca="1">IF(INDIRECT("'"&amp;$C$1&amp;"'!f84")= "","",INDIRECT("'"&amp;$C$1&amp;"'!f84"))</f>
        <v/>
      </c>
      <c r="H112" s="15" t="str">
        <f ca="1">IF(INDIRECT("'"&amp;$C$1&amp;"'!g84")= "","",INDIRECT("'"&amp;$C$1&amp;"'!g84"))</f>
        <v/>
      </c>
      <c r="I112" s="15" t="str">
        <f ca="1">IF(INDIRECT("'"&amp;$C$1&amp;"'!h84")= "","",INDIRECT("'"&amp;$C$1&amp;"'!h84"))</f>
        <v/>
      </c>
      <c r="J112" s="15" t="str">
        <f ca="1">IF(INDIRECT("'"&amp;$C$1&amp;"'!i84")= "","",INDIRECT("'"&amp;$C$1&amp;"'!i84"))</f>
        <v/>
      </c>
      <c r="K112" s="15" t="str">
        <f ca="1">IF(INDIRECT("'"&amp;$C$1&amp;"'!j84")= "","",INDIRECT("'"&amp;$C$1&amp;"'!j84"))</f>
        <v/>
      </c>
      <c r="L112" s="15" t="str">
        <f ca="1">IF(INDIRECT("'"&amp;$C$1&amp;"'!k84")= "","",INDIRECT("'"&amp;$C$1&amp;"'!k84"))</f>
        <v>Y</v>
      </c>
      <c r="M112" s="15" t="str">
        <f ca="1">IF(INDIRECT("'"&amp;$C$1&amp;"'!L84")= "","",INDIRECT("'"&amp;$C$1&amp;"'!L84"))</f>
        <v/>
      </c>
      <c r="N112" s="15" t="str">
        <f ca="1">IF(INDIRECT("'"&amp;$C$1&amp;"'!M84")= "","",INDIRECT("'"&amp;$C$1&amp;"'!M84"))</f>
        <v/>
      </c>
      <c r="P112" s="15" t="str">
        <f ca="1">IF(INDIRECT("'"&amp;$C$1&amp;"'!o84")= "","",INDIRECT("'"&amp;$C$1&amp;"'!o84"))</f>
        <v/>
      </c>
      <c r="Q112" s="15" t="str">
        <f ca="1">IF(INDIRECT("'"&amp;$C$1&amp;"'!p84")= "","",INDIRECT("'"&amp;$C$1&amp;"'!p84"))</f>
        <v/>
      </c>
      <c r="R112" s="15" t="str">
        <f ca="1">IF(INDIRECT("'"&amp;$C$1&amp;"'!q84")= "","",INDIRECT("'"&amp;$C$1&amp;"'!q84"))</f>
        <v/>
      </c>
      <c r="S112" s="15" t="str">
        <f ca="1">IF(INDIRECT("'"&amp;$C$1&amp;"'!r84")= "","",INDIRECT("'"&amp;$C$1&amp;"'!r84"))</f>
        <v>Y</v>
      </c>
      <c r="T112" s="15" t="str">
        <f ca="1">IF(INDIRECT("'"&amp;$C$1&amp;"'!s84")= "","",INDIRECT("'"&amp;$C$1&amp;"'!s84"))</f>
        <v>Y</v>
      </c>
      <c r="U112" s="15" t="str">
        <f ca="1">IF(INDIRECT("'"&amp;$C$1&amp;"'!t84")= "","",INDIRECT("'"&amp;$C$1&amp;"'!t84"))</f>
        <v/>
      </c>
      <c r="V112" s="15" t="str">
        <f ca="1">IF(INDIRECT("'"&amp;$C$1&amp;"'!u84")= "","",INDIRECT("'"&amp;$C$1&amp;"'!u84"))</f>
        <v/>
      </c>
      <c r="W112" s="15" t="str">
        <f ca="1">IF(INDIRECT("'"&amp;$C$1&amp;"'!v84")= "","",INDIRECT("'"&amp;$C$1&amp;"'!v84"))</f>
        <v/>
      </c>
      <c r="X112" s="15" t="str">
        <f ca="1">IF(INDIRECT("'"&amp;$C$1&amp;"'!w84")= "","",INDIRECT("'"&amp;$C$1&amp;"'!w84"))</f>
        <v/>
      </c>
      <c r="Y112" s="15" t="str">
        <f ca="1">IF(INDIRECT("'"&amp;$C$1&amp;"'!x84")= "","",INDIRECT("'"&amp;$C$1&amp;"'!x84"))</f>
        <v/>
      </c>
      <c r="Z112" s="15" t="str">
        <f ca="1">IF(INDIRECT("'"&amp;$C$1&amp;"'!y84")= "","",INDIRECT("'"&amp;$C$1&amp;"'!y84"))</f>
        <v/>
      </c>
      <c r="AA112" s="15" t="str">
        <f ca="1">IF(INDIRECT("'"&amp;$C$1&amp;"'!z84")= "","",INDIRECT("'"&amp;$C$1&amp;"'!z84"))</f>
        <v/>
      </c>
      <c r="AB112" s="15" t="str">
        <f>IF(PAC!AA84= "","",PAC!AA84)</f>
        <v/>
      </c>
      <c r="AC112" s="151"/>
      <c r="AD112" s="151"/>
      <c r="AE112" s="151"/>
      <c r="AF112" s="151"/>
      <c r="AG112" s="151"/>
      <c r="AH112" s="151"/>
      <c r="AI112" s="151"/>
      <c r="AJ112" s="151"/>
      <c r="AK112" s="151"/>
      <c r="AL112" s="151"/>
      <c r="AM112" s="151"/>
      <c r="AN112" s="151"/>
      <c r="AO112" s="140" t="s">
        <v>38</v>
      </c>
    </row>
    <row r="113" spans="2:41" hidden="1">
      <c r="C113" s="125" t="str">
        <f ca="1">CONCATENATE(IF(INDIRECT("'"&amp;$C$1&amp;"'!B85")="","",INDIRECT("'"&amp;$C$1&amp;"'!B85"))," ",IF(INDIRECT("'"&amp;$C$1&amp;"'!C85")="","""",INDIRECT("'"&amp;$C$1&amp;"'!C85")))</f>
        <v>conjunct with second lord</v>
      </c>
      <c r="D113" s="147"/>
      <c r="E113" s="15" t="str">
        <f ca="1">IF(INDIRECT("'"&amp;$C$1&amp;"'!D85")= "","",INDIRECT("'"&amp;$C$1&amp;"'!D85"))</f>
        <v/>
      </c>
      <c r="F113" s="15" t="str">
        <f ca="1">IF(INDIRECT("'"&amp;$C$1&amp;"'!e85")= "","",INDIRECT("'"&amp;$C$1&amp;"'!e85"))</f>
        <v/>
      </c>
      <c r="G113" s="15" t="str">
        <f ca="1">IF(INDIRECT("'"&amp;$C$1&amp;"'!f85")= "","",INDIRECT("'"&amp;$C$1&amp;"'!f85"))</f>
        <v>Y</v>
      </c>
      <c r="H113" s="15" t="str">
        <f ca="1">IF(INDIRECT("'"&amp;$C$1&amp;"'!g85")= "","",INDIRECT("'"&amp;$C$1&amp;"'!g85"))</f>
        <v/>
      </c>
      <c r="I113" s="15" t="str">
        <f ca="1">IF(INDIRECT("'"&amp;$C$1&amp;"'!h85")= "","",INDIRECT("'"&amp;$C$1&amp;"'!h85"))</f>
        <v/>
      </c>
      <c r="J113" s="15" t="str">
        <f ca="1">IF(INDIRECT("'"&amp;$C$1&amp;"'!i85")= "","",INDIRECT("'"&amp;$C$1&amp;"'!i85"))</f>
        <v/>
      </c>
      <c r="K113" s="15" t="str">
        <f ca="1">IF(INDIRECT("'"&amp;$C$1&amp;"'!j85")= "","",INDIRECT("'"&amp;$C$1&amp;"'!j85"))</f>
        <v/>
      </c>
      <c r="L113" s="15" t="str">
        <f ca="1">IF(INDIRECT("'"&amp;$C$1&amp;"'!k85")= "","",INDIRECT("'"&amp;$C$1&amp;"'!k85"))</f>
        <v/>
      </c>
      <c r="M113" s="15" t="str">
        <f ca="1">IF(INDIRECT("'"&amp;$C$1&amp;"'!L85")= "","",INDIRECT("'"&amp;$C$1&amp;"'!L85"))</f>
        <v/>
      </c>
      <c r="N113" s="15" t="str">
        <f ca="1">IF(INDIRECT("'"&amp;$C$1&amp;"'!M85")= "","",INDIRECT("'"&amp;$C$1&amp;"'!M85"))</f>
        <v/>
      </c>
      <c r="P113" s="15" t="str">
        <f ca="1">IF(INDIRECT("'"&amp;$C$1&amp;"'!o85")= "","",INDIRECT("'"&amp;$C$1&amp;"'!o85"))</f>
        <v/>
      </c>
      <c r="Q113" s="15" t="str">
        <f ca="1">IF(INDIRECT("'"&amp;$C$1&amp;"'!p85")= "","",INDIRECT("'"&amp;$C$1&amp;"'!p85"))</f>
        <v/>
      </c>
      <c r="R113" s="15" t="str">
        <f ca="1">IF(INDIRECT("'"&amp;$C$1&amp;"'!q85")= "","",INDIRECT("'"&amp;$C$1&amp;"'!q85"))</f>
        <v/>
      </c>
      <c r="S113" s="15" t="str">
        <f ca="1">IF(INDIRECT("'"&amp;$C$1&amp;"'!r85")= "","",INDIRECT("'"&amp;$C$1&amp;"'!r85"))</f>
        <v/>
      </c>
      <c r="T113" s="15" t="str">
        <f ca="1">IF(INDIRECT("'"&amp;$C$1&amp;"'!s85")= "","",INDIRECT("'"&amp;$C$1&amp;"'!s85"))</f>
        <v/>
      </c>
      <c r="U113" s="15" t="str">
        <f ca="1">IF(INDIRECT("'"&amp;$C$1&amp;"'!t85")= "","",INDIRECT("'"&amp;$C$1&amp;"'!t85"))</f>
        <v/>
      </c>
      <c r="V113" s="15" t="str">
        <f ca="1">IF(INDIRECT("'"&amp;$C$1&amp;"'!u85")= "","",INDIRECT("'"&amp;$C$1&amp;"'!u85"))</f>
        <v/>
      </c>
      <c r="W113" s="15" t="str">
        <f ca="1">IF(INDIRECT("'"&amp;$C$1&amp;"'!v85")= "","",INDIRECT("'"&amp;$C$1&amp;"'!v85"))</f>
        <v/>
      </c>
      <c r="X113" s="15" t="str">
        <f ca="1">IF(INDIRECT("'"&amp;$C$1&amp;"'!w85")= "","",INDIRECT("'"&amp;$C$1&amp;"'!w85"))</f>
        <v/>
      </c>
      <c r="Y113" s="15" t="str">
        <f ca="1">IF(INDIRECT("'"&amp;$C$1&amp;"'!x85")= "","",INDIRECT("'"&amp;$C$1&amp;"'!x85"))</f>
        <v>Y</v>
      </c>
      <c r="Z113" s="15" t="str">
        <f ca="1">IF(INDIRECT("'"&amp;$C$1&amp;"'!y85")= "","",INDIRECT("'"&amp;$C$1&amp;"'!y85"))</f>
        <v/>
      </c>
      <c r="AA113" s="15" t="str">
        <f ca="1">IF(INDIRECT("'"&amp;$C$1&amp;"'!z85")= "","",INDIRECT("'"&amp;$C$1&amp;"'!z85"))</f>
        <v/>
      </c>
      <c r="AB113" s="15" t="str">
        <f>IF(PAC!AA85= "","",PAC!AA85)</f>
        <v/>
      </c>
      <c r="AC113" s="151"/>
      <c r="AD113" s="151"/>
      <c r="AE113" s="151"/>
      <c r="AF113" s="151"/>
      <c r="AG113" s="151"/>
      <c r="AH113" s="151"/>
      <c r="AI113" s="151"/>
      <c r="AJ113" s="151"/>
      <c r="AK113" s="151"/>
      <c r="AL113" s="151"/>
      <c r="AM113" s="151"/>
      <c r="AN113" s="151"/>
      <c r="AO113" s="140" t="s">
        <v>39</v>
      </c>
    </row>
    <row r="114" spans="2:41" hidden="1">
      <c r="C114" s="125" t="str">
        <f ca="1">CONCATENATE(IF(INDIRECT("'"&amp;$C$1&amp;"'!B86")="","",INDIRECT("'"&amp;$C$1&amp;"'!B86"))," ",IF(INDIRECT("'"&amp;$C$1&amp;"'!C86")="","""",INDIRECT("'"&amp;$C$1&amp;"'!C86")))</f>
        <v>conjunct with third lord</v>
      </c>
      <c r="D114" s="147"/>
      <c r="E114" s="15" t="str">
        <f ca="1">IF(INDIRECT("'"&amp;$C$1&amp;"'!D86")= "","",INDIRECT("'"&amp;$C$1&amp;"'!D86"))</f>
        <v/>
      </c>
      <c r="F114" s="15" t="str">
        <f ca="1">IF(INDIRECT("'"&amp;$C$1&amp;"'!e86")= "","",INDIRECT("'"&amp;$C$1&amp;"'!e86"))</f>
        <v/>
      </c>
      <c r="G114" s="15" t="str">
        <f ca="1">IF(INDIRECT("'"&amp;$C$1&amp;"'!f86")= "","",INDIRECT("'"&amp;$C$1&amp;"'!f86"))</f>
        <v/>
      </c>
      <c r="H114" s="15" t="str">
        <f ca="1">IF(INDIRECT("'"&amp;$C$1&amp;"'!g86")= "","",INDIRECT("'"&amp;$C$1&amp;"'!g86"))</f>
        <v/>
      </c>
      <c r="I114" s="15" t="str">
        <f ca="1">IF(INDIRECT("'"&amp;$C$1&amp;"'!h86")= "","",INDIRECT("'"&amp;$C$1&amp;"'!h86"))</f>
        <v/>
      </c>
      <c r="J114" s="15" t="str">
        <f ca="1">IF(INDIRECT("'"&amp;$C$1&amp;"'!i86")= "","",INDIRECT("'"&amp;$C$1&amp;"'!i86"))</f>
        <v/>
      </c>
      <c r="K114" s="15" t="str">
        <f ca="1">IF(INDIRECT("'"&amp;$C$1&amp;"'!j86")= "","",INDIRECT("'"&amp;$C$1&amp;"'!j86"))</f>
        <v/>
      </c>
      <c r="L114" s="15" t="str">
        <f ca="1">IF(INDIRECT("'"&amp;$C$1&amp;"'!k86")= "","",INDIRECT("'"&amp;$C$1&amp;"'!k86"))</f>
        <v/>
      </c>
      <c r="M114" s="15" t="str">
        <f ca="1">IF(INDIRECT("'"&amp;$C$1&amp;"'!L86")= "","",INDIRECT("'"&amp;$C$1&amp;"'!L86"))</f>
        <v/>
      </c>
      <c r="N114" s="15" t="str">
        <f ca="1">IF(INDIRECT("'"&amp;$C$1&amp;"'!M86")= "","",INDIRECT("'"&amp;$C$1&amp;"'!M86"))</f>
        <v/>
      </c>
      <c r="P114" s="15" t="str">
        <f ca="1">IF(INDIRECT("'"&amp;$C$1&amp;"'!o86")= "","",INDIRECT("'"&amp;$C$1&amp;"'!o86"))</f>
        <v/>
      </c>
      <c r="Q114" s="15" t="str">
        <f ca="1">IF(INDIRECT("'"&amp;$C$1&amp;"'!p86")= "","",INDIRECT("'"&amp;$C$1&amp;"'!p86"))</f>
        <v/>
      </c>
      <c r="R114" s="15" t="str">
        <f ca="1">IF(INDIRECT("'"&amp;$C$1&amp;"'!q86")= "","",INDIRECT("'"&amp;$C$1&amp;"'!q86"))</f>
        <v/>
      </c>
      <c r="S114" s="15" t="str">
        <f ca="1">IF(INDIRECT("'"&amp;$C$1&amp;"'!r86")= "","",INDIRECT("'"&amp;$C$1&amp;"'!r86"))</f>
        <v/>
      </c>
      <c r="T114" s="15" t="str">
        <f ca="1">IF(INDIRECT("'"&amp;$C$1&amp;"'!s86")= "","",INDIRECT("'"&amp;$C$1&amp;"'!s86"))</f>
        <v/>
      </c>
      <c r="U114" s="15" t="str">
        <f ca="1">IF(INDIRECT("'"&amp;$C$1&amp;"'!t86")= "","",INDIRECT("'"&amp;$C$1&amp;"'!t86"))</f>
        <v/>
      </c>
      <c r="V114" s="15" t="str">
        <f ca="1">IF(INDIRECT("'"&amp;$C$1&amp;"'!u86")= "","",INDIRECT("'"&amp;$C$1&amp;"'!u86"))</f>
        <v/>
      </c>
      <c r="W114" s="15" t="str">
        <f ca="1">IF(INDIRECT("'"&amp;$C$1&amp;"'!v86")= "","",INDIRECT("'"&amp;$C$1&amp;"'!v86"))</f>
        <v/>
      </c>
      <c r="X114" s="15" t="str">
        <f ca="1">IF(INDIRECT("'"&amp;$C$1&amp;"'!w86")= "","",INDIRECT("'"&amp;$C$1&amp;"'!w86"))</f>
        <v/>
      </c>
      <c r="Y114" s="15" t="str">
        <f ca="1">IF(INDIRECT("'"&amp;$C$1&amp;"'!x86")= "","",INDIRECT("'"&amp;$C$1&amp;"'!x86"))</f>
        <v/>
      </c>
      <c r="Z114" s="15" t="str">
        <f ca="1">IF(INDIRECT("'"&amp;$C$1&amp;"'!y86")= "","",INDIRECT("'"&amp;$C$1&amp;"'!y86"))</f>
        <v/>
      </c>
      <c r="AA114" s="15" t="str">
        <f ca="1">IF(INDIRECT("'"&amp;$C$1&amp;"'!z86")= "","",INDIRECT("'"&amp;$C$1&amp;"'!z86"))</f>
        <v/>
      </c>
      <c r="AB114" s="15" t="str">
        <f>IF(PAC!AA86= "","",PAC!AA86)</f>
        <v/>
      </c>
      <c r="AC114" s="151"/>
      <c r="AD114" s="151"/>
      <c r="AE114" s="151"/>
      <c r="AF114" s="151"/>
      <c r="AG114" s="151"/>
      <c r="AH114" s="151"/>
      <c r="AI114" s="151"/>
      <c r="AJ114" s="151"/>
      <c r="AK114" s="151"/>
      <c r="AL114" s="151"/>
      <c r="AM114" s="151"/>
      <c r="AN114" s="151"/>
      <c r="AO114" s="140" t="s">
        <v>40</v>
      </c>
    </row>
    <row r="115" spans="2:41" hidden="1">
      <c r="C115" s="125" t="str">
        <f ca="1">CONCATENATE(IF(INDIRECT("'"&amp;$C$1&amp;"'!B87")="","",INDIRECT("'"&amp;$C$1&amp;"'!B87"))," ",IF(INDIRECT("'"&amp;$C$1&amp;"'!C87")="","""",INDIRECT("'"&amp;$C$1&amp;"'!C87")))</f>
        <v>conjunct with fourth lord</v>
      </c>
      <c r="D115" s="147"/>
      <c r="E115" s="15" t="str">
        <f ca="1">IF(INDIRECT("'"&amp;$C$1&amp;"'!D87")= "","",INDIRECT("'"&amp;$C$1&amp;"'!D87"))</f>
        <v/>
      </c>
      <c r="F115" s="15" t="str">
        <f ca="1">IF(INDIRECT("'"&amp;$C$1&amp;"'!e87")= "","",INDIRECT("'"&amp;$C$1&amp;"'!e87"))</f>
        <v/>
      </c>
      <c r="G115" s="15" t="str">
        <f ca="1">IF(INDIRECT("'"&amp;$C$1&amp;"'!f87")= "","",INDIRECT("'"&amp;$C$1&amp;"'!f87"))</f>
        <v/>
      </c>
      <c r="H115" s="15" t="str">
        <f ca="1">IF(INDIRECT("'"&amp;$C$1&amp;"'!g87")= "","",INDIRECT("'"&amp;$C$1&amp;"'!g87"))</f>
        <v/>
      </c>
      <c r="I115" s="15" t="str">
        <f ca="1">IF(INDIRECT("'"&amp;$C$1&amp;"'!h87")= "","",INDIRECT("'"&amp;$C$1&amp;"'!h87"))</f>
        <v>Y</v>
      </c>
      <c r="J115" s="15" t="str">
        <f ca="1">IF(INDIRECT("'"&amp;$C$1&amp;"'!i87")= "","",INDIRECT("'"&amp;$C$1&amp;"'!i87"))</f>
        <v/>
      </c>
      <c r="K115" s="15" t="str">
        <f ca="1">IF(INDIRECT("'"&amp;$C$1&amp;"'!j87")= "","",INDIRECT("'"&amp;$C$1&amp;"'!j87"))</f>
        <v/>
      </c>
      <c r="L115" s="15" t="str">
        <f ca="1">IF(INDIRECT("'"&amp;$C$1&amp;"'!k87")= "","",INDIRECT("'"&amp;$C$1&amp;"'!k87"))</f>
        <v/>
      </c>
      <c r="M115" s="15" t="str">
        <f ca="1">IF(INDIRECT("'"&amp;$C$1&amp;"'!L87")= "","",INDIRECT("'"&amp;$C$1&amp;"'!L87"))</f>
        <v/>
      </c>
      <c r="N115" s="15" t="str">
        <f ca="1">IF(INDIRECT("'"&amp;$C$1&amp;"'!M87")= "","",INDIRECT("'"&amp;$C$1&amp;"'!M87"))</f>
        <v/>
      </c>
      <c r="P115" s="15" t="str">
        <f ca="1">IF(INDIRECT("'"&amp;$C$1&amp;"'!o87")= "","",INDIRECT("'"&amp;$C$1&amp;"'!o87"))</f>
        <v>Y</v>
      </c>
      <c r="Q115" s="15" t="str">
        <f ca="1">IF(INDIRECT("'"&amp;$C$1&amp;"'!p87")= "","",INDIRECT("'"&amp;$C$1&amp;"'!p87"))</f>
        <v/>
      </c>
      <c r="R115" s="15" t="str">
        <f ca="1">IF(INDIRECT("'"&amp;$C$1&amp;"'!q87")= "","",INDIRECT("'"&amp;$C$1&amp;"'!q87"))</f>
        <v/>
      </c>
      <c r="S115" s="15" t="str">
        <f ca="1">IF(INDIRECT("'"&amp;$C$1&amp;"'!r87")= "","",INDIRECT("'"&amp;$C$1&amp;"'!r87"))</f>
        <v/>
      </c>
      <c r="T115" s="15" t="str">
        <f ca="1">IF(INDIRECT("'"&amp;$C$1&amp;"'!s87")= "","",INDIRECT("'"&amp;$C$1&amp;"'!s87"))</f>
        <v/>
      </c>
      <c r="U115" s="15" t="str">
        <f ca="1">IF(INDIRECT("'"&amp;$C$1&amp;"'!t87")= "","",INDIRECT("'"&amp;$C$1&amp;"'!t87"))</f>
        <v/>
      </c>
      <c r="V115" s="15" t="str">
        <f ca="1">IF(INDIRECT("'"&amp;$C$1&amp;"'!u87")= "","",INDIRECT("'"&amp;$C$1&amp;"'!u87"))</f>
        <v/>
      </c>
      <c r="W115" s="15" t="str">
        <f ca="1">IF(INDIRECT("'"&amp;$C$1&amp;"'!v87")= "","",INDIRECT("'"&amp;$C$1&amp;"'!v87"))</f>
        <v>Y</v>
      </c>
      <c r="X115" s="15" t="str">
        <f ca="1">IF(INDIRECT("'"&amp;$C$1&amp;"'!w87")= "","",INDIRECT("'"&amp;$C$1&amp;"'!w87"))</f>
        <v/>
      </c>
      <c r="Y115" s="15" t="str">
        <f ca="1">IF(INDIRECT("'"&amp;$C$1&amp;"'!x87")= "","",INDIRECT("'"&amp;$C$1&amp;"'!x87"))</f>
        <v/>
      </c>
      <c r="Z115" s="15" t="str">
        <f ca="1">IF(INDIRECT("'"&amp;$C$1&amp;"'!y87")= "","",INDIRECT("'"&amp;$C$1&amp;"'!y87"))</f>
        <v/>
      </c>
      <c r="AA115" s="15" t="str">
        <f ca="1">IF(INDIRECT("'"&amp;$C$1&amp;"'!z87")= "","",INDIRECT("'"&amp;$C$1&amp;"'!z87"))</f>
        <v/>
      </c>
      <c r="AB115" s="15" t="str">
        <f>IF(PAC!AA87= "","",PAC!AA87)</f>
        <v/>
      </c>
      <c r="AC115" s="151"/>
      <c r="AD115" s="151"/>
      <c r="AE115" s="151"/>
      <c r="AF115" s="151"/>
      <c r="AG115" s="151"/>
      <c r="AH115" s="151"/>
      <c r="AI115" s="151"/>
      <c r="AJ115" s="151"/>
      <c r="AK115" s="151"/>
      <c r="AL115" s="151"/>
      <c r="AM115" s="151"/>
      <c r="AN115" s="151"/>
      <c r="AO115" s="140" t="s">
        <v>41</v>
      </c>
    </row>
    <row r="116" spans="2:41" hidden="1">
      <c r="C116" s="125" t="str">
        <f ca="1">CONCATENATE(IF(INDIRECT("'"&amp;$C$1&amp;"'!B88")="","",INDIRECT("'"&amp;$C$1&amp;"'!B88"))," ",IF(INDIRECT("'"&amp;$C$1&amp;"'!C88")="","""",INDIRECT("'"&amp;$C$1&amp;"'!C88")))</f>
        <v>conjunct with fifth lord</v>
      </c>
      <c r="D116" s="147"/>
      <c r="E116" s="15" t="str">
        <f ca="1">IF(INDIRECT("'"&amp;$C$1&amp;"'!D88")= "","",INDIRECT("'"&amp;$C$1&amp;"'!D88"))</f>
        <v/>
      </c>
      <c r="F116" s="15" t="str">
        <f ca="1">IF(INDIRECT("'"&amp;$C$1&amp;"'!e88")= "","",INDIRECT("'"&amp;$C$1&amp;"'!e88"))</f>
        <v/>
      </c>
      <c r="G116" s="15" t="str">
        <f ca="1">IF(INDIRECT("'"&amp;$C$1&amp;"'!f88")= "","",INDIRECT("'"&amp;$C$1&amp;"'!f88"))</f>
        <v/>
      </c>
      <c r="H116" s="15" t="str">
        <f ca="1">IF(INDIRECT("'"&amp;$C$1&amp;"'!g88")= "","",INDIRECT("'"&amp;$C$1&amp;"'!g88"))</f>
        <v/>
      </c>
      <c r="I116" s="15" t="str">
        <f ca="1">IF(INDIRECT("'"&amp;$C$1&amp;"'!h88")= "","",INDIRECT("'"&amp;$C$1&amp;"'!h88"))</f>
        <v>Y</v>
      </c>
      <c r="J116" s="15" t="str">
        <f ca="1">IF(INDIRECT("'"&amp;$C$1&amp;"'!i88")= "","",INDIRECT("'"&amp;$C$1&amp;"'!i88"))</f>
        <v/>
      </c>
      <c r="K116" s="15" t="str">
        <f ca="1">IF(INDIRECT("'"&amp;$C$1&amp;"'!j88")= "","",INDIRECT("'"&amp;$C$1&amp;"'!j88"))</f>
        <v/>
      </c>
      <c r="L116" s="15" t="str">
        <f ca="1">IF(INDIRECT("'"&amp;$C$1&amp;"'!k88")= "","",INDIRECT("'"&amp;$C$1&amp;"'!k88"))</f>
        <v/>
      </c>
      <c r="M116" s="15" t="str">
        <f ca="1">IF(INDIRECT("'"&amp;$C$1&amp;"'!L88")= "","",INDIRECT("'"&amp;$C$1&amp;"'!L88"))</f>
        <v/>
      </c>
      <c r="N116" s="15" t="str">
        <f ca="1">IF(INDIRECT("'"&amp;$C$1&amp;"'!M88")= "","",INDIRECT("'"&amp;$C$1&amp;"'!M88"))</f>
        <v/>
      </c>
      <c r="P116" s="15" t="str">
        <f ca="1">IF(INDIRECT("'"&amp;$C$1&amp;"'!o88")= "","",INDIRECT("'"&amp;$C$1&amp;"'!o88"))</f>
        <v>Y</v>
      </c>
      <c r="Q116" s="15" t="str">
        <f ca="1">IF(INDIRECT("'"&amp;$C$1&amp;"'!p88")= "","",INDIRECT("'"&amp;$C$1&amp;"'!p88"))</f>
        <v/>
      </c>
      <c r="R116" s="15" t="str">
        <f ca="1">IF(INDIRECT("'"&amp;$C$1&amp;"'!q88")= "","",INDIRECT("'"&amp;$C$1&amp;"'!q88"))</f>
        <v/>
      </c>
      <c r="S116" s="15" t="str">
        <f ca="1">IF(INDIRECT("'"&amp;$C$1&amp;"'!r88")= "","",INDIRECT("'"&amp;$C$1&amp;"'!r88"))</f>
        <v/>
      </c>
      <c r="T116" s="15" t="str">
        <f ca="1">IF(INDIRECT("'"&amp;$C$1&amp;"'!s88")= "","",INDIRECT("'"&amp;$C$1&amp;"'!s88"))</f>
        <v/>
      </c>
      <c r="U116" s="15" t="str">
        <f ca="1">IF(INDIRECT("'"&amp;$C$1&amp;"'!t88")= "","",INDIRECT("'"&amp;$C$1&amp;"'!t88"))</f>
        <v/>
      </c>
      <c r="V116" s="15" t="str">
        <f ca="1">IF(INDIRECT("'"&amp;$C$1&amp;"'!u88")= "","",INDIRECT("'"&amp;$C$1&amp;"'!u88"))</f>
        <v/>
      </c>
      <c r="W116" s="15" t="str">
        <f ca="1">IF(INDIRECT("'"&amp;$C$1&amp;"'!v88")= "","",INDIRECT("'"&amp;$C$1&amp;"'!v88"))</f>
        <v>Y</v>
      </c>
      <c r="X116" s="15" t="str">
        <f ca="1">IF(INDIRECT("'"&amp;$C$1&amp;"'!w88")= "","",INDIRECT("'"&amp;$C$1&amp;"'!w88"))</f>
        <v/>
      </c>
      <c r="Y116" s="15" t="str">
        <f ca="1">IF(INDIRECT("'"&amp;$C$1&amp;"'!x88")= "","",INDIRECT("'"&amp;$C$1&amp;"'!x88"))</f>
        <v/>
      </c>
      <c r="Z116" s="15" t="str">
        <f ca="1">IF(INDIRECT("'"&amp;$C$1&amp;"'!y88")= "","",INDIRECT("'"&amp;$C$1&amp;"'!y88"))</f>
        <v/>
      </c>
      <c r="AA116" s="15" t="str">
        <f ca="1">IF(INDIRECT("'"&amp;$C$1&amp;"'!z88")= "","",INDIRECT("'"&amp;$C$1&amp;"'!z88"))</f>
        <v/>
      </c>
      <c r="AB116" s="15" t="str">
        <f>IF(PAC!AA88= "","",PAC!AA88)</f>
        <v/>
      </c>
      <c r="AC116" s="151"/>
      <c r="AD116" s="151"/>
      <c r="AE116" s="151"/>
      <c r="AF116" s="151"/>
      <c r="AG116" s="151"/>
      <c r="AH116" s="151"/>
      <c r="AI116" s="151"/>
      <c r="AJ116" s="151"/>
      <c r="AK116" s="151"/>
      <c r="AL116" s="151"/>
      <c r="AM116" s="151"/>
      <c r="AN116" s="151"/>
      <c r="AO116" s="140" t="s">
        <v>42</v>
      </c>
    </row>
    <row r="117" spans="2:41" hidden="1">
      <c r="C117" s="125" t="str">
        <f ca="1">CONCATENATE(IF(INDIRECT("'"&amp;$C$1&amp;"'!B89")="","",INDIRECT("'"&amp;$C$1&amp;"'!B89"))," ",IF(INDIRECT("'"&amp;$C$1&amp;"'!C89")="","""",INDIRECT("'"&amp;$C$1&amp;"'!C89")))</f>
        <v>conjunct with sixth lord</v>
      </c>
      <c r="D117" s="147"/>
      <c r="E117" s="15" t="str">
        <f ca="1">IF(INDIRECT("'"&amp;$C$1&amp;"'!D89")= "","",INDIRECT("'"&amp;$C$1&amp;"'!D89"))</f>
        <v/>
      </c>
      <c r="F117" s="15" t="str">
        <f ca="1">IF(INDIRECT("'"&amp;$C$1&amp;"'!e89")= "","",INDIRECT("'"&amp;$C$1&amp;"'!e89"))</f>
        <v/>
      </c>
      <c r="G117" s="15" t="str">
        <f ca="1">IF(INDIRECT("'"&amp;$C$1&amp;"'!f89")= "","",INDIRECT("'"&amp;$C$1&amp;"'!f89"))</f>
        <v/>
      </c>
      <c r="H117" s="15" t="str">
        <f ca="1">IF(INDIRECT("'"&amp;$C$1&amp;"'!g89")= "","",INDIRECT("'"&amp;$C$1&amp;"'!g89"))</f>
        <v/>
      </c>
      <c r="I117" s="15" t="str">
        <f ca="1">IF(INDIRECT("'"&amp;$C$1&amp;"'!h89")= "","",INDIRECT("'"&amp;$C$1&amp;"'!h89"))</f>
        <v/>
      </c>
      <c r="J117" s="15" t="str">
        <f ca="1">IF(INDIRECT("'"&amp;$C$1&amp;"'!i89")= "","",INDIRECT("'"&amp;$C$1&amp;"'!i89"))</f>
        <v/>
      </c>
      <c r="K117" s="15" t="str">
        <f ca="1">IF(INDIRECT("'"&amp;$C$1&amp;"'!j89")= "","",INDIRECT("'"&amp;$C$1&amp;"'!j89"))</f>
        <v/>
      </c>
      <c r="L117" s="15" t="str">
        <f ca="1">IF(INDIRECT("'"&amp;$C$1&amp;"'!k89")= "","",INDIRECT("'"&amp;$C$1&amp;"'!k89"))</f>
        <v/>
      </c>
      <c r="M117" s="15" t="str">
        <f ca="1">IF(INDIRECT("'"&amp;$C$1&amp;"'!L89")= "","",INDIRECT("'"&amp;$C$1&amp;"'!L89"))</f>
        <v/>
      </c>
      <c r="N117" s="15" t="str">
        <f ca="1">IF(INDIRECT("'"&amp;$C$1&amp;"'!M89")= "","",INDIRECT("'"&amp;$C$1&amp;"'!M89"))</f>
        <v/>
      </c>
      <c r="P117" s="15" t="str">
        <f ca="1">IF(INDIRECT("'"&amp;$C$1&amp;"'!o89")= "","",INDIRECT("'"&amp;$C$1&amp;"'!o89"))</f>
        <v/>
      </c>
      <c r="Q117" s="15" t="str">
        <f ca="1">IF(INDIRECT("'"&amp;$C$1&amp;"'!p89")= "","",INDIRECT("'"&amp;$C$1&amp;"'!p89"))</f>
        <v/>
      </c>
      <c r="R117" s="15" t="str">
        <f ca="1">IF(INDIRECT("'"&amp;$C$1&amp;"'!q89")= "","",INDIRECT("'"&amp;$C$1&amp;"'!q89"))</f>
        <v/>
      </c>
      <c r="S117" s="15" t="str">
        <f ca="1">IF(INDIRECT("'"&amp;$C$1&amp;"'!r89")= "","",INDIRECT("'"&amp;$C$1&amp;"'!r89"))</f>
        <v/>
      </c>
      <c r="T117" s="15" t="str">
        <f ca="1">IF(INDIRECT("'"&amp;$C$1&amp;"'!s89")= "","",INDIRECT("'"&amp;$C$1&amp;"'!s89"))</f>
        <v/>
      </c>
      <c r="U117" s="15" t="str">
        <f ca="1">IF(INDIRECT("'"&amp;$C$1&amp;"'!t89")= "","",INDIRECT("'"&amp;$C$1&amp;"'!t89"))</f>
        <v/>
      </c>
      <c r="V117" s="15" t="str">
        <f ca="1">IF(INDIRECT("'"&amp;$C$1&amp;"'!u89")= "","",INDIRECT("'"&amp;$C$1&amp;"'!u89"))</f>
        <v/>
      </c>
      <c r="W117" s="15" t="str">
        <f ca="1">IF(INDIRECT("'"&amp;$C$1&amp;"'!v89")= "","",INDIRECT("'"&amp;$C$1&amp;"'!v89"))</f>
        <v/>
      </c>
      <c r="X117" s="15" t="str">
        <f ca="1">IF(INDIRECT("'"&amp;$C$1&amp;"'!w89")= "","",INDIRECT("'"&amp;$C$1&amp;"'!w89"))</f>
        <v/>
      </c>
      <c r="Y117" s="15" t="str">
        <f ca="1">IF(INDIRECT("'"&amp;$C$1&amp;"'!x89")= "","",INDIRECT("'"&amp;$C$1&amp;"'!x89"))</f>
        <v/>
      </c>
      <c r="Z117" s="15" t="str">
        <f ca="1">IF(INDIRECT("'"&amp;$C$1&amp;"'!y89")= "","",INDIRECT("'"&amp;$C$1&amp;"'!y89"))</f>
        <v/>
      </c>
      <c r="AA117" s="15" t="str">
        <f ca="1">IF(INDIRECT("'"&amp;$C$1&amp;"'!z89")= "","",INDIRECT("'"&amp;$C$1&amp;"'!z89"))</f>
        <v/>
      </c>
      <c r="AB117" s="15" t="str">
        <f>IF(PAC!AA89= "","",PAC!AA89)</f>
        <v/>
      </c>
      <c r="AC117" s="151"/>
      <c r="AD117" s="151"/>
      <c r="AE117" s="151"/>
      <c r="AF117" s="151"/>
      <c r="AG117" s="151"/>
      <c r="AH117" s="151"/>
      <c r="AI117" s="151"/>
      <c r="AJ117" s="151"/>
      <c r="AK117" s="151"/>
      <c r="AL117" s="151"/>
      <c r="AM117" s="151"/>
      <c r="AN117" s="151"/>
      <c r="AO117" s="140" t="s">
        <v>43</v>
      </c>
    </row>
    <row r="118" spans="2:41" hidden="1">
      <c r="C118" s="125" t="str">
        <f ca="1">CONCATENATE(IF(INDIRECT("'"&amp;$C$1&amp;"'!B90")="","",INDIRECT("'"&amp;$C$1&amp;"'!B90"))," ",IF(INDIRECT("'"&amp;$C$1&amp;"'!C90")="","""",INDIRECT("'"&amp;$C$1&amp;"'!C90")))</f>
        <v>conjunct with seventh lord</v>
      </c>
      <c r="D118" s="147"/>
      <c r="E118" s="15" t="str">
        <f ca="1">IF(INDIRECT("'"&amp;$C$1&amp;"'!D90")= "","",INDIRECT("'"&amp;$C$1&amp;"'!D90"))</f>
        <v/>
      </c>
      <c r="F118" s="15" t="str">
        <f ca="1">IF(INDIRECT("'"&amp;$C$1&amp;"'!e90")= "","",INDIRECT("'"&amp;$C$1&amp;"'!e90"))</f>
        <v/>
      </c>
      <c r="G118" s="15" t="str">
        <f ca="1">IF(INDIRECT("'"&amp;$C$1&amp;"'!f90")= "","",INDIRECT("'"&amp;$C$1&amp;"'!f90"))</f>
        <v>Y</v>
      </c>
      <c r="H118" s="15" t="str">
        <f ca="1">IF(INDIRECT("'"&amp;$C$1&amp;"'!g90")= "","",INDIRECT("'"&amp;$C$1&amp;"'!g90"))</f>
        <v/>
      </c>
      <c r="I118" s="15" t="str">
        <f ca="1">IF(INDIRECT("'"&amp;$C$1&amp;"'!h90")= "","",INDIRECT("'"&amp;$C$1&amp;"'!h90"))</f>
        <v/>
      </c>
      <c r="J118" s="15" t="str">
        <f ca="1">IF(INDIRECT("'"&amp;$C$1&amp;"'!i90")= "","",INDIRECT("'"&amp;$C$1&amp;"'!i90"))</f>
        <v/>
      </c>
      <c r="K118" s="15" t="str">
        <f ca="1">IF(INDIRECT("'"&amp;$C$1&amp;"'!j90")= "","",INDIRECT("'"&amp;$C$1&amp;"'!j90"))</f>
        <v/>
      </c>
      <c r="L118" s="15" t="str">
        <f ca="1">IF(INDIRECT("'"&amp;$C$1&amp;"'!k90")= "","",INDIRECT("'"&amp;$C$1&amp;"'!k90"))</f>
        <v/>
      </c>
      <c r="M118" s="15" t="str">
        <f ca="1">IF(INDIRECT("'"&amp;$C$1&amp;"'!L90")= "","",INDIRECT("'"&amp;$C$1&amp;"'!L90"))</f>
        <v/>
      </c>
      <c r="N118" s="15" t="str">
        <f ca="1">IF(INDIRECT("'"&amp;$C$1&amp;"'!M90")= "","",INDIRECT("'"&amp;$C$1&amp;"'!M90"))</f>
        <v/>
      </c>
      <c r="P118" s="15" t="str">
        <f ca="1">IF(INDIRECT("'"&amp;$C$1&amp;"'!o90")= "","",INDIRECT("'"&amp;$C$1&amp;"'!o90"))</f>
        <v/>
      </c>
      <c r="Q118" s="15" t="str">
        <f ca="1">IF(INDIRECT("'"&amp;$C$1&amp;"'!p90")= "","",INDIRECT("'"&amp;$C$1&amp;"'!p90"))</f>
        <v/>
      </c>
      <c r="R118" s="15" t="str">
        <f ca="1">IF(INDIRECT("'"&amp;$C$1&amp;"'!q90")= "","",INDIRECT("'"&amp;$C$1&amp;"'!q90"))</f>
        <v/>
      </c>
      <c r="S118" s="15" t="str">
        <f ca="1">IF(INDIRECT("'"&amp;$C$1&amp;"'!r90")= "","",INDIRECT("'"&amp;$C$1&amp;"'!r90"))</f>
        <v/>
      </c>
      <c r="T118" s="15" t="str">
        <f ca="1">IF(INDIRECT("'"&amp;$C$1&amp;"'!s90")= "","",INDIRECT("'"&amp;$C$1&amp;"'!s90"))</f>
        <v/>
      </c>
      <c r="U118" s="15" t="str">
        <f ca="1">IF(INDIRECT("'"&amp;$C$1&amp;"'!t90")= "","",INDIRECT("'"&amp;$C$1&amp;"'!t90"))</f>
        <v/>
      </c>
      <c r="V118" s="15" t="str">
        <f ca="1">IF(INDIRECT("'"&amp;$C$1&amp;"'!u90")= "","",INDIRECT("'"&amp;$C$1&amp;"'!u90"))</f>
        <v/>
      </c>
      <c r="W118" s="15" t="str">
        <f ca="1">IF(INDIRECT("'"&amp;$C$1&amp;"'!v90")= "","",INDIRECT("'"&amp;$C$1&amp;"'!v90"))</f>
        <v/>
      </c>
      <c r="X118" s="15" t="str">
        <f ca="1">IF(INDIRECT("'"&amp;$C$1&amp;"'!w90")= "","",INDIRECT("'"&amp;$C$1&amp;"'!w90"))</f>
        <v/>
      </c>
      <c r="Y118" s="15" t="str">
        <f ca="1">IF(INDIRECT("'"&amp;$C$1&amp;"'!x90")= "","",INDIRECT("'"&amp;$C$1&amp;"'!x90"))</f>
        <v>Y</v>
      </c>
      <c r="Z118" s="15" t="str">
        <f ca="1">IF(INDIRECT("'"&amp;$C$1&amp;"'!y90")= "","",INDIRECT("'"&amp;$C$1&amp;"'!y90"))</f>
        <v/>
      </c>
      <c r="AA118" s="15" t="str">
        <f ca="1">IF(INDIRECT("'"&amp;$C$1&amp;"'!z90")= "","",INDIRECT("'"&amp;$C$1&amp;"'!z90"))</f>
        <v/>
      </c>
      <c r="AB118" s="15" t="str">
        <f>IF(PAC!AA90= "","",PAC!AA90)</f>
        <v/>
      </c>
      <c r="AC118" s="151"/>
      <c r="AD118" s="151"/>
      <c r="AE118" s="151"/>
      <c r="AF118" s="151"/>
      <c r="AG118" s="151"/>
      <c r="AH118" s="151"/>
      <c r="AI118" s="151"/>
      <c r="AJ118" s="151"/>
      <c r="AK118" s="151"/>
      <c r="AL118" s="151"/>
      <c r="AM118" s="151"/>
      <c r="AN118" s="151"/>
      <c r="AO118" s="140" t="s">
        <v>44</v>
      </c>
    </row>
    <row r="119" spans="2:41" hidden="1">
      <c r="C119" s="125" t="str">
        <f ca="1">CONCATENATE(IF(INDIRECT("'"&amp;$C$1&amp;"'!B91")="","",INDIRECT("'"&amp;$C$1&amp;"'!B91"))," ",IF(INDIRECT("'"&amp;$C$1&amp;"'!C91")="","""",INDIRECT("'"&amp;$C$1&amp;"'!C91")))</f>
        <v>conjunct with eighth lord</v>
      </c>
      <c r="D119" s="147"/>
      <c r="E119" s="15" t="str">
        <f ca="1">IF(INDIRECT("'"&amp;$C$1&amp;"'!D91")= "","",INDIRECT("'"&amp;$C$1&amp;"'!D91"))</f>
        <v/>
      </c>
      <c r="F119" s="15" t="str">
        <f ca="1">IF(INDIRECT("'"&amp;$C$1&amp;"'!e91")= "","",INDIRECT("'"&amp;$C$1&amp;"'!e91"))</f>
        <v/>
      </c>
      <c r="G119" s="15" t="str">
        <f ca="1">IF(INDIRECT("'"&amp;$C$1&amp;"'!f91")= "","",INDIRECT("'"&amp;$C$1&amp;"'!f91"))</f>
        <v/>
      </c>
      <c r="H119" s="15" t="str">
        <f ca="1">IF(INDIRECT("'"&amp;$C$1&amp;"'!g91")= "","",INDIRECT("'"&amp;$C$1&amp;"'!g91"))</f>
        <v/>
      </c>
      <c r="I119" s="15" t="str">
        <f ca="1">IF(INDIRECT("'"&amp;$C$1&amp;"'!h91")= "","",INDIRECT("'"&amp;$C$1&amp;"'!h91"))</f>
        <v/>
      </c>
      <c r="J119" s="15" t="str">
        <f ca="1">IF(INDIRECT("'"&amp;$C$1&amp;"'!i91")= "","",INDIRECT("'"&amp;$C$1&amp;"'!i91"))</f>
        <v/>
      </c>
      <c r="K119" s="15" t="str">
        <f ca="1">IF(INDIRECT("'"&amp;$C$1&amp;"'!j91")= "","",INDIRECT("'"&amp;$C$1&amp;"'!j91"))</f>
        <v/>
      </c>
      <c r="L119" s="15" t="str">
        <f ca="1">IF(INDIRECT("'"&amp;$C$1&amp;"'!k91")= "","",INDIRECT("'"&amp;$C$1&amp;"'!k91"))</f>
        <v>Y</v>
      </c>
      <c r="M119" s="15" t="str">
        <f ca="1">IF(INDIRECT("'"&amp;$C$1&amp;"'!L91")= "","",INDIRECT("'"&amp;$C$1&amp;"'!L91"))</f>
        <v/>
      </c>
      <c r="N119" s="15" t="str">
        <f ca="1">IF(INDIRECT("'"&amp;$C$1&amp;"'!M91")= "","",INDIRECT("'"&amp;$C$1&amp;"'!M91"))</f>
        <v/>
      </c>
      <c r="P119" s="15" t="str">
        <f ca="1">IF(INDIRECT("'"&amp;$C$1&amp;"'!o91")= "","",INDIRECT("'"&amp;$C$1&amp;"'!o91"))</f>
        <v/>
      </c>
      <c r="Q119" s="15" t="str">
        <f ca="1">IF(INDIRECT("'"&amp;$C$1&amp;"'!p91")= "","",INDIRECT("'"&amp;$C$1&amp;"'!p91"))</f>
        <v/>
      </c>
      <c r="R119" s="15" t="str">
        <f ca="1">IF(INDIRECT("'"&amp;$C$1&amp;"'!q91")= "","",INDIRECT("'"&amp;$C$1&amp;"'!q91"))</f>
        <v/>
      </c>
      <c r="S119" s="15" t="str">
        <f ca="1">IF(INDIRECT("'"&amp;$C$1&amp;"'!r91")= "","",INDIRECT("'"&amp;$C$1&amp;"'!r91"))</f>
        <v>Y</v>
      </c>
      <c r="T119" s="15" t="str">
        <f ca="1">IF(INDIRECT("'"&amp;$C$1&amp;"'!s91")= "","",INDIRECT("'"&amp;$C$1&amp;"'!s91"))</f>
        <v>Y</v>
      </c>
      <c r="U119" s="15" t="str">
        <f ca="1">IF(INDIRECT("'"&amp;$C$1&amp;"'!t91")= "","",INDIRECT("'"&amp;$C$1&amp;"'!t91"))</f>
        <v/>
      </c>
      <c r="V119" s="15" t="str">
        <f ca="1">IF(INDIRECT("'"&amp;$C$1&amp;"'!u91")= "","",INDIRECT("'"&amp;$C$1&amp;"'!u91"))</f>
        <v/>
      </c>
      <c r="W119" s="15" t="str">
        <f ca="1">IF(INDIRECT("'"&amp;$C$1&amp;"'!v91")= "","",INDIRECT("'"&amp;$C$1&amp;"'!v91"))</f>
        <v/>
      </c>
      <c r="X119" s="15" t="str">
        <f ca="1">IF(INDIRECT("'"&amp;$C$1&amp;"'!w91")= "","",INDIRECT("'"&amp;$C$1&amp;"'!w91"))</f>
        <v/>
      </c>
      <c r="Y119" s="15" t="str">
        <f ca="1">IF(INDIRECT("'"&amp;$C$1&amp;"'!x91")= "","",INDIRECT("'"&amp;$C$1&amp;"'!x91"))</f>
        <v/>
      </c>
      <c r="Z119" s="15" t="str">
        <f ca="1">IF(INDIRECT("'"&amp;$C$1&amp;"'!y91")= "","",INDIRECT("'"&amp;$C$1&amp;"'!y91"))</f>
        <v/>
      </c>
      <c r="AA119" s="15" t="str">
        <f ca="1">IF(INDIRECT("'"&amp;$C$1&amp;"'!z91")= "","",INDIRECT("'"&amp;$C$1&amp;"'!z91"))</f>
        <v/>
      </c>
      <c r="AB119" s="15" t="str">
        <f>IF(PAC!AA91= "","",PAC!AA91)</f>
        <v/>
      </c>
      <c r="AC119" s="151"/>
      <c r="AD119" s="151"/>
      <c r="AE119" s="151"/>
      <c r="AF119" s="151"/>
      <c r="AG119" s="151"/>
      <c r="AH119" s="151"/>
      <c r="AI119" s="151"/>
      <c r="AJ119" s="151"/>
      <c r="AK119" s="151"/>
      <c r="AL119" s="151"/>
      <c r="AM119" s="151"/>
      <c r="AN119" s="151"/>
      <c r="AO119" s="140" t="s">
        <v>45</v>
      </c>
    </row>
    <row r="120" spans="2:41" hidden="1">
      <c r="C120" s="125" t="str">
        <f ca="1">CONCATENATE(IF(INDIRECT("'"&amp;$C$1&amp;"'!B92")="","",INDIRECT("'"&amp;$C$1&amp;"'!B92"))," ",IF(INDIRECT("'"&amp;$C$1&amp;"'!C92")="","""",INDIRECT("'"&amp;$C$1&amp;"'!C92")))</f>
        <v>conjunct with ninth lord</v>
      </c>
      <c r="D120" s="147"/>
      <c r="E120" s="15" t="str">
        <f ca="1">IF(INDIRECT("'"&amp;$C$1&amp;"'!D92")= "","",INDIRECT("'"&amp;$C$1&amp;"'!D92"))</f>
        <v/>
      </c>
      <c r="F120" s="15" t="str">
        <f ca="1">IF(INDIRECT("'"&amp;$C$1&amp;"'!e92")= "","",INDIRECT("'"&amp;$C$1&amp;"'!e92"))</f>
        <v>Y</v>
      </c>
      <c r="G120" s="15" t="str">
        <f ca="1">IF(INDIRECT("'"&amp;$C$1&amp;"'!f92")= "","",INDIRECT("'"&amp;$C$1&amp;"'!f92"))</f>
        <v/>
      </c>
      <c r="H120" s="15" t="str">
        <f ca="1">IF(INDIRECT("'"&amp;$C$1&amp;"'!g92")= "","",INDIRECT("'"&amp;$C$1&amp;"'!g92"))</f>
        <v/>
      </c>
      <c r="I120" s="15" t="str">
        <f ca="1">IF(INDIRECT("'"&amp;$C$1&amp;"'!h92")= "","",INDIRECT("'"&amp;$C$1&amp;"'!h92"))</f>
        <v/>
      </c>
      <c r="J120" s="15" t="str">
        <f ca="1">IF(INDIRECT("'"&amp;$C$1&amp;"'!i92")= "","",INDIRECT("'"&amp;$C$1&amp;"'!i92"))</f>
        <v/>
      </c>
      <c r="K120" s="15" t="str">
        <f ca="1">IF(INDIRECT("'"&amp;$C$1&amp;"'!j92")= "","",INDIRECT("'"&amp;$C$1&amp;"'!j92"))</f>
        <v/>
      </c>
      <c r="L120" s="15" t="str">
        <f ca="1">IF(INDIRECT("'"&amp;$C$1&amp;"'!k92")= "","",INDIRECT("'"&amp;$C$1&amp;"'!k92"))</f>
        <v/>
      </c>
      <c r="M120" s="15" t="str">
        <f ca="1">IF(INDIRECT("'"&amp;$C$1&amp;"'!L92")= "","",INDIRECT("'"&amp;$C$1&amp;"'!L92"))</f>
        <v/>
      </c>
      <c r="N120" s="15" t="str">
        <f ca="1">IF(INDIRECT("'"&amp;$C$1&amp;"'!M92")= "","",INDIRECT("'"&amp;$C$1&amp;"'!M92"))</f>
        <v>Y</v>
      </c>
      <c r="P120" s="15" t="str">
        <f ca="1">IF(INDIRECT("'"&amp;$C$1&amp;"'!o92")= "","",INDIRECT("'"&amp;$C$1&amp;"'!o92"))</f>
        <v/>
      </c>
      <c r="Q120" s="15" t="str">
        <f ca="1">IF(INDIRECT("'"&amp;$C$1&amp;"'!p92")= "","",INDIRECT("'"&amp;$C$1&amp;"'!p92"))</f>
        <v/>
      </c>
      <c r="R120" s="15" t="str">
        <f ca="1">IF(INDIRECT("'"&amp;$C$1&amp;"'!q92")= "","",INDIRECT("'"&amp;$C$1&amp;"'!q92"))</f>
        <v/>
      </c>
      <c r="S120" s="15" t="str">
        <f ca="1">IF(INDIRECT("'"&amp;$C$1&amp;"'!r92")= "","",INDIRECT("'"&amp;$C$1&amp;"'!r92"))</f>
        <v/>
      </c>
      <c r="T120" s="15" t="str">
        <f ca="1">IF(INDIRECT("'"&amp;$C$1&amp;"'!s92")= "","",INDIRECT("'"&amp;$C$1&amp;"'!s92"))</f>
        <v/>
      </c>
      <c r="U120" s="15" t="str">
        <f ca="1">IF(INDIRECT("'"&amp;$C$1&amp;"'!t92")= "","",INDIRECT("'"&amp;$C$1&amp;"'!t92"))</f>
        <v/>
      </c>
      <c r="V120" s="15" t="str">
        <f ca="1">IF(INDIRECT("'"&amp;$C$1&amp;"'!u92")= "","",INDIRECT("'"&amp;$C$1&amp;"'!u92"))</f>
        <v/>
      </c>
      <c r="W120" s="15" t="str">
        <f ca="1">IF(INDIRECT("'"&amp;$C$1&amp;"'!v92")= "","",INDIRECT("'"&amp;$C$1&amp;"'!v92"))</f>
        <v/>
      </c>
      <c r="X120" s="15" t="str">
        <f ca="1">IF(INDIRECT("'"&amp;$C$1&amp;"'!w92")= "","",INDIRECT("'"&amp;$C$1&amp;"'!w92"))</f>
        <v/>
      </c>
      <c r="Y120" s="15" t="str">
        <f ca="1">IF(INDIRECT("'"&amp;$C$1&amp;"'!x92")= "","",INDIRECT("'"&amp;$C$1&amp;"'!x92"))</f>
        <v/>
      </c>
      <c r="Z120" s="15" t="str">
        <f ca="1">IF(INDIRECT("'"&amp;$C$1&amp;"'!y92")= "","",INDIRECT("'"&amp;$C$1&amp;"'!y92"))</f>
        <v>Y</v>
      </c>
      <c r="AA120" s="15" t="str">
        <f ca="1">IF(INDIRECT("'"&amp;$C$1&amp;"'!z92")= "","",INDIRECT("'"&amp;$C$1&amp;"'!z92"))</f>
        <v/>
      </c>
      <c r="AB120" s="15" t="str">
        <f>IF(PAC!AA92= "","",PAC!AA92)</f>
        <v/>
      </c>
      <c r="AC120" s="151"/>
      <c r="AD120" s="151"/>
      <c r="AE120" s="151"/>
      <c r="AF120" s="151"/>
      <c r="AG120" s="151"/>
      <c r="AH120" s="151"/>
      <c r="AI120" s="151"/>
      <c r="AJ120" s="151"/>
      <c r="AK120" s="151"/>
      <c r="AL120" s="151"/>
      <c r="AM120" s="151"/>
      <c r="AN120" s="151"/>
      <c r="AO120" s="140" t="s">
        <v>46</v>
      </c>
    </row>
    <row r="121" spans="2:41" hidden="1">
      <c r="C121" s="125" t="str">
        <f ca="1">CONCATENATE(IF(INDIRECT("'"&amp;$C$1&amp;"'!B93")="","",INDIRECT("'"&amp;$C$1&amp;"'!B93"))," ",IF(INDIRECT("'"&amp;$C$1&amp;"'!C93")="","""",INDIRECT("'"&amp;$C$1&amp;"'!C93")))</f>
        <v>conjunct with tenth lord</v>
      </c>
      <c r="D121" s="147"/>
      <c r="E121" s="15" t="str">
        <f ca="1">IF(INDIRECT("'"&amp;$C$1&amp;"'!D93")= "","",INDIRECT("'"&amp;$C$1&amp;"'!D93"))</f>
        <v/>
      </c>
      <c r="F121" s="15" t="str">
        <f ca="1">IF(INDIRECT("'"&amp;$C$1&amp;"'!e93")= "","",INDIRECT("'"&amp;$C$1&amp;"'!e93"))</f>
        <v/>
      </c>
      <c r="G121" s="15" t="str">
        <f ca="1">IF(INDIRECT("'"&amp;$C$1&amp;"'!f93")= "","",INDIRECT("'"&amp;$C$1&amp;"'!f93"))</f>
        <v/>
      </c>
      <c r="H121" s="15" t="str">
        <f ca="1">IF(INDIRECT("'"&amp;$C$1&amp;"'!g93")= "","",INDIRECT("'"&amp;$C$1&amp;"'!g93"))</f>
        <v/>
      </c>
      <c r="I121" s="15" t="str">
        <f ca="1">IF(INDIRECT("'"&amp;$C$1&amp;"'!h93")= "","",INDIRECT("'"&amp;$C$1&amp;"'!h93"))</f>
        <v/>
      </c>
      <c r="J121" s="15" t="str">
        <f ca="1">IF(INDIRECT("'"&amp;$C$1&amp;"'!i93")= "","",INDIRECT("'"&amp;$C$1&amp;"'!i93"))</f>
        <v>Y</v>
      </c>
      <c r="K121" s="15" t="str">
        <f ca="1">IF(INDIRECT("'"&amp;$C$1&amp;"'!j93")= "","",INDIRECT("'"&amp;$C$1&amp;"'!j93"))</f>
        <v/>
      </c>
      <c r="L121" s="15" t="str">
        <f ca="1">IF(INDIRECT("'"&amp;$C$1&amp;"'!k93")= "","",INDIRECT("'"&amp;$C$1&amp;"'!k93"))</f>
        <v/>
      </c>
      <c r="M121" s="15" t="str">
        <f ca="1">IF(INDIRECT("'"&amp;$C$1&amp;"'!L93")= "","",INDIRECT("'"&amp;$C$1&amp;"'!L93"))</f>
        <v/>
      </c>
      <c r="N121" s="15" t="str">
        <f ca="1">IF(INDIRECT("'"&amp;$C$1&amp;"'!M93")= "","",INDIRECT("'"&amp;$C$1&amp;"'!M93"))</f>
        <v/>
      </c>
      <c r="P121" s="15" t="str">
        <f ca="1">IF(INDIRECT("'"&amp;$C$1&amp;"'!o93")= "","",INDIRECT("'"&amp;$C$1&amp;"'!o93"))</f>
        <v/>
      </c>
      <c r="Q121" s="15" t="str">
        <f ca="1">IF(INDIRECT("'"&amp;$C$1&amp;"'!p93")= "","",INDIRECT("'"&amp;$C$1&amp;"'!p93"))</f>
        <v>Y</v>
      </c>
      <c r="R121" s="15" t="str">
        <f ca="1">IF(INDIRECT("'"&amp;$C$1&amp;"'!q93")= "","",INDIRECT("'"&amp;$C$1&amp;"'!q93"))</f>
        <v/>
      </c>
      <c r="S121" s="15" t="str">
        <f ca="1">IF(INDIRECT("'"&amp;$C$1&amp;"'!r93")= "","",INDIRECT("'"&amp;$C$1&amp;"'!r93"))</f>
        <v/>
      </c>
      <c r="T121" s="15" t="str">
        <f ca="1">IF(INDIRECT("'"&amp;$C$1&amp;"'!s93")= "","",INDIRECT("'"&amp;$C$1&amp;"'!s93"))</f>
        <v/>
      </c>
      <c r="U121" s="15" t="str">
        <f ca="1">IF(INDIRECT("'"&amp;$C$1&amp;"'!t93")= "","",INDIRECT("'"&amp;$C$1&amp;"'!t93"))</f>
        <v/>
      </c>
      <c r="V121" s="15" t="str">
        <f ca="1">IF(INDIRECT("'"&amp;$C$1&amp;"'!u93")= "","",INDIRECT("'"&amp;$C$1&amp;"'!u93"))</f>
        <v>Y</v>
      </c>
      <c r="W121" s="15" t="str">
        <f ca="1">IF(INDIRECT("'"&amp;$C$1&amp;"'!v93")= "","",INDIRECT("'"&amp;$C$1&amp;"'!v93"))</f>
        <v/>
      </c>
      <c r="X121" s="15" t="str">
        <f ca="1">IF(INDIRECT("'"&amp;$C$1&amp;"'!w93")= "","",INDIRECT("'"&amp;$C$1&amp;"'!w93"))</f>
        <v/>
      </c>
      <c r="Y121" s="15" t="str">
        <f ca="1">IF(INDIRECT("'"&amp;$C$1&amp;"'!x93")= "","",INDIRECT("'"&amp;$C$1&amp;"'!x93"))</f>
        <v/>
      </c>
      <c r="Z121" s="15" t="str">
        <f ca="1">IF(INDIRECT("'"&amp;$C$1&amp;"'!y93")= "","",INDIRECT("'"&amp;$C$1&amp;"'!y93"))</f>
        <v/>
      </c>
      <c r="AA121" s="15" t="str">
        <f ca="1">IF(INDIRECT("'"&amp;$C$1&amp;"'!z93")= "","",INDIRECT("'"&amp;$C$1&amp;"'!z93"))</f>
        <v/>
      </c>
      <c r="AB121" s="15" t="str">
        <f>IF(PAC!AA93= "","",PAC!AA93)</f>
        <v/>
      </c>
      <c r="AC121" s="151"/>
      <c r="AD121" s="151"/>
      <c r="AE121" s="151"/>
      <c r="AF121" s="151"/>
      <c r="AG121" s="151"/>
      <c r="AH121" s="151"/>
      <c r="AI121" s="151"/>
      <c r="AJ121" s="151"/>
      <c r="AK121" s="151"/>
      <c r="AL121" s="151"/>
      <c r="AM121" s="151"/>
      <c r="AN121" s="151"/>
      <c r="AO121" s="140" t="s">
        <v>47</v>
      </c>
    </row>
    <row r="122" spans="2:41" hidden="1">
      <c r="C122" s="125" t="str">
        <f ca="1">CONCATENATE(IF(INDIRECT("'"&amp;$C$1&amp;"'!B94")="","",INDIRECT("'"&amp;$C$1&amp;"'!B94"))," ",IF(INDIRECT("'"&amp;$C$1&amp;"'!C94")="","""",INDIRECT("'"&amp;$C$1&amp;"'!C94")))</f>
        <v>conjunct with eleventh lord</v>
      </c>
      <c r="D122" s="147"/>
      <c r="E122" s="15" t="str">
        <f ca="1">IF(INDIRECT("'"&amp;$C$1&amp;"'!D94")= "","",INDIRECT("'"&amp;$C$1&amp;"'!D94"))</f>
        <v/>
      </c>
      <c r="F122" s="15" t="str">
        <f ca="1">IF(INDIRECT("'"&amp;$C$1&amp;"'!e94")= "","",INDIRECT("'"&amp;$C$1&amp;"'!e94"))</f>
        <v/>
      </c>
      <c r="G122" s="15" t="str">
        <f ca="1">IF(INDIRECT("'"&amp;$C$1&amp;"'!f94")= "","",INDIRECT("'"&amp;$C$1&amp;"'!f94"))</f>
        <v/>
      </c>
      <c r="H122" s="15" t="str">
        <f ca="1">IF(INDIRECT("'"&amp;$C$1&amp;"'!g94")= "","",INDIRECT("'"&amp;$C$1&amp;"'!g94"))</f>
        <v>Y</v>
      </c>
      <c r="I122" s="15" t="str">
        <f ca="1">IF(INDIRECT("'"&amp;$C$1&amp;"'!h94")= "","",INDIRECT("'"&amp;$C$1&amp;"'!h94"))</f>
        <v/>
      </c>
      <c r="J122" s="15" t="str">
        <f ca="1">IF(INDIRECT("'"&amp;$C$1&amp;"'!i94")= "","",INDIRECT("'"&amp;$C$1&amp;"'!i94"))</f>
        <v/>
      </c>
      <c r="K122" s="15" t="str">
        <f ca="1">IF(INDIRECT("'"&amp;$C$1&amp;"'!j94")= "","",INDIRECT("'"&amp;$C$1&amp;"'!j94"))</f>
        <v/>
      </c>
      <c r="L122" s="15" t="str">
        <f ca="1">IF(INDIRECT("'"&amp;$C$1&amp;"'!k94")= "","",INDIRECT("'"&amp;$C$1&amp;"'!k94"))</f>
        <v/>
      </c>
      <c r="M122" s="15" t="str">
        <f ca="1">IF(INDIRECT("'"&amp;$C$1&amp;"'!L94")= "","",INDIRECT("'"&amp;$C$1&amp;"'!L94"))</f>
        <v/>
      </c>
      <c r="N122" s="15" t="str">
        <f ca="1">IF(INDIRECT("'"&amp;$C$1&amp;"'!M94")= "","",INDIRECT("'"&amp;$C$1&amp;"'!M94"))</f>
        <v>Y</v>
      </c>
      <c r="P122" s="15" t="str">
        <f ca="1">IF(INDIRECT("'"&amp;$C$1&amp;"'!o94")= "","",INDIRECT("'"&amp;$C$1&amp;"'!o94"))</f>
        <v/>
      </c>
      <c r="Q122" s="15" t="str">
        <f ca="1">IF(INDIRECT("'"&amp;$C$1&amp;"'!p94")= "","",INDIRECT("'"&amp;$C$1&amp;"'!p94"))</f>
        <v/>
      </c>
      <c r="R122" s="15" t="str">
        <f ca="1">IF(INDIRECT("'"&amp;$C$1&amp;"'!q94")= "","",INDIRECT("'"&amp;$C$1&amp;"'!q94"))</f>
        <v/>
      </c>
      <c r="S122" s="15" t="str">
        <f ca="1">IF(INDIRECT("'"&amp;$C$1&amp;"'!r94")= "","",INDIRECT("'"&amp;$C$1&amp;"'!r94"))</f>
        <v/>
      </c>
      <c r="T122" s="15" t="str">
        <f ca="1">IF(INDIRECT("'"&amp;$C$1&amp;"'!s94")= "","",INDIRECT("'"&amp;$C$1&amp;"'!s94"))</f>
        <v/>
      </c>
      <c r="U122" s="15" t="str">
        <f ca="1">IF(INDIRECT("'"&amp;$C$1&amp;"'!t94")= "","",INDIRECT("'"&amp;$C$1&amp;"'!t94"))</f>
        <v/>
      </c>
      <c r="V122" s="15" t="str">
        <f ca="1">IF(INDIRECT("'"&amp;$C$1&amp;"'!u94")= "","",INDIRECT("'"&amp;$C$1&amp;"'!u94"))</f>
        <v/>
      </c>
      <c r="W122" s="15" t="str">
        <f ca="1">IF(INDIRECT("'"&amp;$C$1&amp;"'!v94")= "","",INDIRECT("'"&amp;$C$1&amp;"'!v94"))</f>
        <v/>
      </c>
      <c r="X122" s="15" t="str">
        <f ca="1">IF(INDIRECT("'"&amp;$C$1&amp;"'!w94")= "","",INDIRECT("'"&amp;$C$1&amp;"'!w94"))</f>
        <v>Y</v>
      </c>
      <c r="Y122" s="15" t="str">
        <f ca="1">IF(INDIRECT("'"&amp;$C$1&amp;"'!x94")= "","",INDIRECT("'"&amp;$C$1&amp;"'!x94"))</f>
        <v/>
      </c>
      <c r="Z122" s="15" t="str">
        <f ca="1">IF(INDIRECT("'"&amp;$C$1&amp;"'!y94")= "","",INDIRECT("'"&amp;$C$1&amp;"'!y94"))</f>
        <v/>
      </c>
      <c r="AA122" s="15" t="str">
        <f ca="1">IF(INDIRECT("'"&amp;$C$1&amp;"'!z94")= "","",INDIRECT("'"&amp;$C$1&amp;"'!z94"))</f>
        <v>Y</v>
      </c>
      <c r="AB122" s="15" t="str">
        <f>IF(PAC!AA94= "","",PAC!AA94)</f>
        <v/>
      </c>
      <c r="AC122" s="151"/>
      <c r="AD122" s="151"/>
      <c r="AE122" s="151"/>
      <c r="AF122" s="151"/>
      <c r="AG122" s="151"/>
      <c r="AH122" s="151"/>
      <c r="AI122" s="151"/>
      <c r="AJ122" s="151"/>
      <c r="AK122" s="151"/>
      <c r="AL122" s="151"/>
      <c r="AM122" s="151"/>
      <c r="AN122" s="151"/>
      <c r="AO122" s="140" t="s">
        <v>48</v>
      </c>
    </row>
    <row r="123" spans="2:41" hidden="1">
      <c r="C123" s="125" t="str">
        <f ca="1">CONCATENATE(IF(INDIRECT("'"&amp;$C$1&amp;"'!B95")="","",INDIRECT("'"&amp;$C$1&amp;"'!B95"))," ",IF(INDIRECT("'"&amp;$C$1&amp;"'!C95")="","""",INDIRECT("'"&amp;$C$1&amp;"'!C95")))</f>
        <v>conjunct with twelveth lord</v>
      </c>
      <c r="D123" s="147"/>
      <c r="E123" s="15" t="str">
        <f ca="1">IF(INDIRECT("'"&amp;$C$1&amp;"'!D95")= "","",INDIRECT("'"&amp;$C$1&amp;"'!D95"))</f>
        <v/>
      </c>
      <c r="F123" s="15" t="str">
        <f ca="1">IF(INDIRECT("'"&amp;$C$1&amp;"'!e95")= "","",INDIRECT("'"&amp;$C$1&amp;"'!e95"))</f>
        <v>Y</v>
      </c>
      <c r="G123" s="15" t="str">
        <f ca="1">IF(INDIRECT("'"&amp;$C$1&amp;"'!f95")= "","",INDIRECT("'"&amp;$C$1&amp;"'!f95"))</f>
        <v/>
      </c>
      <c r="H123" s="15" t="str">
        <f ca="1">IF(INDIRECT("'"&amp;$C$1&amp;"'!g95")= "","",INDIRECT("'"&amp;$C$1&amp;"'!g95"))</f>
        <v/>
      </c>
      <c r="I123" s="15" t="str">
        <f ca="1">IF(INDIRECT("'"&amp;$C$1&amp;"'!h95")= "","",INDIRECT("'"&amp;$C$1&amp;"'!h95"))</f>
        <v/>
      </c>
      <c r="J123" s="15" t="str">
        <f ca="1">IF(INDIRECT("'"&amp;$C$1&amp;"'!i95")= "","",INDIRECT("'"&amp;$C$1&amp;"'!i95"))</f>
        <v/>
      </c>
      <c r="K123" s="15" t="str">
        <f ca="1">IF(INDIRECT("'"&amp;$C$1&amp;"'!j95")= "","",INDIRECT("'"&amp;$C$1&amp;"'!j95"))</f>
        <v/>
      </c>
      <c r="L123" s="15" t="str">
        <f ca="1">IF(INDIRECT("'"&amp;$C$1&amp;"'!k95")= "","",INDIRECT("'"&amp;$C$1&amp;"'!k95"))</f>
        <v/>
      </c>
      <c r="M123" s="15" t="str">
        <f ca="1">IF(INDIRECT("'"&amp;$C$1&amp;"'!L95")= "","",INDIRECT("'"&amp;$C$1&amp;"'!L95"))</f>
        <v/>
      </c>
      <c r="N123" s="15" t="str">
        <f ca="1">IF(INDIRECT("'"&amp;$C$1&amp;"'!M95")= "","",INDIRECT("'"&amp;$C$1&amp;"'!M95"))</f>
        <v>Y</v>
      </c>
      <c r="P123" s="15" t="str">
        <f ca="1">IF(INDIRECT("'"&amp;$C$1&amp;"'!o95")= "","",INDIRECT("'"&amp;$C$1&amp;"'!o95"))</f>
        <v/>
      </c>
      <c r="Q123" s="15" t="str">
        <f ca="1">IF(INDIRECT("'"&amp;$C$1&amp;"'!p95")= "","",INDIRECT("'"&amp;$C$1&amp;"'!p95"))</f>
        <v/>
      </c>
      <c r="R123" s="15" t="str">
        <f ca="1">IF(INDIRECT("'"&amp;$C$1&amp;"'!q95")= "","",INDIRECT("'"&amp;$C$1&amp;"'!q95"))</f>
        <v/>
      </c>
      <c r="S123" s="15" t="str">
        <f ca="1">IF(INDIRECT("'"&amp;$C$1&amp;"'!r95")= "","",INDIRECT("'"&amp;$C$1&amp;"'!r95"))</f>
        <v/>
      </c>
      <c r="T123" s="15" t="str">
        <f ca="1">IF(INDIRECT("'"&amp;$C$1&amp;"'!s95")= "","",INDIRECT("'"&amp;$C$1&amp;"'!s95"))</f>
        <v/>
      </c>
      <c r="U123" s="15" t="str">
        <f ca="1">IF(INDIRECT("'"&amp;$C$1&amp;"'!t95")= "","",INDIRECT("'"&amp;$C$1&amp;"'!t95"))</f>
        <v/>
      </c>
      <c r="V123" s="15" t="str">
        <f ca="1">IF(INDIRECT("'"&amp;$C$1&amp;"'!u95")= "","",INDIRECT("'"&amp;$C$1&amp;"'!u95"))</f>
        <v/>
      </c>
      <c r="W123" s="15" t="str">
        <f ca="1">IF(INDIRECT("'"&amp;$C$1&amp;"'!v95")= "","",INDIRECT("'"&amp;$C$1&amp;"'!v95"))</f>
        <v/>
      </c>
      <c r="X123" s="15" t="str">
        <f ca="1">IF(INDIRECT("'"&amp;$C$1&amp;"'!w95")= "","",INDIRECT("'"&amp;$C$1&amp;"'!w95"))</f>
        <v/>
      </c>
      <c r="Y123" s="15" t="str">
        <f ca="1">IF(INDIRECT("'"&amp;$C$1&amp;"'!x95")= "","",INDIRECT("'"&amp;$C$1&amp;"'!x95"))</f>
        <v/>
      </c>
      <c r="Z123" s="15" t="str">
        <f ca="1">IF(INDIRECT("'"&amp;$C$1&amp;"'!y95")= "","",INDIRECT("'"&amp;$C$1&amp;"'!y95"))</f>
        <v>Y</v>
      </c>
      <c r="AA123" s="15" t="str">
        <f ca="1">IF(INDIRECT("'"&amp;$C$1&amp;"'!z95")= "","",INDIRECT("'"&amp;$C$1&amp;"'!z95"))</f>
        <v/>
      </c>
      <c r="AB123" s="15" t="str">
        <f>IF(PAC!AA95= "","",PAC!AA95)</f>
        <v/>
      </c>
      <c r="AC123" s="151"/>
      <c r="AD123" s="151"/>
      <c r="AE123" s="151"/>
      <c r="AF123" s="151"/>
      <c r="AG123" s="151"/>
      <c r="AH123" s="151"/>
      <c r="AI123" s="151"/>
      <c r="AJ123" s="151"/>
      <c r="AK123" s="151"/>
      <c r="AL123" s="151"/>
      <c r="AM123" s="151"/>
      <c r="AN123" s="151"/>
      <c r="AO123" s="140" t="s">
        <v>49</v>
      </c>
    </row>
    <row r="124" spans="2:41" hidden="1">
      <c r="C124" s="125" t="str">
        <f>IF(PAC!B96= "","",PAC!B96)</f>
        <v/>
      </c>
      <c r="D124" s="15"/>
      <c r="E124" s="15" t="str">
        <f>IF(PAC!D96= "","",PAC!D96)</f>
        <v/>
      </c>
      <c r="F124" s="15" t="str">
        <f>IF(PAC!E96= "","",PAC!E96)</f>
        <v/>
      </c>
      <c r="G124" s="15" t="str">
        <f>IF(PAC!F96= "","",PAC!F96)</f>
        <v/>
      </c>
      <c r="H124" s="15" t="str">
        <f>IF(PAC!G96= "","",PAC!G96)</f>
        <v/>
      </c>
      <c r="I124" s="15" t="str">
        <f>IF(PAC!H96= "","",PAC!H96)</f>
        <v/>
      </c>
      <c r="J124" s="15" t="str">
        <f>IF(PAC!I96= "","",PAC!I96)</f>
        <v/>
      </c>
      <c r="K124" s="15" t="str">
        <f>IF(PAC!J96= "","",PAC!J96)</f>
        <v/>
      </c>
      <c r="L124" s="15" t="str">
        <f>IF(PAC!K96= "","",PAC!K96)</f>
        <v/>
      </c>
      <c r="M124" s="15" t="str">
        <f>IF(PAC!L96= "","",PAC!L96)</f>
        <v/>
      </c>
      <c r="N124" s="15" t="str">
        <f>IF(PAC!M96= "","",PAC!M96)</f>
        <v/>
      </c>
      <c r="P124" s="15" t="str">
        <f>IF(PAC!O96= "","",PAC!O96)</f>
        <v/>
      </c>
      <c r="Q124" s="15" t="str">
        <f>IF(PAC!P96= "","",PAC!P96)</f>
        <v/>
      </c>
      <c r="R124" s="15" t="str">
        <f>IF(PAC!Q96= "","",PAC!Q96)</f>
        <v/>
      </c>
      <c r="S124" s="15" t="str">
        <f>IF(PAC!R96= "","",PAC!R96)</f>
        <v/>
      </c>
      <c r="T124" s="15" t="str">
        <f>IF(PAC!S96= "","",PAC!S96)</f>
        <v/>
      </c>
      <c r="U124" s="15" t="str">
        <f>IF(PAC!T96= "","",PAC!T96)</f>
        <v/>
      </c>
      <c r="V124" s="15" t="str">
        <f>IF(PAC!U96= "","",PAC!U96)</f>
        <v/>
      </c>
      <c r="W124" s="15" t="str">
        <f>IF(PAC!V96= "","",PAC!V96)</f>
        <v/>
      </c>
      <c r="X124" s="15" t="str">
        <f>IF(PAC!W96= "","",PAC!W96)</f>
        <v/>
      </c>
      <c r="Y124" s="15" t="str">
        <f>IF(PAC!X96= "","",PAC!X96)</f>
        <v/>
      </c>
      <c r="Z124" s="15" t="str">
        <f>IF(PAC!Y96= "","",PAC!Y96)</f>
        <v/>
      </c>
      <c r="AA124" s="15" t="str">
        <f>IF(PAC!Z96= "","",PAC!Z96)</f>
        <v/>
      </c>
      <c r="AB124" s="15" t="str">
        <f>IF(PAC!AA96= "","",PAC!AA96)</f>
        <v/>
      </c>
      <c r="AC124" s="15" t="str">
        <f>IF(PAC!AB96= "","",PAC!AB96)</f>
        <v/>
      </c>
      <c r="AD124" s="15" t="str">
        <f>IF(PAC!AC96= "","",PAC!AC96)</f>
        <v/>
      </c>
      <c r="AE124" s="15" t="str">
        <f>IF(PAC!AD96= "","",PAC!AD96)</f>
        <v/>
      </c>
      <c r="AF124" s="15" t="str">
        <f>IF(PAC!AE96= "","",PAC!AE96)</f>
        <v/>
      </c>
      <c r="AG124" s="15" t="str">
        <f>IF(PAC!AF96= "","",PAC!AF96)</f>
        <v/>
      </c>
      <c r="AH124" s="15" t="str">
        <f>IF(PAC!AG96= "","",PAC!AG96)</f>
        <v/>
      </c>
      <c r="AI124" s="15" t="str">
        <f>IF(PAC!AH96= "","",PAC!AH96)</f>
        <v/>
      </c>
      <c r="AJ124" s="15" t="str">
        <f>IF(PAC!AI96= "","",PAC!AI96)</f>
        <v/>
      </c>
      <c r="AK124" s="15" t="str">
        <f>IF(PAC!AJ96= "","",PAC!AJ96)</f>
        <v/>
      </c>
      <c r="AL124" s="15" t="str">
        <f>IF(PAC!AK96= "","",PAC!AK96)</f>
        <v/>
      </c>
      <c r="AM124" s="15" t="str">
        <f>IF(PAC!AL96= "","",PAC!AL96)</f>
        <v/>
      </c>
      <c r="AN124" s="15" t="str">
        <f>IF(PAC!AM96= "","",PAC!AM96)</f>
        <v/>
      </c>
      <c r="AO124" s="87"/>
    </row>
    <row r="125" spans="2:41" hidden="1">
      <c r="C125" s="125" t="str">
        <f>IF(PAC!B97= "","",PAC!B97)</f>
        <v/>
      </c>
      <c r="D125" s="15"/>
      <c r="E125" s="15" t="str">
        <f>IF(PAC!D97= "","",PAC!D97)</f>
        <v/>
      </c>
      <c r="F125" s="15" t="str">
        <f>IF(PAC!E97= "","",PAC!E97)</f>
        <v/>
      </c>
      <c r="G125" s="15" t="str">
        <f>IF(PAC!F97= "","",PAC!F97)</f>
        <v/>
      </c>
      <c r="H125" s="15" t="str">
        <f>IF(PAC!G97= "","",PAC!G97)</f>
        <v/>
      </c>
      <c r="I125" s="15" t="str">
        <f>IF(PAC!H97= "","",PAC!H97)</f>
        <v/>
      </c>
      <c r="J125" s="15" t="str">
        <f>IF(PAC!I97= "","",PAC!I97)</f>
        <v/>
      </c>
      <c r="K125" s="15" t="str">
        <f>IF(PAC!J97= "","",PAC!J97)</f>
        <v/>
      </c>
      <c r="L125" s="15" t="str">
        <f>IF(PAC!K97= "","",PAC!K97)</f>
        <v/>
      </c>
      <c r="M125" s="15" t="str">
        <f>IF(PAC!L97= "","",PAC!L97)</f>
        <v/>
      </c>
      <c r="N125" s="15" t="str">
        <f>IF(PAC!M97= "","",PAC!M97)</f>
        <v/>
      </c>
      <c r="P125" s="15" t="str">
        <f>IF(PAC!O97= "","",PAC!O97)</f>
        <v/>
      </c>
      <c r="Q125" s="15" t="str">
        <f>IF(PAC!P97= "","",PAC!P97)</f>
        <v/>
      </c>
      <c r="R125" s="15" t="str">
        <f>IF(PAC!Q97= "","",PAC!Q97)</f>
        <v/>
      </c>
      <c r="S125" s="15" t="str">
        <f>IF(PAC!R97= "","",PAC!R97)</f>
        <v/>
      </c>
      <c r="T125" s="15" t="str">
        <f>IF(PAC!S97= "","",PAC!S97)</f>
        <v/>
      </c>
      <c r="U125" s="15" t="str">
        <f>IF(PAC!T97= "","",PAC!T97)</f>
        <v/>
      </c>
      <c r="V125" s="15" t="str">
        <f>IF(PAC!U97= "","",PAC!U97)</f>
        <v/>
      </c>
      <c r="W125" s="15" t="str">
        <f>IF(PAC!V97= "","",PAC!V97)</f>
        <v/>
      </c>
      <c r="X125" s="15" t="str">
        <f>IF(PAC!W97= "","",PAC!W97)</f>
        <v/>
      </c>
      <c r="Y125" s="15" t="str">
        <f>IF(PAC!X97= "","",PAC!X97)</f>
        <v/>
      </c>
      <c r="Z125" s="15" t="str">
        <f>IF(PAC!Y97= "","",PAC!Y97)</f>
        <v/>
      </c>
      <c r="AA125" s="15" t="str">
        <f>IF(PAC!Z97= "","",PAC!Z97)</f>
        <v/>
      </c>
      <c r="AB125" s="15" t="str">
        <f>IF(PAC!AA97= "","",PAC!AA97)</f>
        <v/>
      </c>
      <c r="AC125" s="15" t="str">
        <f>IF(PAC!AB97= "","",PAC!AB97)</f>
        <v/>
      </c>
      <c r="AD125" s="15" t="str">
        <f>IF(PAC!AC97= "","",PAC!AC97)</f>
        <v/>
      </c>
      <c r="AE125" s="15" t="str">
        <f>IF(PAC!AD97= "","",PAC!AD97)</f>
        <v/>
      </c>
      <c r="AF125" s="15" t="str">
        <f>IF(PAC!AE97= "","",PAC!AE97)</f>
        <v/>
      </c>
      <c r="AG125" s="15" t="str">
        <f>IF(PAC!AF97= "","",PAC!AF97)</f>
        <v/>
      </c>
      <c r="AH125" s="15" t="str">
        <f>IF(PAC!AG97= "","",PAC!AG97)</f>
        <v/>
      </c>
      <c r="AI125" s="15" t="str">
        <f>IF(PAC!AH97= "","",PAC!AH97)</f>
        <v/>
      </c>
      <c r="AJ125" s="15" t="str">
        <f>IF(PAC!AI97= "","",PAC!AI97)</f>
        <v/>
      </c>
      <c r="AK125" s="15" t="str">
        <f>IF(PAC!AJ97= "","",PAC!AJ97)</f>
        <v/>
      </c>
      <c r="AL125" s="15" t="str">
        <f>IF(PAC!AK97= "","",PAC!AK97)</f>
        <v/>
      </c>
      <c r="AM125" s="15" t="str">
        <f>IF(PAC!AL97= "","",PAC!AL97)</f>
        <v/>
      </c>
      <c r="AN125" s="15" t="str">
        <f>IF(PAC!AM97= "","",PAC!AM97)</f>
        <v/>
      </c>
      <c r="AO125" s="87"/>
    </row>
    <row r="126" spans="2:41" ht="13.8" hidden="1" thickBot="1">
      <c r="B126" s="132"/>
      <c r="C126" s="133" t="str">
        <f>IF(PAC!B98= "","",PAC!B98)</f>
        <v>Residency</v>
      </c>
      <c r="D126" s="53"/>
      <c r="E126" s="53" t="str">
        <f>IF(PAC!D98= "","",PAC!D98)</f>
        <v/>
      </c>
      <c r="F126" s="53" t="str">
        <f>IF(PAC!E98= "","",PAC!E98)</f>
        <v/>
      </c>
      <c r="G126" s="53" t="str">
        <f>IF(PAC!F98= "","",PAC!F98)</f>
        <v/>
      </c>
      <c r="H126" s="53" t="str">
        <f>IF(PAC!G98= "","",PAC!G98)</f>
        <v/>
      </c>
      <c r="I126" s="53" t="str">
        <f>IF(PAC!H98= "","",PAC!H98)</f>
        <v/>
      </c>
      <c r="J126" s="53" t="str">
        <f>IF(PAC!I98= "","",PAC!I98)</f>
        <v/>
      </c>
      <c r="K126" s="53" t="str">
        <f>IF(PAC!J98= "","",PAC!J98)</f>
        <v/>
      </c>
      <c r="L126" s="53" t="str">
        <f>IF(PAC!K98= "","",PAC!K98)</f>
        <v/>
      </c>
      <c r="M126" s="53" t="str">
        <f>IF(PAC!L98= "","",PAC!L98)</f>
        <v/>
      </c>
      <c r="N126" s="53" t="str">
        <f>IF(PAC!M98= "","",PAC!M98)</f>
        <v/>
      </c>
      <c r="O126" s="53" t="str">
        <f>IF(PAC!N98= "","",PAC!N98)</f>
        <v/>
      </c>
      <c r="P126" s="53" t="str">
        <f>IF(PAC!O98= "","",PAC!O98)</f>
        <v/>
      </c>
      <c r="Q126" s="53" t="str">
        <f>IF(PAC!P98= "","",PAC!P98)</f>
        <v/>
      </c>
      <c r="R126" s="53" t="str">
        <f>IF(PAC!Q98= "","",PAC!Q98)</f>
        <v/>
      </c>
      <c r="S126" s="53" t="str">
        <f>IF(PAC!R98= "","",PAC!R98)</f>
        <v/>
      </c>
      <c r="T126" s="53" t="str">
        <f>IF(PAC!S98= "","",PAC!S98)</f>
        <v/>
      </c>
      <c r="U126" s="53" t="str">
        <f>IF(PAC!T98= "","",PAC!T98)</f>
        <v/>
      </c>
      <c r="V126" s="53" t="str">
        <f>IF(PAC!U98= "","",PAC!U98)</f>
        <v/>
      </c>
      <c r="W126" s="53" t="str">
        <f>IF(PAC!V98= "","",PAC!V98)</f>
        <v/>
      </c>
      <c r="X126" s="53" t="str">
        <f>IF(PAC!W98= "","",PAC!W98)</f>
        <v/>
      </c>
      <c r="Y126" s="53" t="str">
        <f>IF(PAC!X98= "","",PAC!X98)</f>
        <v/>
      </c>
      <c r="Z126" s="53" t="str">
        <f>IF(PAC!Y98= "","",PAC!Y98)</f>
        <v/>
      </c>
      <c r="AA126" s="53" t="str">
        <f>IF(PAC!Z98= "","",PAC!Z98)</f>
        <v/>
      </c>
      <c r="AB126" s="53" t="str">
        <f>IF(PAC!AA98= "","",PAC!AA98)</f>
        <v/>
      </c>
      <c r="AC126" s="53" t="str">
        <f>IF(PAC!AB98= "","",PAC!AB98)</f>
        <v/>
      </c>
      <c r="AD126" s="53" t="str">
        <f>IF(PAC!AC98= "","",PAC!AC98)</f>
        <v/>
      </c>
      <c r="AE126" s="53" t="str">
        <f>IF(PAC!AD98= "","",PAC!AD98)</f>
        <v/>
      </c>
      <c r="AF126" s="53" t="str">
        <f>IF(PAC!AE98= "","",PAC!AE98)</f>
        <v/>
      </c>
      <c r="AG126" s="53" t="str">
        <f>IF(PAC!AF98= "","",PAC!AF98)</f>
        <v/>
      </c>
      <c r="AH126" s="53" t="str">
        <f>IF(PAC!AG98= "","",PAC!AG98)</f>
        <v/>
      </c>
      <c r="AI126" s="53" t="str">
        <f>IF(PAC!AH98= "","",PAC!AH98)</f>
        <v/>
      </c>
      <c r="AJ126" s="53" t="str">
        <f>IF(PAC!AI98= "","",PAC!AI98)</f>
        <v/>
      </c>
      <c r="AK126" s="53" t="str">
        <f>IF(PAC!AJ98= "","",PAC!AJ98)</f>
        <v/>
      </c>
      <c r="AL126" s="53" t="str">
        <f>IF(PAC!AK98= "","",PAC!AK98)</f>
        <v/>
      </c>
      <c r="AM126" s="53" t="str">
        <f>IF(PAC!AL98= "","",PAC!AL98)</f>
        <v/>
      </c>
      <c r="AN126" s="53" t="str">
        <f>IF(PAC!AM98= "","",PAC!AM98)</f>
        <v/>
      </c>
      <c r="AO126" s="1"/>
    </row>
    <row r="127" spans="2:41" hidden="1">
      <c r="C127" s="125" t="str">
        <f>IF(PAC!B99= "","",PAC!B99)</f>
        <v/>
      </c>
      <c r="D127" s="15"/>
      <c r="E127" s="15" t="str">
        <f>IF(PAC!D99= "","",PAC!D99)</f>
        <v/>
      </c>
      <c r="F127" s="15" t="str">
        <f>IF(PAC!E99= "","",PAC!E99)</f>
        <v/>
      </c>
      <c r="G127" s="15" t="str">
        <f>IF(PAC!F99= "","",PAC!F99)</f>
        <v/>
      </c>
      <c r="H127" s="15" t="str">
        <f>IF(PAC!G99= "","",PAC!G99)</f>
        <v/>
      </c>
      <c r="I127" s="15" t="str">
        <f>IF(PAC!H99= "","",PAC!H99)</f>
        <v/>
      </c>
      <c r="J127" s="15" t="str">
        <f>IF(PAC!I99= "","",PAC!I99)</f>
        <v/>
      </c>
      <c r="K127" s="15" t="str">
        <f>IF(PAC!J99= "","",PAC!J99)</f>
        <v/>
      </c>
      <c r="L127" s="15" t="str">
        <f>IF(PAC!K99= "","",PAC!K99)</f>
        <v/>
      </c>
      <c r="M127" s="15" t="str">
        <f>IF(PAC!L99= "","",PAC!L99)</f>
        <v/>
      </c>
      <c r="N127" s="15" t="str">
        <f>IF(PAC!M99= "","",PAC!M99)</f>
        <v/>
      </c>
      <c r="O127" s="15" t="str">
        <f>IF(PAC!N99= "","",PAC!N99)</f>
        <v/>
      </c>
      <c r="P127" s="15" t="str">
        <f>IF(PAC!O99= "","",PAC!O99)</f>
        <v/>
      </c>
      <c r="Q127" s="15" t="str">
        <f>IF(PAC!P99= "","",PAC!P99)</f>
        <v/>
      </c>
      <c r="R127" s="15" t="str">
        <f>IF(PAC!Q99= "","",PAC!Q99)</f>
        <v/>
      </c>
      <c r="S127" s="15" t="str">
        <f>IF(PAC!R99= "","",PAC!R99)</f>
        <v/>
      </c>
      <c r="T127" s="15" t="str">
        <f>IF(PAC!S99= "","",PAC!S99)</f>
        <v/>
      </c>
      <c r="U127" s="15" t="str">
        <f>IF(PAC!T99= "","",PAC!T99)</f>
        <v/>
      </c>
      <c r="V127" s="15" t="str">
        <f>IF(PAC!U99= "","",PAC!U99)</f>
        <v/>
      </c>
      <c r="W127" s="15" t="str">
        <f>IF(PAC!V99= "","",PAC!V99)</f>
        <v/>
      </c>
      <c r="X127" s="15" t="str">
        <f>IF(PAC!W99= "","",PAC!W99)</f>
        <v/>
      </c>
      <c r="Y127" s="15" t="str">
        <f>IF(PAC!X99= "","",PAC!X99)</f>
        <v/>
      </c>
      <c r="Z127" s="15" t="str">
        <f>IF(PAC!Y99= "","",PAC!Y99)</f>
        <v/>
      </c>
      <c r="AA127" s="15" t="str">
        <f>IF(PAC!Z99= "","",PAC!Z99)</f>
        <v/>
      </c>
      <c r="AB127" s="15" t="str">
        <f>IF(PAC!AA99= "","",PAC!AA99)</f>
        <v/>
      </c>
      <c r="AC127" s="15" t="str">
        <f>IF(PAC!AB99= "","",PAC!AB99)</f>
        <v/>
      </c>
      <c r="AD127" s="15" t="str">
        <f>IF(PAC!AC99= "","",PAC!AC99)</f>
        <v/>
      </c>
      <c r="AE127" s="15" t="str">
        <f>IF(PAC!AD99= "","",PAC!AD99)</f>
        <v/>
      </c>
      <c r="AF127" s="15" t="str">
        <f>IF(PAC!AE99= "","",PAC!AE99)</f>
        <v/>
      </c>
      <c r="AG127" s="15" t="str">
        <f>IF(PAC!AF99= "","",PAC!AF99)</f>
        <v/>
      </c>
      <c r="AH127" s="15" t="str">
        <f>IF(PAC!AG99= "","",PAC!AG99)</f>
        <v/>
      </c>
      <c r="AI127" s="15" t="str">
        <f>IF(PAC!AH99= "","",PAC!AH99)</f>
        <v/>
      </c>
      <c r="AJ127" s="15" t="str">
        <f>IF(PAC!AI99= "","",PAC!AI99)</f>
        <v/>
      </c>
      <c r="AK127" s="15" t="str">
        <f>IF(PAC!AJ99= "","",PAC!AJ99)</f>
        <v/>
      </c>
      <c r="AL127" s="15" t="str">
        <f>IF(PAC!AK99= "","",PAC!AK99)</f>
        <v/>
      </c>
      <c r="AM127" s="15" t="str">
        <f>IF(PAC!AL99= "","",PAC!AL99)</f>
        <v/>
      </c>
      <c r="AN127" s="15" t="str">
        <f>IF(PAC!AM99= "","",PAC!AM99)</f>
        <v/>
      </c>
    </row>
    <row r="128" spans="2:41" hidden="1">
      <c r="C128" s="125" t="str">
        <f ca="1">CONCATENATE(IF(INDIRECT("'"&amp;$C$1&amp;"'!B100")="","",INDIRECT("'"&amp;$C$1&amp;"'!B100"))," ",IF(INDIRECT("'"&amp;$C$1&amp;"'!C100")="","""",INDIRECT("'"&amp;$C$1&amp;"'!C100")))</f>
        <v>resident in aries</v>
      </c>
      <c r="D128" s="147"/>
      <c r="E128" s="15" t="str">
        <f ca="1">IF(INDIRECT("'"&amp;$C$1&amp;"'!D100")= "","",INDIRECT("'"&amp;$C$1&amp;"'!D100"))</f>
        <v/>
      </c>
      <c r="F128" s="15" t="str">
        <f ca="1">IF(INDIRECT("'"&amp;$C$1&amp;"'!e100")= "","",INDIRECT("'"&amp;$C$1&amp;"'!e100"))</f>
        <v/>
      </c>
      <c r="G128" s="15" t="str">
        <f ca="1">IF(INDIRECT("'"&amp;$C$1&amp;"'!f100")= "","",INDIRECT("'"&amp;$C$1&amp;"'!f100"))</f>
        <v/>
      </c>
      <c r="H128" s="15" t="str">
        <f ca="1">IF(INDIRECT("'"&amp;$C$1&amp;"'!g100")= "","",INDIRECT("'"&amp;$C$1&amp;"'!g100"))</f>
        <v/>
      </c>
      <c r="I128" s="15" t="str">
        <f ca="1">IF(INDIRECT("'"&amp;$C$1&amp;"'!h100")= "","",INDIRECT("'"&amp;$C$1&amp;"'!h100"))</f>
        <v/>
      </c>
      <c r="J128" s="15" t="str">
        <f ca="1">IF(INDIRECT("'"&amp;$C$1&amp;"'!i100")= "","",INDIRECT("'"&amp;$C$1&amp;"'!i100"))</f>
        <v/>
      </c>
      <c r="K128" s="15" t="str">
        <f ca="1">IF(INDIRECT("'"&amp;$C$1&amp;"'!j100")= "","",INDIRECT("'"&amp;$C$1&amp;"'!j100"))</f>
        <v/>
      </c>
      <c r="L128" s="15" t="str">
        <f ca="1">IF(INDIRECT("'"&amp;$C$1&amp;"'!k100")= "","",INDIRECT("'"&amp;$C$1&amp;"'!k100"))</f>
        <v/>
      </c>
      <c r="M128" s="15" t="str">
        <f ca="1">IF(INDIRECT("'"&amp;$C$1&amp;"'!L100")= "","",INDIRECT("'"&amp;$C$1&amp;"'!L100"))</f>
        <v/>
      </c>
      <c r="N128" s="15" t="str">
        <f ca="1">IF(INDIRECT("'"&amp;$C$1&amp;"'!M100")= "","",INDIRECT("'"&amp;$C$1&amp;"'!M100"))</f>
        <v/>
      </c>
      <c r="P128" s="15" t="str">
        <f ca="1">IF(INDIRECT("'"&amp;$C$1&amp;"'!o100")= "","",INDIRECT("'"&amp;$C$1&amp;"'!o100"))</f>
        <v/>
      </c>
      <c r="Q128" s="15" t="str">
        <f ca="1">IF(INDIRECT("'"&amp;$C$1&amp;"'!p100")= "","",INDIRECT("'"&amp;$C$1&amp;"'!p100"))</f>
        <v/>
      </c>
      <c r="R128" s="15" t="str">
        <f ca="1">IF(INDIRECT("'"&amp;$C$1&amp;"'!q100")= "","",INDIRECT("'"&amp;$C$1&amp;"'!q100"))</f>
        <v/>
      </c>
      <c r="S128" s="15" t="str">
        <f ca="1">IF(INDIRECT("'"&amp;$C$1&amp;"'!r100")= "","",INDIRECT("'"&amp;$C$1&amp;"'!r100"))</f>
        <v/>
      </c>
      <c r="T128" s="15" t="str">
        <f ca="1">IF(INDIRECT("'"&amp;$C$1&amp;"'!s100")= "","",INDIRECT("'"&amp;$C$1&amp;"'!s100"))</f>
        <v/>
      </c>
      <c r="U128" s="15" t="str">
        <f ca="1">IF(INDIRECT("'"&amp;$C$1&amp;"'!t100")= "","",INDIRECT("'"&amp;$C$1&amp;"'!t100"))</f>
        <v/>
      </c>
      <c r="V128" s="15" t="str">
        <f ca="1">IF(INDIRECT("'"&amp;$C$1&amp;"'!u100")= "","",INDIRECT("'"&amp;$C$1&amp;"'!u100"))</f>
        <v/>
      </c>
      <c r="W128" s="15" t="str">
        <f ca="1">IF(INDIRECT("'"&amp;$C$1&amp;"'!v100")= "","",INDIRECT("'"&amp;$C$1&amp;"'!v100"))</f>
        <v/>
      </c>
      <c r="X128" s="15" t="str">
        <f ca="1">IF(INDIRECT("'"&amp;$C$1&amp;"'!w100")= "","",INDIRECT("'"&amp;$C$1&amp;"'!w100"))</f>
        <v/>
      </c>
      <c r="Y128" s="15" t="str">
        <f ca="1">IF(INDIRECT("'"&amp;$C$1&amp;"'!x100")= "","",INDIRECT("'"&amp;$C$1&amp;"'!x100"))</f>
        <v/>
      </c>
      <c r="Z128" s="15" t="str">
        <f ca="1">IF(INDIRECT("'"&amp;$C$1&amp;"'!y100")= "","",INDIRECT("'"&amp;$C$1&amp;"'!y100"))</f>
        <v/>
      </c>
      <c r="AA128" s="15" t="str">
        <f ca="1">IF(INDIRECT("'"&amp;$C$1&amp;"'!z100")= "","",INDIRECT("'"&amp;$C$1&amp;"'!z100"))</f>
        <v/>
      </c>
      <c r="AB128" s="15" t="str">
        <f>IF(PAC!AA100= "","",PAC!AA100)</f>
        <v/>
      </c>
      <c r="AC128" s="151"/>
      <c r="AD128" s="151"/>
      <c r="AE128" s="151"/>
      <c r="AF128" s="151"/>
      <c r="AG128" s="151"/>
      <c r="AH128" s="151"/>
      <c r="AI128" s="151"/>
      <c r="AJ128" s="151"/>
      <c r="AK128" s="151"/>
      <c r="AL128" s="151"/>
      <c r="AM128" s="151"/>
      <c r="AN128" s="151"/>
    </row>
    <row r="129" spans="3:40" hidden="1">
      <c r="C129" s="125" t="str">
        <f ca="1">CONCATENATE(IF(INDIRECT("'"&amp;$C$1&amp;"'!B101")="","",INDIRECT("'"&amp;$C$1&amp;"'!B101"))," ",IF(INDIRECT("'"&amp;$C$1&amp;"'!C101")="","""",INDIRECT("'"&amp;$C$1&amp;"'!C101")))</f>
        <v>resident in taurus</v>
      </c>
      <c r="D129" s="147"/>
      <c r="E129" s="15" t="str">
        <f ca="1">IF(INDIRECT("'"&amp;$C$1&amp;"'!D101")= "","",INDIRECT("'"&amp;$C$1&amp;"'!D101"))</f>
        <v/>
      </c>
      <c r="F129" s="15" t="str">
        <f ca="1">IF(INDIRECT("'"&amp;$C$1&amp;"'!e101")= "","",INDIRECT("'"&amp;$C$1&amp;"'!e101"))</f>
        <v/>
      </c>
      <c r="G129" s="15" t="str">
        <f ca="1">IF(INDIRECT("'"&amp;$C$1&amp;"'!f101")= "","",INDIRECT("'"&amp;$C$1&amp;"'!f101"))</f>
        <v/>
      </c>
      <c r="H129" s="15" t="str">
        <f ca="1">IF(INDIRECT("'"&amp;$C$1&amp;"'!g101")= "","",INDIRECT("'"&amp;$C$1&amp;"'!g101"))</f>
        <v/>
      </c>
      <c r="I129" s="15" t="str">
        <f ca="1">IF(INDIRECT("'"&amp;$C$1&amp;"'!h101")= "","",INDIRECT("'"&amp;$C$1&amp;"'!h101"))</f>
        <v/>
      </c>
      <c r="J129" s="15" t="str">
        <f ca="1">IF(INDIRECT("'"&amp;$C$1&amp;"'!i101")= "","",INDIRECT("'"&amp;$C$1&amp;"'!i101"))</f>
        <v/>
      </c>
      <c r="K129" s="15" t="str">
        <f ca="1">IF(INDIRECT("'"&amp;$C$1&amp;"'!j101")= "","",INDIRECT("'"&amp;$C$1&amp;"'!j101"))</f>
        <v/>
      </c>
      <c r="L129" s="15" t="str">
        <f ca="1">IF(INDIRECT("'"&amp;$C$1&amp;"'!k101")= "","",INDIRECT("'"&amp;$C$1&amp;"'!k101"))</f>
        <v/>
      </c>
      <c r="M129" s="15" t="str">
        <f ca="1">IF(INDIRECT("'"&amp;$C$1&amp;"'!L101")= "","",INDIRECT("'"&amp;$C$1&amp;"'!L101"))</f>
        <v/>
      </c>
      <c r="N129" s="15" t="str">
        <f ca="1">IF(INDIRECT("'"&amp;$C$1&amp;"'!M101")= "","",INDIRECT("'"&amp;$C$1&amp;"'!M101"))</f>
        <v/>
      </c>
      <c r="P129" s="15" t="str">
        <f ca="1">IF(INDIRECT("'"&amp;$C$1&amp;"'!o101")= "","",INDIRECT("'"&amp;$C$1&amp;"'!o101"))</f>
        <v/>
      </c>
      <c r="Q129" s="15" t="str">
        <f ca="1">IF(INDIRECT("'"&amp;$C$1&amp;"'!p101")= "","",INDIRECT("'"&amp;$C$1&amp;"'!p101"))</f>
        <v/>
      </c>
      <c r="R129" s="15" t="str">
        <f ca="1">IF(INDIRECT("'"&amp;$C$1&amp;"'!q101")= "","",INDIRECT("'"&amp;$C$1&amp;"'!q101"))</f>
        <v/>
      </c>
      <c r="S129" s="15" t="str">
        <f ca="1">IF(INDIRECT("'"&amp;$C$1&amp;"'!r101")= "","",INDIRECT("'"&amp;$C$1&amp;"'!r101"))</f>
        <v/>
      </c>
      <c r="T129" s="15" t="str">
        <f ca="1">IF(INDIRECT("'"&amp;$C$1&amp;"'!s101")= "","",INDIRECT("'"&amp;$C$1&amp;"'!s101"))</f>
        <v/>
      </c>
      <c r="U129" s="15" t="str">
        <f ca="1">IF(INDIRECT("'"&amp;$C$1&amp;"'!t101")= "","",INDIRECT("'"&amp;$C$1&amp;"'!t101"))</f>
        <v/>
      </c>
      <c r="V129" s="15" t="str">
        <f ca="1">IF(INDIRECT("'"&amp;$C$1&amp;"'!u101")= "","",INDIRECT("'"&amp;$C$1&amp;"'!u101"))</f>
        <v/>
      </c>
      <c r="W129" s="15" t="str">
        <f ca="1">IF(INDIRECT("'"&amp;$C$1&amp;"'!v101")= "","",INDIRECT("'"&amp;$C$1&amp;"'!v101"))</f>
        <v/>
      </c>
      <c r="X129" s="15" t="str">
        <f ca="1">IF(INDIRECT("'"&amp;$C$1&amp;"'!w101")= "","",INDIRECT("'"&amp;$C$1&amp;"'!w101"))</f>
        <v/>
      </c>
      <c r="Y129" s="15" t="str">
        <f ca="1">IF(INDIRECT("'"&amp;$C$1&amp;"'!x101")= "","",INDIRECT("'"&amp;$C$1&amp;"'!x101"))</f>
        <v/>
      </c>
      <c r="Z129" s="15" t="str">
        <f ca="1">IF(INDIRECT("'"&amp;$C$1&amp;"'!y101")= "","",INDIRECT("'"&amp;$C$1&amp;"'!y101"))</f>
        <v/>
      </c>
      <c r="AA129" s="15" t="str">
        <f ca="1">IF(INDIRECT("'"&amp;$C$1&amp;"'!z101")= "","",INDIRECT("'"&amp;$C$1&amp;"'!z101"))</f>
        <v/>
      </c>
      <c r="AB129" s="15" t="str">
        <f>IF(PAC!AA101= "","",PAC!AA101)</f>
        <v/>
      </c>
      <c r="AC129" s="151"/>
      <c r="AD129" s="151"/>
      <c r="AE129" s="151"/>
      <c r="AF129" s="151"/>
      <c r="AG129" s="151"/>
      <c r="AH129" s="151"/>
      <c r="AI129" s="151"/>
      <c r="AJ129" s="151"/>
      <c r="AK129" s="151"/>
      <c r="AL129" s="151"/>
      <c r="AM129" s="151"/>
      <c r="AN129" s="151"/>
    </row>
    <row r="130" spans="3:40" hidden="1">
      <c r="C130" s="125" t="str">
        <f ca="1">CONCATENATE(IF(INDIRECT("'"&amp;$C$1&amp;"'!B102")="","",INDIRECT("'"&amp;$C$1&amp;"'!B102"))," ",IF(INDIRECT("'"&amp;$C$1&amp;"'!C102")="","""",INDIRECT("'"&amp;$C$1&amp;"'!C102")))</f>
        <v>resident in gemini</v>
      </c>
      <c r="D130" s="147"/>
      <c r="E130" s="15" t="str">
        <f ca="1">IF(INDIRECT("'"&amp;$C$1&amp;"'!D102")= "","",INDIRECT("'"&amp;$C$1&amp;"'!D102"))</f>
        <v/>
      </c>
      <c r="F130" s="15" t="str">
        <f ca="1">IF(INDIRECT("'"&amp;$C$1&amp;"'!e102")= "","",INDIRECT("'"&amp;$C$1&amp;"'!e102"))</f>
        <v/>
      </c>
      <c r="G130" s="15" t="str">
        <f ca="1">IF(INDIRECT("'"&amp;$C$1&amp;"'!f102")= "","",INDIRECT("'"&amp;$C$1&amp;"'!f102"))</f>
        <v/>
      </c>
      <c r="H130" s="15" t="str">
        <f ca="1">IF(INDIRECT("'"&amp;$C$1&amp;"'!g102")= "","",INDIRECT("'"&amp;$C$1&amp;"'!g102"))</f>
        <v/>
      </c>
      <c r="I130" s="15" t="str">
        <f ca="1">IF(INDIRECT("'"&amp;$C$1&amp;"'!h102")= "","",INDIRECT("'"&amp;$C$1&amp;"'!h102"))</f>
        <v/>
      </c>
      <c r="J130" s="15" t="str">
        <f ca="1">IF(INDIRECT("'"&amp;$C$1&amp;"'!i102")= "","",INDIRECT("'"&amp;$C$1&amp;"'!i102"))</f>
        <v/>
      </c>
      <c r="K130" s="15" t="str">
        <f ca="1">IF(INDIRECT("'"&amp;$C$1&amp;"'!j102")= "","",INDIRECT("'"&amp;$C$1&amp;"'!j102"))</f>
        <v/>
      </c>
      <c r="L130" s="15" t="str">
        <f ca="1">IF(INDIRECT("'"&amp;$C$1&amp;"'!k102")= "","",INDIRECT("'"&amp;$C$1&amp;"'!k102"))</f>
        <v/>
      </c>
      <c r="M130" s="15" t="str">
        <f ca="1">IF(INDIRECT("'"&amp;$C$1&amp;"'!L102")= "","",INDIRECT("'"&amp;$C$1&amp;"'!L102"))</f>
        <v/>
      </c>
      <c r="N130" s="15" t="str">
        <f ca="1">IF(INDIRECT("'"&amp;$C$1&amp;"'!M102")= "","",INDIRECT("'"&amp;$C$1&amp;"'!M102"))</f>
        <v/>
      </c>
      <c r="P130" s="15" t="str">
        <f ca="1">IF(INDIRECT("'"&amp;$C$1&amp;"'!o102")= "","",INDIRECT("'"&amp;$C$1&amp;"'!o102"))</f>
        <v/>
      </c>
      <c r="Q130" s="15" t="str">
        <f ca="1">IF(INDIRECT("'"&amp;$C$1&amp;"'!p102")= "","",INDIRECT("'"&amp;$C$1&amp;"'!p102"))</f>
        <v/>
      </c>
      <c r="R130" s="15" t="str">
        <f ca="1">IF(INDIRECT("'"&amp;$C$1&amp;"'!q102")= "","",INDIRECT("'"&amp;$C$1&amp;"'!q102"))</f>
        <v/>
      </c>
      <c r="S130" s="15" t="str">
        <f ca="1">IF(INDIRECT("'"&amp;$C$1&amp;"'!r102")= "","",INDIRECT("'"&amp;$C$1&amp;"'!r102"))</f>
        <v/>
      </c>
      <c r="T130" s="15" t="str">
        <f ca="1">IF(INDIRECT("'"&amp;$C$1&amp;"'!s102")= "","",INDIRECT("'"&amp;$C$1&amp;"'!s102"))</f>
        <v/>
      </c>
      <c r="U130" s="15" t="str">
        <f ca="1">IF(INDIRECT("'"&amp;$C$1&amp;"'!t102")= "","",INDIRECT("'"&amp;$C$1&amp;"'!t102"))</f>
        <v/>
      </c>
      <c r="V130" s="15" t="str">
        <f ca="1">IF(INDIRECT("'"&amp;$C$1&amp;"'!u102")= "","",INDIRECT("'"&amp;$C$1&amp;"'!u102"))</f>
        <v/>
      </c>
      <c r="W130" s="15" t="str">
        <f ca="1">IF(INDIRECT("'"&amp;$C$1&amp;"'!v102")= "","",INDIRECT("'"&amp;$C$1&amp;"'!v102"))</f>
        <v/>
      </c>
      <c r="X130" s="15" t="str">
        <f ca="1">IF(INDIRECT("'"&amp;$C$1&amp;"'!w102")= "","",INDIRECT("'"&amp;$C$1&amp;"'!w102"))</f>
        <v/>
      </c>
      <c r="Y130" s="15" t="str">
        <f ca="1">IF(INDIRECT("'"&amp;$C$1&amp;"'!x102")= "","",INDIRECT("'"&amp;$C$1&amp;"'!x102"))</f>
        <v/>
      </c>
      <c r="Z130" s="15" t="str">
        <f ca="1">IF(INDIRECT("'"&amp;$C$1&amp;"'!y102")= "","",INDIRECT("'"&amp;$C$1&amp;"'!y102"))</f>
        <v/>
      </c>
      <c r="AA130" s="15" t="str">
        <f ca="1">IF(INDIRECT("'"&amp;$C$1&amp;"'!z102")= "","",INDIRECT("'"&amp;$C$1&amp;"'!z102"))</f>
        <v/>
      </c>
      <c r="AB130" s="15" t="str">
        <f>IF(PAC!AA102= "","",PAC!AA102)</f>
        <v/>
      </c>
      <c r="AC130" s="151"/>
      <c r="AD130" s="151"/>
      <c r="AE130" s="151"/>
      <c r="AF130" s="151"/>
      <c r="AG130" s="151"/>
      <c r="AH130" s="151"/>
      <c r="AI130" s="151"/>
      <c r="AJ130" s="151"/>
      <c r="AK130" s="151"/>
      <c r="AL130" s="151"/>
      <c r="AM130" s="151"/>
      <c r="AN130" s="151"/>
    </row>
    <row r="131" spans="3:40" hidden="1">
      <c r="C131" s="125" t="str">
        <f ca="1">CONCATENATE(IF(INDIRECT("'"&amp;$C$1&amp;"'!B103")="","",INDIRECT("'"&amp;$C$1&amp;"'!B103"))," ",IF(INDIRECT("'"&amp;$C$1&amp;"'!C103")="","""",INDIRECT("'"&amp;$C$1&amp;"'!C103")))</f>
        <v>resident in cancer</v>
      </c>
      <c r="D131" s="147"/>
      <c r="E131" s="15" t="str">
        <f ca="1">IF(INDIRECT("'"&amp;$C$1&amp;"'!D103")= "","",INDIRECT("'"&amp;$C$1&amp;"'!D103"))</f>
        <v/>
      </c>
      <c r="F131" s="15" t="str">
        <f ca="1">IF(INDIRECT("'"&amp;$C$1&amp;"'!e103")= "","",INDIRECT("'"&amp;$C$1&amp;"'!e103"))</f>
        <v/>
      </c>
      <c r="G131" s="15" t="str">
        <f ca="1">IF(INDIRECT("'"&amp;$C$1&amp;"'!f103")= "","",INDIRECT("'"&amp;$C$1&amp;"'!f103"))</f>
        <v/>
      </c>
      <c r="H131" s="15" t="str">
        <f ca="1">IF(INDIRECT("'"&amp;$C$1&amp;"'!g103")= "","",INDIRECT("'"&amp;$C$1&amp;"'!g103"))</f>
        <v/>
      </c>
      <c r="I131" s="15" t="str">
        <f ca="1">IF(INDIRECT("'"&amp;$C$1&amp;"'!h103")= "","",INDIRECT("'"&amp;$C$1&amp;"'!h103"))</f>
        <v/>
      </c>
      <c r="J131" s="15" t="str">
        <f ca="1">IF(INDIRECT("'"&amp;$C$1&amp;"'!i103")= "","",INDIRECT("'"&amp;$C$1&amp;"'!i103"))</f>
        <v/>
      </c>
      <c r="K131" s="15" t="str">
        <f ca="1">IF(INDIRECT("'"&amp;$C$1&amp;"'!j103")= "","",INDIRECT("'"&amp;$C$1&amp;"'!j103"))</f>
        <v/>
      </c>
      <c r="L131" s="15" t="str">
        <f ca="1">IF(INDIRECT("'"&amp;$C$1&amp;"'!k103")= "","",INDIRECT("'"&amp;$C$1&amp;"'!k103"))</f>
        <v/>
      </c>
      <c r="M131" s="15" t="str">
        <f ca="1">IF(INDIRECT("'"&amp;$C$1&amp;"'!L103")= "","",INDIRECT("'"&amp;$C$1&amp;"'!L103"))</f>
        <v/>
      </c>
      <c r="N131" s="15" t="str">
        <f ca="1">IF(INDIRECT("'"&amp;$C$1&amp;"'!M103")= "","",INDIRECT("'"&amp;$C$1&amp;"'!M103"))</f>
        <v/>
      </c>
      <c r="P131" s="15" t="str">
        <f ca="1">IF(INDIRECT("'"&amp;$C$1&amp;"'!o103")= "","",INDIRECT("'"&amp;$C$1&amp;"'!o103"))</f>
        <v/>
      </c>
      <c r="Q131" s="15" t="str">
        <f ca="1">IF(INDIRECT("'"&amp;$C$1&amp;"'!p103")= "","",INDIRECT("'"&amp;$C$1&amp;"'!p103"))</f>
        <v/>
      </c>
      <c r="R131" s="15" t="str">
        <f ca="1">IF(INDIRECT("'"&amp;$C$1&amp;"'!q103")= "","",INDIRECT("'"&amp;$C$1&amp;"'!q103"))</f>
        <v/>
      </c>
      <c r="S131" s="15" t="str">
        <f ca="1">IF(INDIRECT("'"&amp;$C$1&amp;"'!r103")= "","",INDIRECT("'"&amp;$C$1&amp;"'!r103"))</f>
        <v/>
      </c>
      <c r="T131" s="15" t="str">
        <f ca="1">IF(INDIRECT("'"&amp;$C$1&amp;"'!s103")= "","",INDIRECT("'"&amp;$C$1&amp;"'!s103"))</f>
        <v/>
      </c>
      <c r="U131" s="15" t="str">
        <f ca="1">IF(INDIRECT("'"&amp;$C$1&amp;"'!t103")= "","",INDIRECT("'"&amp;$C$1&amp;"'!t103"))</f>
        <v/>
      </c>
      <c r="V131" s="15" t="str">
        <f ca="1">IF(INDIRECT("'"&amp;$C$1&amp;"'!u103")= "","",INDIRECT("'"&amp;$C$1&amp;"'!u103"))</f>
        <v/>
      </c>
      <c r="W131" s="15" t="str">
        <f ca="1">IF(INDIRECT("'"&amp;$C$1&amp;"'!v103")= "","",INDIRECT("'"&amp;$C$1&amp;"'!v103"))</f>
        <v/>
      </c>
      <c r="X131" s="15" t="str">
        <f ca="1">IF(INDIRECT("'"&amp;$C$1&amp;"'!w103")= "","",INDIRECT("'"&amp;$C$1&amp;"'!w103"))</f>
        <v/>
      </c>
      <c r="Y131" s="15" t="str">
        <f ca="1">IF(INDIRECT("'"&amp;$C$1&amp;"'!x103")= "","",INDIRECT("'"&amp;$C$1&amp;"'!x103"))</f>
        <v/>
      </c>
      <c r="Z131" s="15" t="str">
        <f ca="1">IF(INDIRECT("'"&amp;$C$1&amp;"'!y103")= "","",INDIRECT("'"&amp;$C$1&amp;"'!y103"))</f>
        <v/>
      </c>
      <c r="AA131" s="15" t="str">
        <f ca="1">IF(INDIRECT("'"&amp;$C$1&amp;"'!z103")= "","",INDIRECT("'"&amp;$C$1&amp;"'!z103"))</f>
        <v/>
      </c>
      <c r="AB131" s="15" t="str">
        <f>IF(PAC!AA103= "","",PAC!AA103)</f>
        <v/>
      </c>
      <c r="AC131" s="151"/>
      <c r="AD131" s="151"/>
      <c r="AE131" s="151"/>
      <c r="AF131" s="151"/>
      <c r="AG131" s="151"/>
      <c r="AH131" s="151"/>
      <c r="AI131" s="151"/>
      <c r="AJ131" s="151"/>
      <c r="AK131" s="151"/>
      <c r="AL131" s="151"/>
      <c r="AM131" s="151"/>
      <c r="AN131" s="151"/>
    </row>
    <row r="132" spans="3:40" hidden="1">
      <c r="C132" s="125" t="str">
        <f ca="1">CONCATENATE(IF(INDIRECT("'"&amp;$C$1&amp;"'!B104")="","",INDIRECT("'"&amp;$C$1&amp;"'!B104"))," ",IF(INDIRECT("'"&amp;$C$1&amp;"'!C104")="","""",INDIRECT("'"&amp;$C$1&amp;"'!C104")))</f>
        <v>resident in leo</v>
      </c>
      <c r="D132" s="147"/>
      <c r="E132" s="15" t="str">
        <f ca="1">IF(INDIRECT("'"&amp;$C$1&amp;"'!D104")= "","",INDIRECT("'"&amp;$C$1&amp;"'!D104"))</f>
        <v/>
      </c>
      <c r="F132" s="15" t="str">
        <f ca="1">IF(INDIRECT("'"&amp;$C$1&amp;"'!e104")= "","",INDIRECT("'"&amp;$C$1&amp;"'!e104"))</f>
        <v/>
      </c>
      <c r="G132" s="15" t="str">
        <f ca="1">IF(INDIRECT("'"&amp;$C$1&amp;"'!f104")= "","",INDIRECT("'"&amp;$C$1&amp;"'!f104"))</f>
        <v/>
      </c>
      <c r="H132" s="15" t="str">
        <f ca="1">IF(INDIRECT("'"&amp;$C$1&amp;"'!g104")= "","",INDIRECT("'"&amp;$C$1&amp;"'!g104"))</f>
        <v/>
      </c>
      <c r="I132" s="15" t="str">
        <f ca="1">IF(INDIRECT("'"&amp;$C$1&amp;"'!h104")= "","",INDIRECT("'"&amp;$C$1&amp;"'!h104"))</f>
        <v>Y</v>
      </c>
      <c r="J132" s="15" t="str">
        <f ca="1">IF(INDIRECT("'"&amp;$C$1&amp;"'!i104")= "","",INDIRECT("'"&amp;$C$1&amp;"'!i104"))</f>
        <v/>
      </c>
      <c r="K132" s="15" t="str">
        <f ca="1">IF(INDIRECT("'"&amp;$C$1&amp;"'!j104")= "","",INDIRECT("'"&amp;$C$1&amp;"'!j104"))</f>
        <v/>
      </c>
      <c r="L132" s="15" t="str">
        <f ca="1">IF(INDIRECT("'"&amp;$C$1&amp;"'!k104")= "","",INDIRECT("'"&amp;$C$1&amp;"'!k104"))</f>
        <v>Y</v>
      </c>
      <c r="M132" s="15" t="str">
        <f ca="1">IF(INDIRECT("'"&amp;$C$1&amp;"'!L104")= "","",INDIRECT("'"&amp;$C$1&amp;"'!L104"))</f>
        <v/>
      </c>
      <c r="N132" s="15" t="str">
        <f ca="1">IF(INDIRECT("'"&amp;$C$1&amp;"'!M104")= "","",INDIRECT("'"&amp;$C$1&amp;"'!M104"))</f>
        <v/>
      </c>
      <c r="P132" s="15" t="str">
        <f ca="1">IF(INDIRECT("'"&amp;$C$1&amp;"'!o104")= "","",INDIRECT("'"&amp;$C$1&amp;"'!o104"))</f>
        <v>Y</v>
      </c>
      <c r="Q132" s="15" t="str">
        <f ca="1">IF(INDIRECT("'"&amp;$C$1&amp;"'!p104")= "","",INDIRECT("'"&amp;$C$1&amp;"'!p104"))</f>
        <v/>
      </c>
      <c r="R132" s="15" t="str">
        <f ca="1">IF(INDIRECT("'"&amp;$C$1&amp;"'!q104")= "","",INDIRECT("'"&amp;$C$1&amp;"'!q104"))</f>
        <v/>
      </c>
      <c r="S132" s="15" t="str">
        <f ca="1">IF(INDIRECT("'"&amp;$C$1&amp;"'!r104")= "","",INDIRECT("'"&amp;$C$1&amp;"'!r104"))</f>
        <v>Y</v>
      </c>
      <c r="T132" s="15" t="str">
        <f ca="1">IF(INDIRECT("'"&amp;$C$1&amp;"'!s104")= "","",INDIRECT("'"&amp;$C$1&amp;"'!s104"))</f>
        <v>Y</v>
      </c>
      <c r="U132" s="15" t="str">
        <f ca="1">IF(INDIRECT("'"&amp;$C$1&amp;"'!t104")= "","",INDIRECT("'"&amp;$C$1&amp;"'!t104"))</f>
        <v/>
      </c>
      <c r="V132" s="15" t="str">
        <f ca="1">IF(INDIRECT("'"&amp;$C$1&amp;"'!u104")= "","",INDIRECT("'"&amp;$C$1&amp;"'!u104"))</f>
        <v/>
      </c>
      <c r="W132" s="15" t="str">
        <f ca="1">IF(INDIRECT("'"&amp;$C$1&amp;"'!v104")= "","",INDIRECT("'"&amp;$C$1&amp;"'!v104"))</f>
        <v>Y</v>
      </c>
      <c r="X132" s="15" t="str">
        <f ca="1">IF(INDIRECT("'"&amp;$C$1&amp;"'!w104")= "","",INDIRECT("'"&amp;$C$1&amp;"'!w104"))</f>
        <v/>
      </c>
      <c r="Y132" s="15" t="str">
        <f ca="1">IF(INDIRECT("'"&amp;$C$1&amp;"'!x104")= "","",INDIRECT("'"&amp;$C$1&amp;"'!x104"))</f>
        <v/>
      </c>
      <c r="Z132" s="15" t="str">
        <f ca="1">IF(INDIRECT("'"&amp;$C$1&amp;"'!y104")= "","",INDIRECT("'"&amp;$C$1&amp;"'!y104"))</f>
        <v/>
      </c>
      <c r="AA132" s="15" t="str">
        <f ca="1">IF(INDIRECT("'"&amp;$C$1&amp;"'!z104")= "","",INDIRECT("'"&amp;$C$1&amp;"'!z104"))</f>
        <v/>
      </c>
      <c r="AB132" s="15" t="str">
        <f>IF(PAC!AA104= "","",PAC!AA104)</f>
        <v/>
      </c>
      <c r="AC132" s="151"/>
      <c r="AD132" s="151"/>
      <c r="AE132" s="151"/>
      <c r="AF132" s="151"/>
      <c r="AG132" s="151"/>
      <c r="AH132" s="151"/>
      <c r="AI132" s="151"/>
      <c r="AJ132" s="151"/>
      <c r="AK132" s="151"/>
      <c r="AL132" s="151"/>
      <c r="AM132" s="151"/>
      <c r="AN132" s="151"/>
    </row>
    <row r="133" spans="3:40" hidden="1">
      <c r="C133" s="125" t="str">
        <f ca="1">CONCATENATE(IF(INDIRECT("'"&amp;$C$1&amp;"'!B105")="","",INDIRECT("'"&amp;$C$1&amp;"'!B105"))," ",IF(INDIRECT("'"&amp;$C$1&amp;"'!C105")="","""",INDIRECT("'"&amp;$C$1&amp;"'!C105")))</f>
        <v>resident in virgo</v>
      </c>
      <c r="D133" s="147"/>
      <c r="E133" s="15" t="str">
        <f ca="1">IF(INDIRECT("'"&amp;$C$1&amp;"'!D105")= "","",INDIRECT("'"&amp;$C$1&amp;"'!D105"))</f>
        <v/>
      </c>
      <c r="F133" s="15" t="str">
        <f ca="1">IF(INDIRECT("'"&amp;$C$1&amp;"'!e105")= "","",INDIRECT("'"&amp;$C$1&amp;"'!e105"))</f>
        <v>Y</v>
      </c>
      <c r="G133" s="15" t="str">
        <f ca="1">IF(INDIRECT("'"&amp;$C$1&amp;"'!f105")= "","",INDIRECT("'"&amp;$C$1&amp;"'!f105"))</f>
        <v/>
      </c>
      <c r="H133" s="15" t="str">
        <f ca="1">IF(INDIRECT("'"&amp;$C$1&amp;"'!g105")= "","",INDIRECT("'"&amp;$C$1&amp;"'!g105"))</f>
        <v>Y</v>
      </c>
      <c r="I133" s="15" t="str">
        <f ca="1">IF(INDIRECT("'"&amp;$C$1&amp;"'!h105")= "","",INDIRECT("'"&amp;$C$1&amp;"'!h105"))</f>
        <v/>
      </c>
      <c r="J133" s="15" t="str">
        <f ca="1">IF(INDIRECT("'"&amp;$C$1&amp;"'!i105")= "","",INDIRECT("'"&amp;$C$1&amp;"'!i105"))</f>
        <v/>
      </c>
      <c r="K133" s="15" t="str">
        <f ca="1">IF(INDIRECT("'"&amp;$C$1&amp;"'!j105")= "","",INDIRECT("'"&amp;$C$1&amp;"'!j105"))</f>
        <v/>
      </c>
      <c r="L133" s="15" t="str">
        <f ca="1">IF(INDIRECT("'"&amp;$C$1&amp;"'!k105")= "","",INDIRECT("'"&amp;$C$1&amp;"'!k105"))</f>
        <v/>
      </c>
      <c r="M133" s="15" t="str">
        <f ca="1">IF(INDIRECT("'"&amp;$C$1&amp;"'!L105")= "","",INDIRECT("'"&amp;$C$1&amp;"'!L105"))</f>
        <v/>
      </c>
      <c r="N133" s="15" t="str">
        <f ca="1">IF(INDIRECT("'"&amp;$C$1&amp;"'!M105")= "","",INDIRECT("'"&amp;$C$1&amp;"'!M105"))</f>
        <v>Y</v>
      </c>
      <c r="P133" s="15" t="str">
        <f ca="1">IF(INDIRECT("'"&amp;$C$1&amp;"'!o105")= "","",INDIRECT("'"&amp;$C$1&amp;"'!o105"))</f>
        <v/>
      </c>
      <c r="Q133" s="15" t="str">
        <f ca="1">IF(INDIRECT("'"&amp;$C$1&amp;"'!p105")= "","",INDIRECT("'"&amp;$C$1&amp;"'!p105"))</f>
        <v/>
      </c>
      <c r="R133" s="15" t="str">
        <f ca="1">IF(INDIRECT("'"&amp;$C$1&amp;"'!q105")= "","",INDIRECT("'"&amp;$C$1&amp;"'!q105"))</f>
        <v/>
      </c>
      <c r="S133" s="15" t="str">
        <f ca="1">IF(INDIRECT("'"&amp;$C$1&amp;"'!r105")= "","",INDIRECT("'"&amp;$C$1&amp;"'!r105"))</f>
        <v/>
      </c>
      <c r="T133" s="15" t="str">
        <f ca="1">IF(INDIRECT("'"&amp;$C$1&amp;"'!s105")= "","",INDIRECT("'"&amp;$C$1&amp;"'!s105"))</f>
        <v/>
      </c>
      <c r="U133" s="15" t="str">
        <f ca="1">IF(INDIRECT("'"&amp;$C$1&amp;"'!t105")= "","",INDIRECT("'"&amp;$C$1&amp;"'!t105"))</f>
        <v/>
      </c>
      <c r="V133" s="15" t="str">
        <f ca="1">IF(INDIRECT("'"&amp;$C$1&amp;"'!u105")= "","",INDIRECT("'"&amp;$C$1&amp;"'!u105"))</f>
        <v/>
      </c>
      <c r="W133" s="15" t="str">
        <f ca="1">IF(INDIRECT("'"&amp;$C$1&amp;"'!v105")= "","",INDIRECT("'"&amp;$C$1&amp;"'!v105"))</f>
        <v/>
      </c>
      <c r="X133" s="15" t="str">
        <f ca="1">IF(INDIRECT("'"&amp;$C$1&amp;"'!w105")= "","",INDIRECT("'"&amp;$C$1&amp;"'!w105"))</f>
        <v>Y</v>
      </c>
      <c r="Y133" s="15" t="str">
        <f ca="1">IF(INDIRECT("'"&amp;$C$1&amp;"'!x105")= "","",INDIRECT("'"&amp;$C$1&amp;"'!x105"))</f>
        <v/>
      </c>
      <c r="Z133" s="15" t="str">
        <f ca="1">IF(INDIRECT("'"&amp;$C$1&amp;"'!y105")= "","",INDIRECT("'"&amp;$C$1&amp;"'!y105"))</f>
        <v>Y</v>
      </c>
      <c r="AA133" s="15" t="str">
        <f ca="1">IF(INDIRECT("'"&amp;$C$1&amp;"'!z105")= "","",INDIRECT("'"&amp;$C$1&amp;"'!z105"))</f>
        <v>Y</v>
      </c>
      <c r="AB133" s="15" t="str">
        <f>IF(PAC!AA105= "","",PAC!AA105)</f>
        <v/>
      </c>
      <c r="AC133" s="151"/>
      <c r="AD133" s="151"/>
      <c r="AE133" s="151"/>
      <c r="AF133" s="151"/>
      <c r="AG133" s="151"/>
      <c r="AH133" s="151"/>
      <c r="AI133" s="151"/>
      <c r="AJ133" s="151"/>
      <c r="AK133" s="151"/>
      <c r="AL133" s="151"/>
      <c r="AM133" s="151"/>
      <c r="AN133" s="151"/>
    </row>
    <row r="134" spans="3:40" hidden="1">
      <c r="C134" s="125" t="str">
        <f ca="1">CONCATENATE(IF(INDIRECT("'"&amp;$C$1&amp;"'!B106")="","",INDIRECT("'"&amp;$C$1&amp;"'!B106"))," ",IF(INDIRECT("'"&amp;$C$1&amp;"'!C106")="","""",INDIRECT("'"&amp;$C$1&amp;"'!C106")))</f>
        <v>resident in libra</v>
      </c>
      <c r="D134" s="147"/>
      <c r="E134" s="15" t="str">
        <f ca="1">IF(INDIRECT("'"&amp;$C$1&amp;"'!D106")= "","",INDIRECT("'"&amp;$C$1&amp;"'!D106"))</f>
        <v>Y</v>
      </c>
      <c r="F134" s="15" t="str">
        <f ca="1">IF(INDIRECT("'"&amp;$C$1&amp;"'!e106")= "","",INDIRECT("'"&amp;$C$1&amp;"'!e106"))</f>
        <v/>
      </c>
      <c r="G134" s="15" t="str">
        <f ca="1">IF(INDIRECT("'"&amp;$C$1&amp;"'!f106")= "","",INDIRECT("'"&amp;$C$1&amp;"'!f106"))</f>
        <v/>
      </c>
      <c r="H134" s="15" t="str">
        <f ca="1">IF(INDIRECT("'"&amp;$C$1&amp;"'!g106")= "","",INDIRECT("'"&amp;$C$1&amp;"'!g106"))</f>
        <v/>
      </c>
      <c r="I134" s="15" t="str">
        <f ca="1">IF(INDIRECT("'"&amp;$C$1&amp;"'!h106")= "","",INDIRECT("'"&amp;$C$1&amp;"'!h106"))</f>
        <v/>
      </c>
      <c r="J134" s="15" t="str">
        <f ca="1">IF(INDIRECT("'"&amp;$C$1&amp;"'!i106")= "","",INDIRECT("'"&amp;$C$1&amp;"'!i106"))</f>
        <v/>
      </c>
      <c r="K134" s="15" t="str">
        <f ca="1">IF(INDIRECT("'"&amp;$C$1&amp;"'!j106")= "","",INDIRECT("'"&amp;$C$1&amp;"'!j106"))</f>
        <v/>
      </c>
      <c r="L134" s="15" t="str">
        <f ca="1">IF(INDIRECT("'"&amp;$C$1&amp;"'!k106")= "","",INDIRECT("'"&amp;$C$1&amp;"'!k106"))</f>
        <v/>
      </c>
      <c r="M134" s="15" t="str">
        <f ca="1">IF(INDIRECT("'"&amp;$C$1&amp;"'!L106")= "","",INDIRECT("'"&amp;$C$1&amp;"'!L106"))</f>
        <v/>
      </c>
      <c r="N134" s="15" t="str">
        <f ca="1">IF(INDIRECT("'"&amp;$C$1&amp;"'!M106")= "","",INDIRECT("'"&amp;$C$1&amp;"'!M106"))</f>
        <v/>
      </c>
      <c r="P134" s="15" t="str">
        <f ca="1">IF(INDIRECT("'"&amp;$C$1&amp;"'!o106")= "","",INDIRECT("'"&amp;$C$1&amp;"'!o106"))</f>
        <v/>
      </c>
      <c r="Q134" s="15" t="str">
        <f ca="1">IF(INDIRECT("'"&amp;$C$1&amp;"'!p106")= "","",INDIRECT("'"&amp;$C$1&amp;"'!p106"))</f>
        <v/>
      </c>
      <c r="R134" s="15" t="str">
        <f ca="1">IF(INDIRECT("'"&amp;$C$1&amp;"'!q106")= "","",INDIRECT("'"&amp;$C$1&amp;"'!q106"))</f>
        <v/>
      </c>
      <c r="S134" s="15" t="str">
        <f ca="1">IF(INDIRECT("'"&amp;$C$1&amp;"'!r106")= "","",INDIRECT("'"&amp;$C$1&amp;"'!r106"))</f>
        <v/>
      </c>
      <c r="T134" s="15" t="str">
        <f ca="1">IF(INDIRECT("'"&amp;$C$1&amp;"'!s106")= "","",INDIRECT("'"&amp;$C$1&amp;"'!s106"))</f>
        <v/>
      </c>
      <c r="U134" s="15" t="str">
        <f ca="1">IF(INDIRECT("'"&amp;$C$1&amp;"'!t106")= "","",INDIRECT("'"&amp;$C$1&amp;"'!t106"))</f>
        <v/>
      </c>
      <c r="V134" s="15" t="str">
        <f ca="1">IF(INDIRECT("'"&amp;$C$1&amp;"'!u106")= "","",INDIRECT("'"&amp;$C$1&amp;"'!u106"))</f>
        <v/>
      </c>
      <c r="W134" s="15" t="str">
        <f ca="1">IF(INDIRECT("'"&amp;$C$1&amp;"'!v106")= "","",INDIRECT("'"&amp;$C$1&amp;"'!v106"))</f>
        <v/>
      </c>
      <c r="X134" s="15" t="str">
        <f ca="1">IF(INDIRECT("'"&amp;$C$1&amp;"'!w106")= "","",INDIRECT("'"&amp;$C$1&amp;"'!w106"))</f>
        <v/>
      </c>
      <c r="Y134" s="15" t="str">
        <f ca="1">IF(INDIRECT("'"&amp;$C$1&amp;"'!x106")= "","",INDIRECT("'"&amp;$C$1&amp;"'!x106"))</f>
        <v/>
      </c>
      <c r="Z134" s="15" t="str">
        <f ca="1">IF(INDIRECT("'"&amp;$C$1&amp;"'!y106")= "","",INDIRECT("'"&amp;$C$1&amp;"'!y106"))</f>
        <v/>
      </c>
      <c r="AA134" s="15" t="str">
        <f ca="1">IF(INDIRECT("'"&amp;$C$1&amp;"'!z106")= "","",INDIRECT("'"&amp;$C$1&amp;"'!z106"))</f>
        <v/>
      </c>
      <c r="AB134" s="15" t="str">
        <f>IF(PAC!AA106= "","",PAC!AA106)</f>
        <v/>
      </c>
      <c r="AC134" s="151"/>
      <c r="AD134" s="151"/>
      <c r="AE134" s="151"/>
      <c r="AF134" s="151"/>
      <c r="AG134" s="151"/>
      <c r="AH134" s="151"/>
      <c r="AI134" s="151"/>
      <c r="AJ134" s="151"/>
      <c r="AK134" s="151"/>
      <c r="AL134" s="151"/>
      <c r="AM134" s="151"/>
      <c r="AN134" s="151"/>
    </row>
    <row r="135" spans="3:40" hidden="1">
      <c r="C135" s="125" t="str">
        <f ca="1">CONCATENATE(IF(INDIRECT("'"&amp;$C$1&amp;"'!B107")="","",INDIRECT("'"&amp;$C$1&amp;"'!B107"))," ",IF(INDIRECT("'"&amp;$C$1&amp;"'!C107")="","""",INDIRECT("'"&amp;$C$1&amp;"'!C107")))</f>
        <v>resident in scorpio</v>
      </c>
      <c r="D135" s="147"/>
      <c r="E135" s="15" t="str">
        <f ca="1">IF(INDIRECT("'"&amp;$C$1&amp;"'!D107")= "","",INDIRECT("'"&amp;$C$1&amp;"'!D107"))</f>
        <v/>
      </c>
      <c r="F135" s="15" t="str">
        <f ca="1">IF(INDIRECT("'"&amp;$C$1&amp;"'!e107")= "","",INDIRECT("'"&amp;$C$1&amp;"'!e107"))</f>
        <v/>
      </c>
      <c r="G135" s="15" t="str">
        <f ca="1">IF(INDIRECT("'"&amp;$C$1&amp;"'!f107")= "","",INDIRECT("'"&amp;$C$1&amp;"'!f107"))</f>
        <v>Y</v>
      </c>
      <c r="H135" s="15" t="str">
        <f ca="1">IF(INDIRECT("'"&amp;$C$1&amp;"'!g107")= "","",INDIRECT("'"&amp;$C$1&amp;"'!g107"))</f>
        <v/>
      </c>
      <c r="I135" s="15" t="str">
        <f ca="1">IF(INDIRECT("'"&amp;$C$1&amp;"'!h107")= "","",INDIRECT("'"&amp;$C$1&amp;"'!h107"))</f>
        <v/>
      </c>
      <c r="J135" s="15" t="str">
        <f ca="1">IF(INDIRECT("'"&amp;$C$1&amp;"'!i107")= "","",INDIRECT("'"&amp;$C$1&amp;"'!i107"))</f>
        <v>Y</v>
      </c>
      <c r="K135" s="15" t="str">
        <f ca="1">IF(INDIRECT("'"&amp;$C$1&amp;"'!j107")= "","",INDIRECT("'"&amp;$C$1&amp;"'!j107"))</f>
        <v/>
      </c>
      <c r="L135" s="15" t="str">
        <f ca="1">IF(INDIRECT("'"&amp;$C$1&amp;"'!k107")= "","",INDIRECT("'"&amp;$C$1&amp;"'!k107"))</f>
        <v/>
      </c>
      <c r="M135" s="15" t="str">
        <f ca="1">IF(INDIRECT("'"&amp;$C$1&amp;"'!L107")= "","",INDIRECT("'"&amp;$C$1&amp;"'!L107"))</f>
        <v/>
      </c>
      <c r="N135" s="15" t="str">
        <f ca="1">IF(INDIRECT("'"&amp;$C$1&amp;"'!M107")= "","",INDIRECT("'"&amp;$C$1&amp;"'!M107"))</f>
        <v/>
      </c>
      <c r="P135" s="15" t="str">
        <f ca="1">IF(INDIRECT("'"&amp;$C$1&amp;"'!o107")= "","",INDIRECT("'"&amp;$C$1&amp;"'!o107"))</f>
        <v/>
      </c>
      <c r="Q135" s="15" t="str">
        <f ca="1">IF(INDIRECT("'"&amp;$C$1&amp;"'!p107")= "","",INDIRECT("'"&amp;$C$1&amp;"'!p107"))</f>
        <v>Y</v>
      </c>
      <c r="R135" s="15" t="str">
        <f ca="1">IF(INDIRECT("'"&amp;$C$1&amp;"'!q107")= "","",INDIRECT("'"&amp;$C$1&amp;"'!q107"))</f>
        <v/>
      </c>
      <c r="S135" s="15" t="str">
        <f ca="1">IF(INDIRECT("'"&amp;$C$1&amp;"'!r107")= "","",INDIRECT("'"&amp;$C$1&amp;"'!r107"))</f>
        <v/>
      </c>
      <c r="T135" s="15" t="str">
        <f ca="1">IF(INDIRECT("'"&amp;$C$1&amp;"'!s107")= "","",INDIRECT("'"&amp;$C$1&amp;"'!s107"))</f>
        <v/>
      </c>
      <c r="U135" s="15" t="str">
        <f ca="1">IF(INDIRECT("'"&amp;$C$1&amp;"'!t107")= "","",INDIRECT("'"&amp;$C$1&amp;"'!t107"))</f>
        <v/>
      </c>
      <c r="V135" s="15" t="str">
        <f ca="1">IF(INDIRECT("'"&amp;$C$1&amp;"'!u107")= "","",INDIRECT("'"&amp;$C$1&amp;"'!u107"))</f>
        <v>Y</v>
      </c>
      <c r="W135" s="15" t="str">
        <f ca="1">IF(INDIRECT("'"&amp;$C$1&amp;"'!v107")= "","",INDIRECT("'"&amp;$C$1&amp;"'!v107"))</f>
        <v/>
      </c>
      <c r="X135" s="15" t="str">
        <f ca="1">IF(INDIRECT("'"&amp;$C$1&amp;"'!w107")= "","",INDIRECT("'"&amp;$C$1&amp;"'!w107"))</f>
        <v/>
      </c>
      <c r="Y135" s="15" t="str">
        <f ca="1">IF(INDIRECT("'"&amp;$C$1&amp;"'!x107")= "","",INDIRECT("'"&amp;$C$1&amp;"'!x107"))</f>
        <v>Y</v>
      </c>
      <c r="Z135" s="15" t="str">
        <f ca="1">IF(INDIRECT("'"&amp;$C$1&amp;"'!y107")= "","",INDIRECT("'"&amp;$C$1&amp;"'!y107"))</f>
        <v/>
      </c>
      <c r="AA135" s="15" t="str">
        <f ca="1">IF(INDIRECT("'"&amp;$C$1&amp;"'!z107")= "","",INDIRECT("'"&amp;$C$1&amp;"'!z107"))</f>
        <v/>
      </c>
      <c r="AB135" s="15" t="str">
        <f>IF(PAC!AA107= "","",PAC!AA107)</f>
        <v/>
      </c>
      <c r="AC135" s="151"/>
      <c r="AD135" s="151"/>
      <c r="AE135" s="151"/>
      <c r="AF135" s="151"/>
      <c r="AG135" s="151"/>
      <c r="AH135" s="151"/>
      <c r="AI135" s="151"/>
      <c r="AJ135" s="151"/>
      <c r="AK135" s="151"/>
      <c r="AL135" s="151"/>
      <c r="AM135" s="151"/>
      <c r="AN135" s="151"/>
    </row>
    <row r="136" spans="3:40" hidden="1">
      <c r="C136" s="125" t="str">
        <f ca="1">CONCATENATE(IF(INDIRECT("'"&amp;$C$1&amp;"'!B108")="","",INDIRECT("'"&amp;$C$1&amp;"'!B108"))," ",IF(INDIRECT("'"&amp;$C$1&amp;"'!C108")="","""",INDIRECT("'"&amp;$C$1&amp;"'!C108")))</f>
        <v>resident in sagitarrius</v>
      </c>
      <c r="D136" s="147"/>
      <c r="E136" s="15" t="str">
        <f ca="1">IF(INDIRECT("'"&amp;$C$1&amp;"'!D108")= "","",INDIRECT("'"&amp;$C$1&amp;"'!D108"))</f>
        <v/>
      </c>
      <c r="F136" s="15" t="str">
        <f ca="1">IF(INDIRECT("'"&amp;$C$1&amp;"'!e108")= "","",INDIRECT("'"&amp;$C$1&amp;"'!e108"))</f>
        <v/>
      </c>
      <c r="G136" s="15" t="str">
        <f ca="1">IF(INDIRECT("'"&amp;$C$1&amp;"'!f108")= "","",INDIRECT("'"&amp;$C$1&amp;"'!f108"))</f>
        <v/>
      </c>
      <c r="H136" s="15" t="str">
        <f ca="1">IF(INDIRECT("'"&amp;$C$1&amp;"'!g108")= "","",INDIRECT("'"&amp;$C$1&amp;"'!g108"))</f>
        <v/>
      </c>
      <c r="I136" s="15" t="str">
        <f ca="1">IF(INDIRECT("'"&amp;$C$1&amp;"'!h108")= "","",INDIRECT("'"&amp;$C$1&amp;"'!h108"))</f>
        <v/>
      </c>
      <c r="J136" s="15" t="str">
        <f ca="1">IF(INDIRECT("'"&amp;$C$1&amp;"'!i108")= "","",INDIRECT("'"&amp;$C$1&amp;"'!i108"))</f>
        <v/>
      </c>
      <c r="K136" s="15" t="str">
        <f ca="1">IF(INDIRECT("'"&amp;$C$1&amp;"'!j108")= "","",INDIRECT("'"&amp;$C$1&amp;"'!j108"))</f>
        <v/>
      </c>
      <c r="L136" s="15" t="str">
        <f ca="1">IF(INDIRECT("'"&amp;$C$1&amp;"'!k108")= "","",INDIRECT("'"&amp;$C$1&amp;"'!k108"))</f>
        <v/>
      </c>
      <c r="M136" s="15" t="str">
        <f ca="1">IF(INDIRECT("'"&amp;$C$1&amp;"'!L108")= "","",INDIRECT("'"&amp;$C$1&amp;"'!L108"))</f>
        <v/>
      </c>
      <c r="N136" s="15" t="str">
        <f ca="1">IF(INDIRECT("'"&amp;$C$1&amp;"'!M108")= "","",INDIRECT("'"&amp;$C$1&amp;"'!M108"))</f>
        <v/>
      </c>
      <c r="P136" s="15" t="str">
        <f ca="1">IF(INDIRECT("'"&amp;$C$1&amp;"'!o108")= "","",INDIRECT("'"&amp;$C$1&amp;"'!o108"))</f>
        <v/>
      </c>
      <c r="Q136" s="15" t="str">
        <f ca="1">IF(INDIRECT("'"&amp;$C$1&amp;"'!p108")= "","",INDIRECT("'"&amp;$C$1&amp;"'!p108"))</f>
        <v/>
      </c>
      <c r="R136" s="15" t="str">
        <f ca="1">IF(INDIRECT("'"&amp;$C$1&amp;"'!q108")= "","",INDIRECT("'"&amp;$C$1&amp;"'!q108"))</f>
        <v/>
      </c>
      <c r="S136" s="15" t="str">
        <f ca="1">IF(INDIRECT("'"&amp;$C$1&amp;"'!r108")= "","",INDIRECT("'"&amp;$C$1&amp;"'!r108"))</f>
        <v/>
      </c>
      <c r="T136" s="15" t="str">
        <f ca="1">IF(INDIRECT("'"&amp;$C$1&amp;"'!s108")= "","",INDIRECT("'"&amp;$C$1&amp;"'!s108"))</f>
        <v/>
      </c>
      <c r="U136" s="15" t="str">
        <f ca="1">IF(INDIRECT("'"&amp;$C$1&amp;"'!t108")= "","",INDIRECT("'"&amp;$C$1&amp;"'!t108"))</f>
        <v/>
      </c>
      <c r="V136" s="15" t="str">
        <f ca="1">IF(INDIRECT("'"&amp;$C$1&amp;"'!u108")= "","",INDIRECT("'"&amp;$C$1&amp;"'!u108"))</f>
        <v/>
      </c>
      <c r="W136" s="15" t="str">
        <f ca="1">IF(INDIRECT("'"&amp;$C$1&amp;"'!v108")= "","",INDIRECT("'"&amp;$C$1&amp;"'!v108"))</f>
        <v/>
      </c>
      <c r="X136" s="15" t="str">
        <f ca="1">IF(INDIRECT("'"&amp;$C$1&amp;"'!w108")= "","",INDIRECT("'"&amp;$C$1&amp;"'!w108"))</f>
        <v/>
      </c>
      <c r="Y136" s="15" t="str">
        <f ca="1">IF(INDIRECT("'"&amp;$C$1&amp;"'!x108")= "","",INDIRECT("'"&amp;$C$1&amp;"'!x108"))</f>
        <v/>
      </c>
      <c r="Z136" s="15" t="str">
        <f ca="1">IF(INDIRECT("'"&amp;$C$1&amp;"'!y108")= "","",INDIRECT("'"&amp;$C$1&amp;"'!y108"))</f>
        <v/>
      </c>
      <c r="AA136" s="15" t="str">
        <f ca="1">IF(INDIRECT("'"&amp;$C$1&amp;"'!z108")= "","",INDIRECT("'"&amp;$C$1&amp;"'!z108"))</f>
        <v/>
      </c>
      <c r="AB136" s="15" t="str">
        <f>IF(PAC!AA108= "","",PAC!AA108)</f>
        <v/>
      </c>
      <c r="AC136" s="151"/>
      <c r="AD136" s="151"/>
      <c r="AE136" s="151"/>
      <c r="AF136" s="151"/>
      <c r="AG136" s="151"/>
      <c r="AH136" s="151"/>
      <c r="AI136" s="151"/>
      <c r="AJ136" s="151"/>
      <c r="AK136" s="151"/>
      <c r="AL136" s="151"/>
      <c r="AM136" s="151"/>
      <c r="AN136" s="151"/>
    </row>
    <row r="137" spans="3:40" hidden="1">
      <c r="C137" s="125" t="str">
        <f ca="1">CONCATENATE(IF(INDIRECT("'"&amp;$C$1&amp;"'!B109")="","",INDIRECT("'"&amp;$C$1&amp;"'!B109"))," ",IF(INDIRECT("'"&amp;$C$1&amp;"'!C109")="","""",INDIRECT("'"&amp;$C$1&amp;"'!C109")))</f>
        <v>resident in capricorn</v>
      </c>
      <c r="D137" s="147"/>
      <c r="E137" s="15" t="str">
        <f ca="1">IF(INDIRECT("'"&amp;$C$1&amp;"'!D109")= "","",INDIRECT("'"&amp;$C$1&amp;"'!D109"))</f>
        <v/>
      </c>
      <c r="F137" s="15" t="str">
        <f ca="1">IF(INDIRECT("'"&amp;$C$1&amp;"'!e109")= "","",INDIRECT("'"&amp;$C$1&amp;"'!e109"))</f>
        <v/>
      </c>
      <c r="G137" s="15" t="str">
        <f ca="1">IF(INDIRECT("'"&amp;$C$1&amp;"'!f109")= "","",INDIRECT("'"&amp;$C$1&amp;"'!f109"))</f>
        <v/>
      </c>
      <c r="H137" s="15" t="str">
        <f ca="1">IF(INDIRECT("'"&amp;$C$1&amp;"'!g109")= "","",INDIRECT("'"&amp;$C$1&amp;"'!g109"))</f>
        <v/>
      </c>
      <c r="I137" s="15" t="str">
        <f ca="1">IF(INDIRECT("'"&amp;$C$1&amp;"'!h109")= "","",INDIRECT("'"&amp;$C$1&amp;"'!h109"))</f>
        <v/>
      </c>
      <c r="J137" s="15" t="str">
        <f ca="1">IF(INDIRECT("'"&amp;$C$1&amp;"'!i109")= "","",INDIRECT("'"&amp;$C$1&amp;"'!i109"))</f>
        <v/>
      </c>
      <c r="K137" s="15" t="str">
        <f ca="1">IF(INDIRECT("'"&amp;$C$1&amp;"'!j109")= "","",INDIRECT("'"&amp;$C$1&amp;"'!j109"))</f>
        <v/>
      </c>
      <c r="L137" s="15" t="str">
        <f ca="1">IF(INDIRECT("'"&amp;$C$1&amp;"'!k109")= "","",INDIRECT("'"&amp;$C$1&amp;"'!k109"))</f>
        <v/>
      </c>
      <c r="M137" s="15" t="str">
        <f ca="1">IF(INDIRECT("'"&amp;$C$1&amp;"'!L109")= "","",INDIRECT("'"&amp;$C$1&amp;"'!L109"))</f>
        <v/>
      </c>
      <c r="N137" s="15" t="str">
        <f ca="1">IF(INDIRECT("'"&amp;$C$1&amp;"'!M109")= "","",INDIRECT("'"&amp;$C$1&amp;"'!M109"))</f>
        <v/>
      </c>
      <c r="P137" s="15" t="str">
        <f ca="1">IF(INDIRECT("'"&amp;$C$1&amp;"'!o109")= "","",INDIRECT("'"&amp;$C$1&amp;"'!o109"))</f>
        <v/>
      </c>
      <c r="Q137" s="15" t="str">
        <f ca="1">IF(INDIRECT("'"&amp;$C$1&amp;"'!p109")= "","",INDIRECT("'"&amp;$C$1&amp;"'!p109"))</f>
        <v/>
      </c>
      <c r="R137" s="15" t="str">
        <f ca="1">IF(INDIRECT("'"&amp;$C$1&amp;"'!q109")= "","",INDIRECT("'"&amp;$C$1&amp;"'!q109"))</f>
        <v/>
      </c>
      <c r="S137" s="15" t="str">
        <f ca="1">IF(INDIRECT("'"&amp;$C$1&amp;"'!r109")= "","",INDIRECT("'"&amp;$C$1&amp;"'!r109"))</f>
        <v/>
      </c>
      <c r="T137" s="15" t="str">
        <f ca="1">IF(INDIRECT("'"&amp;$C$1&amp;"'!s109")= "","",INDIRECT("'"&amp;$C$1&amp;"'!s109"))</f>
        <v/>
      </c>
      <c r="U137" s="15" t="str">
        <f ca="1">IF(INDIRECT("'"&amp;$C$1&amp;"'!t109")= "","",INDIRECT("'"&amp;$C$1&amp;"'!t109"))</f>
        <v/>
      </c>
      <c r="V137" s="15" t="str">
        <f ca="1">IF(INDIRECT("'"&amp;$C$1&amp;"'!u109")= "","",INDIRECT("'"&amp;$C$1&amp;"'!u109"))</f>
        <v/>
      </c>
      <c r="W137" s="15" t="str">
        <f ca="1">IF(INDIRECT("'"&amp;$C$1&amp;"'!v109")= "","",INDIRECT("'"&amp;$C$1&amp;"'!v109"))</f>
        <v/>
      </c>
      <c r="X137" s="15" t="str">
        <f ca="1">IF(INDIRECT("'"&amp;$C$1&amp;"'!w109")= "","",INDIRECT("'"&amp;$C$1&amp;"'!w109"))</f>
        <v/>
      </c>
      <c r="Y137" s="15" t="str">
        <f ca="1">IF(INDIRECT("'"&amp;$C$1&amp;"'!x109")= "","",INDIRECT("'"&amp;$C$1&amp;"'!x109"))</f>
        <v/>
      </c>
      <c r="Z137" s="15" t="str">
        <f ca="1">IF(INDIRECT("'"&amp;$C$1&amp;"'!y109")= "","",INDIRECT("'"&amp;$C$1&amp;"'!y109"))</f>
        <v/>
      </c>
      <c r="AA137" s="15" t="str">
        <f ca="1">IF(INDIRECT("'"&amp;$C$1&amp;"'!z109")= "","",INDIRECT("'"&amp;$C$1&amp;"'!z109"))</f>
        <v/>
      </c>
      <c r="AB137" s="15" t="str">
        <f>IF(PAC!AA109= "","",PAC!AA109)</f>
        <v/>
      </c>
      <c r="AC137" s="151"/>
      <c r="AD137" s="151"/>
      <c r="AE137" s="151"/>
      <c r="AF137" s="151"/>
      <c r="AG137" s="151"/>
      <c r="AH137" s="151"/>
      <c r="AI137" s="151"/>
      <c r="AJ137" s="151"/>
      <c r="AK137" s="151"/>
      <c r="AL137" s="151"/>
      <c r="AM137" s="151"/>
      <c r="AN137" s="151"/>
    </row>
    <row r="138" spans="3:40" hidden="1">
      <c r="C138" s="125" t="str">
        <f ca="1">CONCATENATE(IF(INDIRECT("'"&amp;$C$1&amp;"'!B110")="","",INDIRECT("'"&amp;$C$1&amp;"'!B110"))," ",IF(INDIRECT("'"&amp;$C$1&amp;"'!C110")="","""",INDIRECT("'"&amp;$C$1&amp;"'!C110")))</f>
        <v>resident in aquarius</v>
      </c>
      <c r="D138" s="147"/>
      <c r="E138" s="15" t="str">
        <f ca="1">IF(INDIRECT("'"&amp;$C$1&amp;"'!D110")= "","",INDIRECT("'"&amp;$C$1&amp;"'!D110"))</f>
        <v/>
      </c>
      <c r="F138" s="15" t="str">
        <f ca="1">IF(INDIRECT("'"&amp;$C$1&amp;"'!e110")= "","",INDIRECT("'"&amp;$C$1&amp;"'!e110"))</f>
        <v/>
      </c>
      <c r="G138" s="15" t="str">
        <f ca="1">IF(INDIRECT("'"&amp;$C$1&amp;"'!f110")= "","",INDIRECT("'"&amp;$C$1&amp;"'!f110"))</f>
        <v/>
      </c>
      <c r="H138" s="15" t="str">
        <f ca="1">IF(INDIRECT("'"&amp;$C$1&amp;"'!g110")= "","",INDIRECT("'"&amp;$C$1&amp;"'!g110"))</f>
        <v/>
      </c>
      <c r="I138" s="15" t="str">
        <f ca="1">IF(INDIRECT("'"&amp;$C$1&amp;"'!h110")= "","",INDIRECT("'"&amp;$C$1&amp;"'!h110"))</f>
        <v/>
      </c>
      <c r="J138" s="15" t="str">
        <f ca="1">IF(INDIRECT("'"&amp;$C$1&amp;"'!i110")= "","",INDIRECT("'"&amp;$C$1&amp;"'!i110"))</f>
        <v/>
      </c>
      <c r="K138" s="15" t="str">
        <f ca="1">IF(INDIRECT("'"&amp;$C$1&amp;"'!j110")= "","",INDIRECT("'"&amp;$C$1&amp;"'!j110"))</f>
        <v>Y</v>
      </c>
      <c r="L138" s="15" t="str">
        <f ca="1">IF(INDIRECT("'"&amp;$C$1&amp;"'!k110")= "","",INDIRECT("'"&amp;$C$1&amp;"'!k110"))</f>
        <v/>
      </c>
      <c r="M138" s="15" t="str">
        <f ca="1">IF(INDIRECT("'"&amp;$C$1&amp;"'!L110")= "","",INDIRECT("'"&amp;$C$1&amp;"'!L110"))</f>
        <v/>
      </c>
      <c r="N138" s="15" t="str">
        <f ca="1">IF(INDIRECT("'"&amp;$C$1&amp;"'!M110")= "","",INDIRECT("'"&amp;$C$1&amp;"'!M110"))</f>
        <v/>
      </c>
      <c r="P138" s="15" t="str">
        <f ca="1">IF(INDIRECT("'"&amp;$C$1&amp;"'!o110")= "","",INDIRECT("'"&amp;$C$1&amp;"'!o110"))</f>
        <v/>
      </c>
      <c r="Q138" s="15" t="str">
        <f ca="1">IF(INDIRECT("'"&amp;$C$1&amp;"'!p110")= "","",INDIRECT("'"&amp;$C$1&amp;"'!p110"))</f>
        <v/>
      </c>
      <c r="R138" s="15" t="str">
        <f ca="1">IF(INDIRECT("'"&amp;$C$1&amp;"'!q110")= "","",INDIRECT("'"&amp;$C$1&amp;"'!q110"))</f>
        <v>Y</v>
      </c>
      <c r="S138" s="15" t="str">
        <f ca="1">IF(INDIRECT("'"&amp;$C$1&amp;"'!r110")= "","",INDIRECT("'"&amp;$C$1&amp;"'!r110"))</f>
        <v/>
      </c>
      <c r="T138" s="15" t="str">
        <f ca="1">IF(INDIRECT("'"&amp;$C$1&amp;"'!s110")= "","",INDIRECT("'"&amp;$C$1&amp;"'!s110"))</f>
        <v/>
      </c>
      <c r="U138" s="15" t="str">
        <f ca="1">IF(INDIRECT("'"&amp;$C$1&amp;"'!t110")= "","",INDIRECT("'"&amp;$C$1&amp;"'!t110"))</f>
        <v>Y</v>
      </c>
      <c r="V138" s="15" t="str">
        <f ca="1">IF(INDIRECT("'"&amp;$C$1&amp;"'!u110")= "","",INDIRECT("'"&amp;$C$1&amp;"'!u110"))</f>
        <v/>
      </c>
      <c r="W138" s="15" t="str">
        <f ca="1">IF(INDIRECT("'"&amp;$C$1&amp;"'!v110")= "","",INDIRECT("'"&amp;$C$1&amp;"'!v110"))</f>
        <v/>
      </c>
      <c r="X138" s="15" t="str">
        <f ca="1">IF(INDIRECT("'"&amp;$C$1&amp;"'!w110")= "","",INDIRECT("'"&amp;$C$1&amp;"'!w110"))</f>
        <v/>
      </c>
      <c r="Y138" s="15" t="str">
        <f ca="1">IF(INDIRECT("'"&amp;$C$1&amp;"'!x110")= "","",INDIRECT("'"&amp;$C$1&amp;"'!x110"))</f>
        <v/>
      </c>
      <c r="Z138" s="15" t="str">
        <f ca="1">IF(INDIRECT("'"&amp;$C$1&amp;"'!y110")= "","",INDIRECT("'"&amp;$C$1&amp;"'!y110"))</f>
        <v/>
      </c>
      <c r="AA138" s="15" t="str">
        <f ca="1">IF(INDIRECT("'"&amp;$C$1&amp;"'!z110")= "","",INDIRECT("'"&amp;$C$1&amp;"'!z110"))</f>
        <v/>
      </c>
      <c r="AB138" s="15" t="str">
        <f>IF(PAC!AA110= "","",PAC!AA110)</f>
        <v/>
      </c>
      <c r="AC138" s="151"/>
      <c r="AD138" s="151"/>
      <c r="AE138" s="151"/>
      <c r="AF138" s="151"/>
      <c r="AG138" s="151"/>
      <c r="AH138" s="151"/>
      <c r="AI138" s="151"/>
      <c r="AJ138" s="151"/>
      <c r="AK138" s="151"/>
      <c r="AL138" s="151"/>
      <c r="AM138" s="151"/>
      <c r="AN138" s="151"/>
    </row>
    <row r="139" spans="3:40" hidden="1">
      <c r="C139" s="125" t="str">
        <f ca="1">CONCATENATE(IF(INDIRECT("'"&amp;$C$1&amp;"'!B111")="","",INDIRECT("'"&amp;$C$1&amp;"'!B111"))," ",IF(INDIRECT("'"&amp;$C$1&amp;"'!C111")="","""",INDIRECT("'"&amp;$C$1&amp;"'!C111")))</f>
        <v>resident in pisces</v>
      </c>
      <c r="D139" s="147"/>
      <c r="E139" s="15" t="str">
        <f ca="1">IF(INDIRECT("'"&amp;$C$1&amp;"'!D111")= "","",INDIRECT("'"&amp;$C$1&amp;"'!D111"))</f>
        <v/>
      </c>
      <c r="F139" s="15" t="str">
        <f ca="1">IF(INDIRECT("'"&amp;$C$1&amp;"'!e111")= "","",INDIRECT("'"&amp;$C$1&amp;"'!e111"))</f>
        <v/>
      </c>
      <c r="G139" s="15" t="str">
        <f ca="1">IF(INDIRECT("'"&amp;$C$1&amp;"'!f111")= "","",INDIRECT("'"&amp;$C$1&amp;"'!f111"))</f>
        <v/>
      </c>
      <c r="H139" s="15" t="str">
        <f ca="1">IF(INDIRECT("'"&amp;$C$1&amp;"'!g111")= "","",INDIRECT("'"&amp;$C$1&amp;"'!g111"))</f>
        <v/>
      </c>
      <c r="I139" s="15" t="str">
        <f ca="1">IF(INDIRECT("'"&amp;$C$1&amp;"'!h111")= "","",INDIRECT("'"&amp;$C$1&amp;"'!h111"))</f>
        <v/>
      </c>
      <c r="J139" s="15" t="str">
        <f ca="1">IF(INDIRECT("'"&amp;$C$1&amp;"'!i111")= "","",INDIRECT("'"&amp;$C$1&amp;"'!i111"))</f>
        <v/>
      </c>
      <c r="K139" s="15" t="str">
        <f ca="1">IF(INDIRECT("'"&amp;$C$1&amp;"'!j111")= "","",INDIRECT("'"&amp;$C$1&amp;"'!j111"))</f>
        <v/>
      </c>
      <c r="L139" s="15" t="str">
        <f ca="1">IF(INDIRECT("'"&amp;$C$1&amp;"'!k111")= "","",INDIRECT("'"&amp;$C$1&amp;"'!k111"))</f>
        <v/>
      </c>
      <c r="M139" s="15" t="str">
        <f ca="1">IF(INDIRECT("'"&amp;$C$1&amp;"'!L111")= "","",INDIRECT("'"&amp;$C$1&amp;"'!L111"))</f>
        <v>Y</v>
      </c>
      <c r="N139" s="15" t="str">
        <f ca="1">IF(INDIRECT("'"&amp;$C$1&amp;"'!M111")= "","",INDIRECT("'"&amp;$C$1&amp;"'!M111"))</f>
        <v/>
      </c>
      <c r="P139" s="15" t="str">
        <f ca="1">IF(INDIRECT("'"&amp;$C$1&amp;"'!o111")= "","",INDIRECT("'"&amp;$C$1&amp;"'!o111"))</f>
        <v/>
      </c>
      <c r="Q139" s="15" t="str">
        <f ca="1">IF(INDIRECT("'"&amp;$C$1&amp;"'!p111")= "","",INDIRECT("'"&amp;$C$1&amp;"'!p111"))</f>
        <v/>
      </c>
      <c r="R139" s="15" t="str">
        <f ca="1">IF(INDIRECT("'"&amp;$C$1&amp;"'!q111")= "","",INDIRECT("'"&amp;$C$1&amp;"'!q111"))</f>
        <v/>
      </c>
      <c r="S139" s="15" t="str">
        <f ca="1">IF(INDIRECT("'"&amp;$C$1&amp;"'!r111")= "","",INDIRECT("'"&amp;$C$1&amp;"'!r111"))</f>
        <v/>
      </c>
      <c r="T139" s="15" t="str">
        <f ca="1">IF(INDIRECT("'"&amp;$C$1&amp;"'!s111")= "","",INDIRECT("'"&amp;$C$1&amp;"'!s111"))</f>
        <v/>
      </c>
      <c r="U139" s="15" t="str">
        <f ca="1">IF(INDIRECT("'"&amp;$C$1&amp;"'!t111")= "","",INDIRECT("'"&amp;$C$1&amp;"'!t111"))</f>
        <v/>
      </c>
      <c r="V139" s="15" t="str">
        <f ca="1">IF(INDIRECT("'"&amp;$C$1&amp;"'!u111")= "","",INDIRECT("'"&amp;$C$1&amp;"'!u111"))</f>
        <v/>
      </c>
      <c r="W139" s="15" t="str">
        <f ca="1">IF(INDIRECT("'"&amp;$C$1&amp;"'!v111")= "","",INDIRECT("'"&amp;$C$1&amp;"'!v111"))</f>
        <v/>
      </c>
      <c r="X139" s="15" t="str">
        <f ca="1">IF(INDIRECT("'"&amp;$C$1&amp;"'!w111")= "","",INDIRECT("'"&amp;$C$1&amp;"'!w111"))</f>
        <v/>
      </c>
      <c r="Y139" s="15" t="str">
        <f ca="1">IF(INDIRECT("'"&amp;$C$1&amp;"'!x111")= "","",INDIRECT("'"&amp;$C$1&amp;"'!x111"))</f>
        <v/>
      </c>
      <c r="Z139" s="15" t="str">
        <f ca="1">IF(INDIRECT("'"&amp;$C$1&amp;"'!y111")= "","",INDIRECT("'"&amp;$C$1&amp;"'!y111"))</f>
        <v/>
      </c>
      <c r="AA139" s="15" t="str">
        <f ca="1">IF(INDIRECT("'"&amp;$C$1&amp;"'!z111")= "","",INDIRECT("'"&amp;$C$1&amp;"'!z111"))</f>
        <v/>
      </c>
      <c r="AB139" s="15" t="str">
        <f>IF(PAC!AA111= "","",PAC!AA111)</f>
        <v/>
      </c>
      <c r="AC139" s="151"/>
      <c r="AD139" s="151"/>
      <c r="AE139" s="151"/>
      <c r="AF139" s="151"/>
      <c r="AG139" s="151"/>
      <c r="AH139" s="151"/>
      <c r="AI139" s="151"/>
      <c r="AJ139" s="151"/>
      <c r="AK139" s="151"/>
      <c r="AL139" s="151"/>
      <c r="AM139" s="151"/>
      <c r="AN139" s="151"/>
    </row>
    <row r="140" spans="3:40" hidden="1">
      <c r="D140" s="15"/>
      <c r="AB140" s="15" t="str">
        <f>IF(PAC!AA112= "","",PAC!AA112)</f>
        <v/>
      </c>
      <c r="AC140" s="151"/>
      <c r="AD140" s="151"/>
      <c r="AE140" s="151"/>
      <c r="AF140" s="151"/>
      <c r="AG140" s="151"/>
      <c r="AH140" s="151"/>
      <c r="AI140" s="151"/>
      <c r="AJ140" s="151"/>
      <c r="AK140" s="151"/>
      <c r="AL140" s="151"/>
      <c r="AM140" s="151"/>
      <c r="AN140" s="151"/>
    </row>
    <row r="141" spans="3:40" hidden="1">
      <c r="C141" s="125" t="str">
        <f ca="1">CONCATENATE(IF(INDIRECT("'"&amp;$C$1&amp;"'!B113")="","",INDIRECT("'"&amp;$C$1&amp;"'!B113"))," ",IF(INDIRECT("'"&amp;$C$1&amp;"'!C113")="","""",INDIRECT("'"&amp;$C$1&amp;"'!C113")))</f>
        <v>resident in first bhava</v>
      </c>
      <c r="D141" s="147"/>
      <c r="E141" s="15" t="str">
        <f ca="1">IF(INDIRECT("'"&amp;$C$1&amp;"'!D113")= "","",INDIRECT("'"&amp;$C$1&amp;"'!D113"))</f>
        <v/>
      </c>
      <c r="F141" s="15" t="str">
        <f ca="1">IF(INDIRECT("'"&amp;$C$1&amp;"'!e113")= "","",INDIRECT("'"&amp;$C$1&amp;"'!e113"))</f>
        <v/>
      </c>
      <c r="G141" s="15" t="str">
        <f ca="1">IF(INDIRECT("'"&amp;$C$1&amp;"'!f113")= "","",INDIRECT("'"&amp;$C$1&amp;"'!f113"))</f>
        <v/>
      </c>
      <c r="H141" s="15" t="str">
        <f ca="1">IF(INDIRECT("'"&amp;$C$1&amp;"'!g113")= "","",INDIRECT("'"&amp;$C$1&amp;"'!g113"))</f>
        <v/>
      </c>
      <c r="I141" s="15" t="str">
        <f ca="1">IF(INDIRECT("'"&amp;$C$1&amp;"'!h113")= "","",INDIRECT("'"&amp;$C$1&amp;"'!h113"))</f>
        <v/>
      </c>
      <c r="J141" s="15" t="str">
        <f ca="1">IF(INDIRECT("'"&amp;$C$1&amp;"'!i113")= "","",INDIRECT("'"&amp;$C$1&amp;"'!i113"))</f>
        <v/>
      </c>
      <c r="K141" s="15" t="str">
        <f ca="1">IF(INDIRECT("'"&amp;$C$1&amp;"'!j113")= "","",INDIRECT("'"&amp;$C$1&amp;"'!j113"))</f>
        <v/>
      </c>
      <c r="L141" s="15" t="str">
        <f ca="1">IF(INDIRECT("'"&amp;$C$1&amp;"'!k113")= "","",INDIRECT("'"&amp;$C$1&amp;"'!k113"))</f>
        <v/>
      </c>
      <c r="M141" s="15" t="str">
        <f ca="1">IF(INDIRECT("'"&amp;$C$1&amp;"'!L113")= "","",INDIRECT("'"&amp;$C$1&amp;"'!L113"))</f>
        <v/>
      </c>
      <c r="N141" s="15" t="str">
        <f ca="1">IF(INDIRECT("'"&amp;$C$1&amp;"'!M113")= "","",INDIRECT("'"&amp;$C$1&amp;"'!M113"))</f>
        <v/>
      </c>
      <c r="P141" s="15" t="str">
        <f ca="1">IF(INDIRECT("'"&amp;$C$1&amp;"'!o113")= "","",INDIRECT("'"&amp;$C$1&amp;"'!o113"))</f>
        <v/>
      </c>
      <c r="Q141" s="15" t="str">
        <f ca="1">IF(INDIRECT("'"&amp;$C$1&amp;"'!p113")= "","",INDIRECT("'"&amp;$C$1&amp;"'!p113"))</f>
        <v/>
      </c>
      <c r="R141" s="15" t="str">
        <f ca="1">IF(INDIRECT("'"&amp;$C$1&amp;"'!q113")= "","",INDIRECT("'"&amp;$C$1&amp;"'!q113"))</f>
        <v/>
      </c>
      <c r="S141" s="15" t="str">
        <f ca="1">IF(INDIRECT("'"&amp;$C$1&amp;"'!r113")= "","",INDIRECT("'"&amp;$C$1&amp;"'!r113"))</f>
        <v/>
      </c>
      <c r="T141" s="15" t="str">
        <f ca="1">IF(INDIRECT("'"&amp;$C$1&amp;"'!s113")= "","",INDIRECT("'"&amp;$C$1&amp;"'!s113"))</f>
        <v/>
      </c>
      <c r="U141" s="15" t="str">
        <f ca="1">IF(INDIRECT("'"&amp;$C$1&amp;"'!t113")= "","",INDIRECT("'"&amp;$C$1&amp;"'!t113"))</f>
        <v/>
      </c>
      <c r="V141" s="15" t="str">
        <f ca="1">IF(INDIRECT("'"&amp;$C$1&amp;"'!u113")= "","",INDIRECT("'"&amp;$C$1&amp;"'!u113"))</f>
        <v/>
      </c>
      <c r="W141" s="15" t="str">
        <f ca="1">IF(INDIRECT("'"&amp;$C$1&amp;"'!v113")= "","",INDIRECT("'"&amp;$C$1&amp;"'!v113"))</f>
        <v/>
      </c>
      <c r="X141" s="15" t="str">
        <f ca="1">IF(INDIRECT("'"&amp;$C$1&amp;"'!w113")= "","",INDIRECT("'"&amp;$C$1&amp;"'!w113"))</f>
        <v/>
      </c>
      <c r="Y141" s="15" t="str">
        <f ca="1">IF(INDIRECT("'"&amp;$C$1&amp;"'!x113")= "","",INDIRECT("'"&amp;$C$1&amp;"'!x113"))</f>
        <v/>
      </c>
      <c r="Z141" s="15" t="str">
        <f ca="1">IF(INDIRECT("'"&amp;$C$1&amp;"'!y113")= "","",INDIRECT("'"&amp;$C$1&amp;"'!y113"))</f>
        <v/>
      </c>
      <c r="AA141" s="15" t="str">
        <f ca="1">IF(INDIRECT("'"&amp;$C$1&amp;"'!z113")= "","",INDIRECT("'"&amp;$C$1&amp;"'!z113"))</f>
        <v/>
      </c>
      <c r="AB141" s="15" t="str">
        <f>IF(PAC!AA113= "","",PAC!AA113)</f>
        <v/>
      </c>
      <c r="AC141" s="151"/>
      <c r="AD141" s="151"/>
      <c r="AE141" s="151"/>
      <c r="AF141" s="151"/>
      <c r="AG141" s="151"/>
      <c r="AH141" s="151"/>
      <c r="AI141" s="151"/>
      <c r="AJ141" s="151"/>
      <c r="AK141" s="151"/>
      <c r="AL141" s="151"/>
      <c r="AM141" s="151"/>
      <c r="AN141" s="151"/>
    </row>
    <row r="142" spans="3:40" hidden="1">
      <c r="C142" s="125" t="str">
        <f ca="1">CONCATENATE(IF(INDIRECT("'"&amp;$C$1&amp;"'!B114")="","",INDIRECT("'"&amp;$C$1&amp;"'!B114"))," ",IF(INDIRECT("'"&amp;$C$1&amp;"'!C114")="","""",INDIRECT("'"&amp;$C$1&amp;"'!C114")))</f>
        <v>resident in second bhava</v>
      </c>
      <c r="D142" s="147"/>
      <c r="E142" s="15" t="str">
        <f ca="1">IF(INDIRECT("'"&amp;$C$1&amp;"'!D114")= "","",INDIRECT("'"&amp;$C$1&amp;"'!D114"))</f>
        <v/>
      </c>
      <c r="F142" s="15" t="str">
        <f ca="1">IF(INDIRECT("'"&amp;$C$1&amp;"'!e114")= "","",INDIRECT("'"&amp;$C$1&amp;"'!e114"))</f>
        <v/>
      </c>
      <c r="G142" s="15" t="str">
        <f ca="1">IF(INDIRECT("'"&amp;$C$1&amp;"'!f114")= "","",INDIRECT("'"&amp;$C$1&amp;"'!f114"))</f>
        <v>Y</v>
      </c>
      <c r="H142" s="15" t="str">
        <f ca="1">IF(INDIRECT("'"&amp;$C$1&amp;"'!g114")= "","",INDIRECT("'"&amp;$C$1&amp;"'!g114"))</f>
        <v/>
      </c>
      <c r="I142" s="15" t="str">
        <f ca="1">IF(INDIRECT("'"&amp;$C$1&amp;"'!h114")= "","",INDIRECT("'"&amp;$C$1&amp;"'!h114"))</f>
        <v/>
      </c>
      <c r="J142" s="15" t="str">
        <f ca="1">IF(INDIRECT("'"&amp;$C$1&amp;"'!i114")= "","",INDIRECT("'"&amp;$C$1&amp;"'!i114"))</f>
        <v>Y</v>
      </c>
      <c r="K142" s="15" t="str">
        <f ca="1">IF(INDIRECT("'"&amp;$C$1&amp;"'!j114")= "","",INDIRECT("'"&amp;$C$1&amp;"'!j114"))</f>
        <v/>
      </c>
      <c r="L142" s="15" t="str">
        <f ca="1">IF(INDIRECT("'"&amp;$C$1&amp;"'!k114")= "","",INDIRECT("'"&amp;$C$1&amp;"'!k114"))</f>
        <v/>
      </c>
      <c r="M142" s="15" t="str">
        <f ca="1">IF(INDIRECT("'"&amp;$C$1&amp;"'!L114")= "","",INDIRECT("'"&amp;$C$1&amp;"'!L114"))</f>
        <v/>
      </c>
      <c r="N142" s="15" t="str">
        <f ca="1">IF(INDIRECT("'"&amp;$C$1&amp;"'!M114")= "","",INDIRECT("'"&amp;$C$1&amp;"'!M114"))</f>
        <v/>
      </c>
      <c r="P142" s="15" t="str">
        <f ca="1">IF(INDIRECT("'"&amp;$C$1&amp;"'!o114")= "","",INDIRECT("'"&amp;$C$1&amp;"'!o114"))</f>
        <v/>
      </c>
      <c r="Q142" s="15" t="str">
        <f ca="1">IF(INDIRECT("'"&amp;$C$1&amp;"'!p114")= "","",INDIRECT("'"&amp;$C$1&amp;"'!p114"))</f>
        <v>Y</v>
      </c>
      <c r="R142" s="15" t="str">
        <f ca="1">IF(INDIRECT("'"&amp;$C$1&amp;"'!q114")= "","",INDIRECT("'"&amp;$C$1&amp;"'!q114"))</f>
        <v/>
      </c>
      <c r="S142" s="15" t="str">
        <f ca="1">IF(INDIRECT("'"&amp;$C$1&amp;"'!r114")= "","",INDIRECT("'"&amp;$C$1&amp;"'!r114"))</f>
        <v/>
      </c>
      <c r="T142" s="15" t="str">
        <f ca="1">IF(INDIRECT("'"&amp;$C$1&amp;"'!s114")= "","",INDIRECT("'"&amp;$C$1&amp;"'!s114"))</f>
        <v/>
      </c>
      <c r="U142" s="15" t="str">
        <f ca="1">IF(INDIRECT("'"&amp;$C$1&amp;"'!t114")= "","",INDIRECT("'"&amp;$C$1&amp;"'!t114"))</f>
        <v/>
      </c>
      <c r="V142" s="15" t="str">
        <f ca="1">IF(INDIRECT("'"&amp;$C$1&amp;"'!u114")= "","",INDIRECT("'"&amp;$C$1&amp;"'!u114"))</f>
        <v>Y</v>
      </c>
      <c r="W142" s="15" t="str">
        <f ca="1">IF(INDIRECT("'"&amp;$C$1&amp;"'!v114")= "","",INDIRECT("'"&amp;$C$1&amp;"'!v114"))</f>
        <v/>
      </c>
      <c r="X142" s="15" t="str">
        <f ca="1">IF(INDIRECT("'"&amp;$C$1&amp;"'!w114")= "","",INDIRECT("'"&amp;$C$1&amp;"'!w114"))</f>
        <v/>
      </c>
      <c r="Y142" s="15" t="str">
        <f ca="1">IF(INDIRECT("'"&amp;$C$1&amp;"'!x114")= "","",INDIRECT("'"&amp;$C$1&amp;"'!x114"))</f>
        <v>Y</v>
      </c>
      <c r="Z142" s="15" t="str">
        <f ca="1">IF(INDIRECT("'"&amp;$C$1&amp;"'!y114")= "","",INDIRECT("'"&amp;$C$1&amp;"'!y114"))</f>
        <v/>
      </c>
      <c r="AA142" s="15" t="str">
        <f ca="1">IF(INDIRECT("'"&amp;$C$1&amp;"'!z114")= "","",INDIRECT("'"&amp;$C$1&amp;"'!z114"))</f>
        <v/>
      </c>
      <c r="AB142" s="15" t="str">
        <f>IF(PAC!AA114= "","",PAC!AA114)</f>
        <v/>
      </c>
      <c r="AC142" s="151"/>
      <c r="AD142" s="151"/>
      <c r="AE142" s="151"/>
      <c r="AF142" s="151"/>
      <c r="AG142" s="151"/>
      <c r="AH142" s="151"/>
      <c r="AI142" s="151"/>
      <c r="AJ142" s="151"/>
      <c r="AK142" s="151"/>
      <c r="AL142" s="151"/>
      <c r="AM142" s="151"/>
      <c r="AN142" s="151"/>
    </row>
    <row r="143" spans="3:40" hidden="1">
      <c r="C143" s="125" t="str">
        <f ca="1">CONCATENATE(IF(INDIRECT("'"&amp;$C$1&amp;"'!B115")="","",INDIRECT("'"&amp;$C$1&amp;"'!B115"))," ",IF(INDIRECT("'"&amp;$C$1&amp;"'!C115")="","""",INDIRECT("'"&amp;$C$1&amp;"'!C115")))</f>
        <v>resident in third bhava</v>
      </c>
      <c r="D143" s="147"/>
      <c r="E143" s="15" t="str">
        <f ca="1">IF(INDIRECT("'"&amp;$C$1&amp;"'!D115")= "","",INDIRECT("'"&amp;$C$1&amp;"'!D115"))</f>
        <v/>
      </c>
      <c r="F143" s="15" t="str">
        <f ca="1">IF(INDIRECT("'"&amp;$C$1&amp;"'!e115")= "","",INDIRECT("'"&amp;$C$1&amp;"'!e115"))</f>
        <v/>
      </c>
      <c r="G143" s="15" t="str">
        <f ca="1">IF(INDIRECT("'"&amp;$C$1&amp;"'!f115")= "","",INDIRECT("'"&amp;$C$1&amp;"'!f115"))</f>
        <v/>
      </c>
      <c r="H143" s="15" t="str">
        <f ca="1">IF(INDIRECT("'"&amp;$C$1&amp;"'!g115")= "","",INDIRECT("'"&amp;$C$1&amp;"'!g115"))</f>
        <v/>
      </c>
      <c r="I143" s="15" t="str">
        <f ca="1">IF(INDIRECT("'"&amp;$C$1&amp;"'!h115")= "","",INDIRECT("'"&amp;$C$1&amp;"'!h115"))</f>
        <v/>
      </c>
      <c r="J143" s="15" t="str">
        <f ca="1">IF(INDIRECT("'"&amp;$C$1&amp;"'!i115")= "","",INDIRECT("'"&amp;$C$1&amp;"'!i115"))</f>
        <v/>
      </c>
      <c r="K143" s="15" t="str">
        <f ca="1">IF(INDIRECT("'"&amp;$C$1&amp;"'!j115")= "","",INDIRECT("'"&amp;$C$1&amp;"'!j115"))</f>
        <v/>
      </c>
      <c r="L143" s="15" t="str">
        <f ca="1">IF(INDIRECT("'"&amp;$C$1&amp;"'!k115")= "","",INDIRECT("'"&amp;$C$1&amp;"'!k115"))</f>
        <v/>
      </c>
      <c r="M143" s="15" t="str">
        <f ca="1">IF(INDIRECT("'"&amp;$C$1&amp;"'!L115")= "","",INDIRECT("'"&amp;$C$1&amp;"'!L115"))</f>
        <v/>
      </c>
      <c r="N143" s="15" t="str">
        <f ca="1">IF(INDIRECT("'"&amp;$C$1&amp;"'!M115")= "","",INDIRECT("'"&amp;$C$1&amp;"'!M115"))</f>
        <v/>
      </c>
      <c r="P143" s="15" t="str">
        <f ca="1">IF(INDIRECT("'"&amp;$C$1&amp;"'!o115")= "","",INDIRECT("'"&amp;$C$1&amp;"'!o115"))</f>
        <v/>
      </c>
      <c r="Q143" s="15" t="str">
        <f ca="1">IF(INDIRECT("'"&amp;$C$1&amp;"'!p115")= "","",INDIRECT("'"&amp;$C$1&amp;"'!p115"))</f>
        <v/>
      </c>
      <c r="R143" s="15" t="str">
        <f ca="1">IF(INDIRECT("'"&amp;$C$1&amp;"'!q115")= "","",INDIRECT("'"&amp;$C$1&amp;"'!q115"))</f>
        <v/>
      </c>
      <c r="S143" s="15" t="str">
        <f ca="1">IF(INDIRECT("'"&amp;$C$1&amp;"'!r115")= "","",INDIRECT("'"&amp;$C$1&amp;"'!r115"))</f>
        <v/>
      </c>
      <c r="T143" s="15" t="str">
        <f ca="1">IF(INDIRECT("'"&amp;$C$1&amp;"'!s115")= "","",INDIRECT("'"&amp;$C$1&amp;"'!s115"))</f>
        <v/>
      </c>
      <c r="U143" s="15" t="str">
        <f ca="1">IF(INDIRECT("'"&amp;$C$1&amp;"'!t115")= "","",INDIRECT("'"&amp;$C$1&amp;"'!t115"))</f>
        <v/>
      </c>
      <c r="V143" s="15" t="str">
        <f ca="1">IF(INDIRECT("'"&amp;$C$1&amp;"'!u115")= "","",INDIRECT("'"&amp;$C$1&amp;"'!u115"))</f>
        <v/>
      </c>
      <c r="W143" s="15" t="str">
        <f ca="1">IF(INDIRECT("'"&amp;$C$1&amp;"'!v115")= "","",INDIRECT("'"&amp;$C$1&amp;"'!v115"))</f>
        <v/>
      </c>
      <c r="X143" s="15" t="str">
        <f ca="1">IF(INDIRECT("'"&amp;$C$1&amp;"'!w115")= "","",INDIRECT("'"&amp;$C$1&amp;"'!w115"))</f>
        <v/>
      </c>
      <c r="Y143" s="15" t="str">
        <f ca="1">IF(INDIRECT("'"&amp;$C$1&amp;"'!x115")= "","",INDIRECT("'"&amp;$C$1&amp;"'!x115"))</f>
        <v/>
      </c>
      <c r="Z143" s="15" t="str">
        <f ca="1">IF(INDIRECT("'"&amp;$C$1&amp;"'!y115")= "","",INDIRECT("'"&amp;$C$1&amp;"'!y115"))</f>
        <v/>
      </c>
      <c r="AA143" s="15" t="str">
        <f ca="1">IF(INDIRECT("'"&amp;$C$1&amp;"'!z115")= "","",INDIRECT("'"&amp;$C$1&amp;"'!z115"))</f>
        <v/>
      </c>
      <c r="AB143" s="15" t="str">
        <f>IF(PAC!AA115= "","",PAC!AA115)</f>
        <v/>
      </c>
      <c r="AC143" s="151"/>
      <c r="AD143" s="151"/>
      <c r="AE143" s="151"/>
      <c r="AF143" s="151"/>
      <c r="AG143" s="151"/>
      <c r="AH143" s="151"/>
      <c r="AI143" s="151"/>
      <c r="AJ143" s="151"/>
      <c r="AK143" s="151"/>
      <c r="AL143" s="151"/>
      <c r="AM143" s="151"/>
      <c r="AN143" s="151"/>
    </row>
    <row r="144" spans="3:40" hidden="1">
      <c r="C144" s="125" t="str">
        <f ca="1">CONCATENATE(IF(INDIRECT("'"&amp;$C$1&amp;"'!B116")="","",INDIRECT("'"&amp;$C$1&amp;"'!B116"))," ",IF(INDIRECT("'"&amp;$C$1&amp;"'!C116")="","""",INDIRECT("'"&amp;$C$1&amp;"'!C116")))</f>
        <v>resident in fourth bhava</v>
      </c>
      <c r="D144" s="147"/>
      <c r="E144" s="15" t="str">
        <f ca="1">IF(INDIRECT("'"&amp;$C$1&amp;"'!D116")= "","",INDIRECT("'"&amp;$C$1&amp;"'!D116"))</f>
        <v/>
      </c>
      <c r="F144" s="15" t="str">
        <f ca="1">IF(INDIRECT("'"&amp;$C$1&amp;"'!e116")= "","",INDIRECT("'"&amp;$C$1&amp;"'!e116"))</f>
        <v/>
      </c>
      <c r="G144" s="15" t="str">
        <f ca="1">IF(INDIRECT("'"&amp;$C$1&amp;"'!f116")= "","",INDIRECT("'"&amp;$C$1&amp;"'!f116"))</f>
        <v/>
      </c>
      <c r="H144" s="15" t="str">
        <f ca="1">IF(INDIRECT("'"&amp;$C$1&amp;"'!g116")= "","",INDIRECT("'"&amp;$C$1&amp;"'!g116"))</f>
        <v/>
      </c>
      <c r="I144" s="15" t="str">
        <f ca="1">IF(INDIRECT("'"&amp;$C$1&amp;"'!h116")= "","",INDIRECT("'"&amp;$C$1&amp;"'!h116"))</f>
        <v/>
      </c>
      <c r="J144" s="15" t="str">
        <f ca="1">IF(INDIRECT("'"&amp;$C$1&amp;"'!i116")= "","",INDIRECT("'"&amp;$C$1&amp;"'!i116"))</f>
        <v/>
      </c>
      <c r="K144" s="15" t="str">
        <f ca="1">IF(INDIRECT("'"&amp;$C$1&amp;"'!j116")= "","",INDIRECT("'"&amp;$C$1&amp;"'!j116"))</f>
        <v/>
      </c>
      <c r="L144" s="15" t="str">
        <f ca="1">IF(INDIRECT("'"&amp;$C$1&amp;"'!k116")= "","",INDIRECT("'"&amp;$C$1&amp;"'!k116"))</f>
        <v/>
      </c>
      <c r="M144" s="15" t="str">
        <f ca="1">IF(INDIRECT("'"&amp;$C$1&amp;"'!L116")= "","",INDIRECT("'"&amp;$C$1&amp;"'!L116"))</f>
        <v/>
      </c>
      <c r="N144" s="15" t="str">
        <f ca="1">IF(INDIRECT("'"&amp;$C$1&amp;"'!M116")= "","",INDIRECT("'"&amp;$C$1&amp;"'!M116"))</f>
        <v/>
      </c>
      <c r="P144" s="15" t="str">
        <f ca="1">IF(INDIRECT("'"&amp;$C$1&amp;"'!o116")= "","",INDIRECT("'"&amp;$C$1&amp;"'!o116"))</f>
        <v/>
      </c>
      <c r="Q144" s="15" t="str">
        <f ca="1">IF(INDIRECT("'"&amp;$C$1&amp;"'!p116")= "","",INDIRECT("'"&amp;$C$1&amp;"'!p116"))</f>
        <v/>
      </c>
      <c r="R144" s="15" t="str">
        <f ca="1">IF(INDIRECT("'"&amp;$C$1&amp;"'!q116")= "","",INDIRECT("'"&amp;$C$1&amp;"'!q116"))</f>
        <v/>
      </c>
      <c r="S144" s="15" t="str">
        <f ca="1">IF(INDIRECT("'"&amp;$C$1&amp;"'!r116")= "","",INDIRECT("'"&amp;$C$1&amp;"'!r116"))</f>
        <v/>
      </c>
      <c r="T144" s="15" t="str">
        <f ca="1">IF(INDIRECT("'"&amp;$C$1&amp;"'!s116")= "","",INDIRECT("'"&amp;$C$1&amp;"'!s116"))</f>
        <v/>
      </c>
      <c r="U144" s="15" t="str">
        <f ca="1">IF(INDIRECT("'"&amp;$C$1&amp;"'!t116")= "","",INDIRECT("'"&amp;$C$1&amp;"'!t116"))</f>
        <v/>
      </c>
      <c r="V144" s="15" t="str">
        <f ca="1">IF(INDIRECT("'"&amp;$C$1&amp;"'!u116")= "","",INDIRECT("'"&amp;$C$1&amp;"'!u116"))</f>
        <v/>
      </c>
      <c r="W144" s="15" t="str">
        <f ca="1">IF(INDIRECT("'"&amp;$C$1&amp;"'!v116")= "","",INDIRECT("'"&amp;$C$1&amp;"'!v116"))</f>
        <v/>
      </c>
      <c r="X144" s="15" t="str">
        <f ca="1">IF(INDIRECT("'"&amp;$C$1&amp;"'!w116")= "","",INDIRECT("'"&amp;$C$1&amp;"'!w116"))</f>
        <v/>
      </c>
      <c r="Y144" s="15" t="str">
        <f ca="1">IF(INDIRECT("'"&amp;$C$1&amp;"'!x116")= "","",INDIRECT("'"&amp;$C$1&amp;"'!x116"))</f>
        <v/>
      </c>
      <c r="Z144" s="15" t="str">
        <f ca="1">IF(INDIRECT("'"&amp;$C$1&amp;"'!y116")= "","",INDIRECT("'"&amp;$C$1&amp;"'!y116"))</f>
        <v/>
      </c>
      <c r="AA144" s="15" t="str">
        <f ca="1">IF(INDIRECT("'"&amp;$C$1&amp;"'!z116")= "","",INDIRECT("'"&amp;$C$1&amp;"'!z116"))</f>
        <v/>
      </c>
      <c r="AB144" s="15" t="str">
        <f>IF(PAC!AA116= "","",PAC!AA116)</f>
        <v/>
      </c>
      <c r="AC144" s="151"/>
      <c r="AD144" s="151"/>
      <c r="AE144" s="151"/>
      <c r="AF144" s="151"/>
      <c r="AG144" s="151"/>
      <c r="AH144" s="151"/>
      <c r="AI144" s="151"/>
      <c r="AJ144" s="151"/>
      <c r="AK144" s="151"/>
      <c r="AL144" s="151"/>
      <c r="AM144" s="151"/>
      <c r="AN144" s="151"/>
    </row>
    <row r="145" spans="2:40" hidden="1">
      <c r="C145" s="125" t="str">
        <f ca="1">CONCATENATE(IF(INDIRECT("'"&amp;$C$1&amp;"'!B117")="","",INDIRECT("'"&amp;$C$1&amp;"'!B117"))," ",IF(INDIRECT("'"&amp;$C$1&amp;"'!C117")="","""",INDIRECT("'"&amp;$C$1&amp;"'!C117")))</f>
        <v>resident in fifth bhava</v>
      </c>
      <c r="D145" s="147"/>
      <c r="E145" s="15" t="str">
        <f ca="1">IF(INDIRECT("'"&amp;$C$1&amp;"'!D117")= "","",INDIRECT("'"&amp;$C$1&amp;"'!D117"))</f>
        <v/>
      </c>
      <c r="F145" s="15" t="str">
        <f ca="1">IF(INDIRECT("'"&amp;$C$1&amp;"'!e117")= "","",INDIRECT("'"&amp;$C$1&amp;"'!e117"))</f>
        <v/>
      </c>
      <c r="G145" s="15" t="str">
        <f ca="1">IF(INDIRECT("'"&amp;$C$1&amp;"'!f117")= "","",INDIRECT("'"&amp;$C$1&amp;"'!f117"))</f>
        <v/>
      </c>
      <c r="H145" s="15" t="str">
        <f ca="1">IF(INDIRECT("'"&amp;$C$1&amp;"'!g117")= "","",INDIRECT("'"&amp;$C$1&amp;"'!g117"))</f>
        <v/>
      </c>
      <c r="I145" s="15" t="str">
        <f ca="1">IF(INDIRECT("'"&amp;$C$1&amp;"'!h117")= "","",INDIRECT("'"&amp;$C$1&amp;"'!h117"))</f>
        <v/>
      </c>
      <c r="J145" s="15" t="str">
        <f ca="1">IF(INDIRECT("'"&amp;$C$1&amp;"'!i117")= "","",INDIRECT("'"&amp;$C$1&amp;"'!i117"))</f>
        <v/>
      </c>
      <c r="K145" s="15" t="str">
        <f ca="1">IF(INDIRECT("'"&amp;$C$1&amp;"'!j117")= "","",INDIRECT("'"&amp;$C$1&amp;"'!j117"))</f>
        <v>Y</v>
      </c>
      <c r="L145" s="15" t="str">
        <f ca="1">IF(INDIRECT("'"&amp;$C$1&amp;"'!k117")= "","",INDIRECT("'"&amp;$C$1&amp;"'!k117"))</f>
        <v/>
      </c>
      <c r="M145" s="15" t="str">
        <f ca="1">IF(INDIRECT("'"&amp;$C$1&amp;"'!L117")= "","",INDIRECT("'"&amp;$C$1&amp;"'!L117"))</f>
        <v/>
      </c>
      <c r="N145" s="15" t="str">
        <f ca="1">IF(INDIRECT("'"&amp;$C$1&amp;"'!M117")= "","",INDIRECT("'"&amp;$C$1&amp;"'!M117"))</f>
        <v/>
      </c>
      <c r="P145" s="15" t="str">
        <f ca="1">IF(INDIRECT("'"&amp;$C$1&amp;"'!o117")= "","",INDIRECT("'"&amp;$C$1&amp;"'!o117"))</f>
        <v/>
      </c>
      <c r="Q145" s="15" t="str">
        <f ca="1">IF(INDIRECT("'"&amp;$C$1&amp;"'!p117")= "","",INDIRECT("'"&amp;$C$1&amp;"'!p117"))</f>
        <v/>
      </c>
      <c r="R145" s="15" t="str">
        <f ca="1">IF(INDIRECT("'"&amp;$C$1&amp;"'!q117")= "","",INDIRECT("'"&amp;$C$1&amp;"'!q117"))</f>
        <v>Y</v>
      </c>
      <c r="S145" s="15" t="str">
        <f ca="1">IF(INDIRECT("'"&amp;$C$1&amp;"'!r117")= "","",INDIRECT("'"&amp;$C$1&amp;"'!r117"))</f>
        <v/>
      </c>
      <c r="T145" s="15" t="str">
        <f ca="1">IF(INDIRECT("'"&amp;$C$1&amp;"'!s117")= "","",INDIRECT("'"&amp;$C$1&amp;"'!s117"))</f>
        <v/>
      </c>
      <c r="U145" s="15" t="str">
        <f ca="1">IF(INDIRECT("'"&amp;$C$1&amp;"'!t117")= "","",INDIRECT("'"&amp;$C$1&amp;"'!t117"))</f>
        <v>Y</v>
      </c>
      <c r="V145" s="15" t="str">
        <f ca="1">IF(INDIRECT("'"&amp;$C$1&amp;"'!u117")= "","",INDIRECT("'"&amp;$C$1&amp;"'!u117"))</f>
        <v/>
      </c>
      <c r="W145" s="15" t="str">
        <f ca="1">IF(INDIRECT("'"&amp;$C$1&amp;"'!v117")= "","",INDIRECT("'"&amp;$C$1&amp;"'!v117"))</f>
        <v/>
      </c>
      <c r="X145" s="15" t="str">
        <f ca="1">IF(INDIRECT("'"&amp;$C$1&amp;"'!w117")= "","",INDIRECT("'"&amp;$C$1&amp;"'!w117"))</f>
        <v/>
      </c>
      <c r="Y145" s="15" t="str">
        <f ca="1">IF(INDIRECT("'"&amp;$C$1&amp;"'!x117")= "","",INDIRECT("'"&amp;$C$1&amp;"'!x117"))</f>
        <v/>
      </c>
      <c r="Z145" s="15" t="str">
        <f ca="1">IF(INDIRECT("'"&amp;$C$1&amp;"'!y117")= "","",INDIRECT("'"&amp;$C$1&amp;"'!y117"))</f>
        <v/>
      </c>
      <c r="AA145" s="15" t="str">
        <f ca="1">IF(INDIRECT("'"&amp;$C$1&amp;"'!z117")= "","",INDIRECT("'"&amp;$C$1&amp;"'!z117"))</f>
        <v/>
      </c>
      <c r="AB145" s="15" t="str">
        <f>IF(PAC!AA117= "","",PAC!AA117)</f>
        <v/>
      </c>
      <c r="AC145" s="151"/>
      <c r="AD145" s="151"/>
      <c r="AE145" s="151"/>
      <c r="AF145" s="151"/>
      <c r="AG145" s="151"/>
      <c r="AH145" s="151"/>
      <c r="AI145" s="151"/>
      <c r="AJ145" s="151"/>
      <c r="AK145" s="151"/>
      <c r="AL145" s="151"/>
      <c r="AM145" s="151"/>
      <c r="AN145" s="151"/>
    </row>
    <row r="146" spans="2:40" hidden="1">
      <c r="C146" s="125" t="str">
        <f ca="1">CONCATENATE(IF(INDIRECT("'"&amp;$C$1&amp;"'!B118")="","",INDIRECT("'"&amp;$C$1&amp;"'!B118"))," ",IF(INDIRECT("'"&amp;$C$1&amp;"'!C118")="","""",INDIRECT("'"&amp;$C$1&amp;"'!C118")))</f>
        <v>resident in sixth bhava</v>
      </c>
      <c r="D146" s="147"/>
      <c r="E146" s="15" t="str">
        <f ca="1">IF(INDIRECT("'"&amp;$C$1&amp;"'!D118")= "","",INDIRECT("'"&amp;$C$1&amp;"'!D118"))</f>
        <v/>
      </c>
      <c r="F146" s="15" t="str">
        <f ca="1">IF(INDIRECT("'"&amp;$C$1&amp;"'!e118")= "","",INDIRECT("'"&amp;$C$1&amp;"'!e118"))</f>
        <v/>
      </c>
      <c r="G146" s="15" t="str">
        <f ca="1">IF(INDIRECT("'"&amp;$C$1&amp;"'!f118")= "","",INDIRECT("'"&amp;$C$1&amp;"'!f118"))</f>
        <v/>
      </c>
      <c r="H146" s="15" t="str">
        <f ca="1">IF(INDIRECT("'"&amp;$C$1&amp;"'!g118")= "","",INDIRECT("'"&amp;$C$1&amp;"'!g118"))</f>
        <v/>
      </c>
      <c r="I146" s="15" t="str">
        <f ca="1">IF(INDIRECT("'"&amp;$C$1&amp;"'!h118")= "","",INDIRECT("'"&amp;$C$1&amp;"'!h118"))</f>
        <v/>
      </c>
      <c r="J146" s="15" t="str">
        <f ca="1">IF(INDIRECT("'"&amp;$C$1&amp;"'!i118")= "","",INDIRECT("'"&amp;$C$1&amp;"'!i118"))</f>
        <v/>
      </c>
      <c r="K146" s="15" t="str">
        <f ca="1">IF(INDIRECT("'"&amp;$C$1&amp;"'!j118")= "","",INDIRECT("'"&amp;$C$1&amp;"'!j118"))</f>
        <v/>
      </c>
      <c r="L146" s="15" t="str">
        <f ca="1">IF(INDIRECT("'"&amp;$C$1&amp;"'!k118")= "","",INDIRECT("'"&amp;$C$1&amp;"'!k118"))</f>
        <v/>
      </c>
      <c r="M146" s="15" t="str">
        <f ca="1">IF(INDIRECT("'"&amp;$C$1&amp;"'!L118")= "","",INDIRECT("'"&amp;$C$1&amp;"'!L118"))</f>
        <v>Y</v>
      </c>
      <c r="N146" s="15" t="str">
        <f ca="1">IF(INDIRECT("'"&amp;$C$1&amp;"'!M118")= "","",INDIRECT("'"&amp;$C$1&amp;"'!M118"))</f>
        <v/>
      </c>
      <c r="P146" s="15" t="str">
        <f ca="1">IF(INDIRECT("'"&amp;$C$1&amp;"'!o118")= "","",INDIRECT("'"&amp;$C$1&amp;"'!o118"))</f>
        <v/>
      </c>
      <c r="Q146" s="15" t="str">
        <f ca="1">IF(INDIRECT("'"&amp;$C$1&amp;"'!p118")= "","",INDIRECT("'"&amp;$C$1&amp;"'!p118"))</f>
        <v/>
      </c>
      <c r="R146" s="15" t="str">
        <f ca="1">IF(INDIRECT("'"&amp;$C$1&amp;"'!q118")= "","",INDIRECT("'"&amp;$C$1&amp;"'!q118"))</f>
        <v/>
      </c>
      <c r="S146" s="15" t="str">
        <f ca="1">IF(INDIRECT("'"&amp;$C$1&amp;"'!r118")= "","",INDIRECT("'"&amp;$C$1&amp;"'!r118"))</f>
        <v/>
      </c>
      <c r="T146" s="15" t="str">
        <f ca="1">IF(INDIRECT("'"&amp;$C$1&amp;"'!s118")= "","",INDIRECT("'"&amp;$C$1&amp;"'!s118"))</f>
        <v/>
      </c>
      <c r="U146" s="15" t="str">
        <f ca="1">IF(INDIRECT("'"&amp;$C$1&amp;"'!t118")= "","",INDIRECT("'"&amp;$C$1&amp;"'!t118"))</f>
        <v/>
      </c>
      <c r="V146" s="15" t="str">
        <f ca="1">IF(INDIRECT("'"&amp;$C$1&amp;"'!u118")= "","",INDIRECT("'"&amp;$C$1&amp;"'!u118"))</f>
        <v/>
      </c>
      <c r="W146" s="15" t="str">
        <f ca="1">IF(INDIRECT("'"&amp;$C$1&amp;"'!v118")= "","",INDIRECT("'"&amp;$C$1&amp;"'!v118"))</f>
        <v/>
      </c>
      <c r="X146" s="15" t="str">
        <f ca="1">IF(INDIRECT("'"&amp;$C$1&amp;"'!w118")= "","",INDIRECT("'"&amp;$C$1&amp;"'!w118"))</f>
        <v/>
      </c>
      <c r="Y146" s="15" t="str">
        <f ca="1">IF(INDIRECT("'"&amp;$C$1&amp;"'!x118")= "","",INDIRECT("'"&amp;$C$1&amp;"'!x118"))</f>
        <v/>
      </c>
      <c r="Z146" s="15" t="str">
        <f ca="1">IF(INDIRECT("'"&amp;$C$1&amp;"'!y118")= "","",INDIRECT("'"&amp;$C$1&amp;"'!y118"))</f>
        <v/>
      </c>
      <c r="AA146" s="15" t="str">
        <f ca="1">IF(INDIRECT("'"&amp;$C$1&amp;"'!z118")= "","",INDIRECT("'"&amp;$C$1&amp;"'!z118"))</f>
        <v/>
      </c>
      <c r="AB146" s="15" t="str">
        <f>IF(PAC!AA118= "","",PAC!AA118)</f>
        <v/>
      </c>
      <c r="AC146" s="151"/>
      <c r="AD146" s="151"/>
      <c r="AE146" s="151"/>
      <c r="AF146" s="151"/>
      <c r="AG146" s="151"/>
      <c r="AH146" s="151"/>
      <c r="AI146" s="151"/>
      <c r="AJ146" s="151"/>
      <c r="AK146" s="151"/>
      <c r="AL146" s="151"/>
      <c r="AM146" s="151"/>
      <c r="AN146" s="151"/>
    </row>
    <row r="147" spans="2:40" hidden="1">
      <c r="C147" s="125" t="str">
        <f ca="1">CONCATENATE(IF(INDIRECT("'"&amp;$C$1&amp;"'!B119")="","",INDIRECT("'"&amp;$C$1&amp;"'!B119"))," ",IF(INDIRECT("'"&amp;$C$1&amp;"'!C119")="","""",INDIRECT("'"&amp;$C$1&amp;"'!C119")))</f>
        <v>resident in seventh bhava</v>
      </c>
      <c r="D147" s="147"/>
      <c r="E147" s="15" t="str">
        <f ca="1">IF(INDIRECT("'"&amp;$C$1&amp;"'!D119")= "","",INDIRECT("'"&amp;$C$1&amp;"'!D119"))</f>
        <v/>
      </c>
      <c r="F147" s="15" t="str">
        <f ca="1">IF(INDIRECT("'"&amp;$C$1&amp;"'!e119")= "","",INDIRECT("'"&amp;$C$1&amp;"'!e119"))</f>
        <v/>
      </c>
      <c r="G147" s="15" t="str">
        <f ca="1">IF(INDIRECT("'"&amp;$C$1&amp;"'!f119")= "","",INDIRECT("'"&amp;$C$1&amp;"'!f119"))</f>
        <v/>
      </c>
      <c r="H147" s="15" t="str">
        <f ca="1">IF(INDIRECT("'"&amp;$C$1&amp;"'!g119")= "","",INDIRECT("'"&amp;$C$1&amp;"'!g119"))</f>
        <v/>
      </c>
      <c r="I147" s="15" t="str">
        <f ca="1">IF(INDIRECT("'"&amp;$C$1&amp;"'!h119")= "","",INDIRECT("'"&amp;$C$1&amp;"'!h119"))</f>
        <v/>
      </c>
      <c r="J147" s="15" t="str">
        <f ca="1">IF(INDIRECT("'"&amp;$C$1&amp;"'!i119")= "","",INDIRECT("'"&amp;$C$1&amp;"'!i119"))</f>
        <v/>
      </c>
      <c r="K147" s="15" t="str">
        <f ca="1">IF(INDIRECT("'"&amp;$C$1&amp;"'!j119")= "","",INDIRECT("'"&amp;$C$1&amp;"'!j119"))</f>
        <v/>
      </c>
      <c r="L147" s="15" t="str">
        <f ca="1">IF(INDIRECT("'"&amp;$C$1&amp;"'!k119")= "","",INDIRECT("'"&amp;$C$1&amp;"'!k119"))</f>
        <v/>
      </c>
      <c r="M147" s="15" t="str">
        <f ca="1">IF(INDIRECT("'"&amp;$C$1&amp;"'!L119")= "","",INDIRECT("'"&amp;$C$1&amp;"'!L119"))</f>
        <v/>
      </c>
      <c r="N147" s="15" t="str">
        <f ca="1">IF(INDIRECT("'"&amp;$C$1&amp;"'!M119")= "","",INDIRECT("'"&amp;$C$1&amp;"'!M119"))</f>
        <v/>
      </c>
      <c r="P147" s="15" t="str">
        <f ca="1">IF(INDIRECT("'"&amp;$C$1&amp;"'!o119")= "","",INDIRECT("'"&amp;$C$1&amp;"'!o119"))</f>
        <v/>
      </c>
      <c r="Q147" s="15" t="str">
        <f ca="1">IF(INDIRECT("'"&amp;$C$1&amp;"'!p119")= "","",INDIRECT("'"&amp;$C$1&amp;"'!p119"))</f>
        <v/>
      </c>
      <c r="R147" s="15" t="str">
        <f ca="1">IF(INDIRECT("'"&amp;$C$1&amp;"'!q119")= "","",INDIRECT("'"&amp;$C$1&amp;"'!q119"))</f>
        <v/>
      </c>
      <c r="S147" s="15" t="str">
        <f ca="1">IF(INDIRECT("'"&amp;$C$1&amp;"'!r119")= "","",INDIRECT("'"&amp;$C$1&amp;"'!r119"))</f>
        <v/>
      </c>
      <c r="T147" s="15" t="str">
        <f ca="1">IF(INDIRECT("'"&amp;$C$1&amp;"'!s119")= "","",INDIRECT("'"&amp;$C$1&amp;"'!s119"))</f>
        <v/>
      </c>
      <c r="U147" s="15" t="str">
        <f ca="1">IF(INDIRECT("'"&amp;$C$1&amp;"'!t119")= "","",INDIRECT("'"&amp;$C$1&amp;"'!t119"))</f>
        <v/>
      </c>
      <c r="V147" s="15" t="str">
        <f ca="1">IF(INDIRECT("'"&amp;$C$1&amp;"'!u119")= "","",INDIRECT("'"&amp;$C$1&amp;"'!u119"))</f>
        <v/>
      </c>
      <c r="W147" s="15" t="str">
        <f ca="1">IF(INDIRECT("'"&amp;$C$1&amp;"'!v119")= "","",INDIRECT("'"&amp;$C$1&amp;"'!v119"))</f>
        <v/>
      </c>
      <c r="X147" s="15" t="str">
        <f ca="1">IF(INDIRECT("'"&amp;$C$1&amp;"'!w119")= "","",INDIRECT("'"&amp;$C$1&amp;"'!w119"))</f>
        <v/>
      </c>
      <c r="Y147" s="15" t="str">
        <f ca="1">IF(INDIRECT("'"&amp;$C$1&amp;"'!x119")= "","",INDIRECT("'"&amp;$C$1&amp;"'!x119"))</f>
        <v/>
      </c>
      <c r="Z147" s="15" t="str">
        <f ca="1">IF(INDIRECT("'"&amp;$C$1&amp;"'!y119")= "","",INDIRECT("'"&amp;$C$1&amp;"'!y119"))</f>
        <v/>
      </c>
      <c r="AA147" s="15" t="str">
        <f ca="1">IF(INDIRECT("'"&amp;$C$1&amp;"'!z119")= "","",INDIRECT("'"&amp;$C$1&amp;"'!z119"))</f>
        <v/>
      </c>
      <c r="AB147" s="15" t="str">
        <f>IF(PAC!AA119= "","",PAC!AA119)</f>
        <v/>
      </c>
      <c r="AC147" s="151"/>
      <c r="AD147" s="151"/>
      <c r="AE147" s="151"/>
      <c r="AF147" s="151"/>
      <c r="AG147" s="151"/>
      <c r="AH147" s="151"/>
      <c r="AI147" s="151"/>
      <c r="AJ147" s="151"/>
      <c r="AK147" s="151"/>
      <c r="AL147" s="151"/>
      <c r="AM147" s="151"/>
      <c r="AN147" s="151"/>
    </row>
    <row r="148" spans="2:40" hidden="1">
      <c r="C148" s="125" t="str">
        <f ca="1">CONCATENATE(IF(INDIRECT("'"&amp;$C$1&amp;"'!B120")="","",INDIRECT("'"&amp;$C$1&amp;"'!B120"))," ",IF(INDIRECT("'"&amp;$C$1&amp;"'!C120")="","""",INDIRECT("'"&amp;$C$1&amp;"'!C120")))</f>
        <v>resident in eighth bhava</v>
      </c>
      <c r="D148" s="147"/>
      <c r="E148" s="15" t="str">
        <f ca="1">IF(INDIRECT("'"&amp;$C$1&amp;"'!D120")= "","",INDIRECT("'"&amp;$C$1&amp;"'!D120"))</f>
        <v/>
      </c>
      <c r="F148" s="15" t="str">
        <f ca="1">IF(INDIRECT("'"&amp;$C$1&amp;"'!e120")= "","",INDIRECT("'"&amp;$C$1&amp;"'!e120"))</f>
        <v/>
      </c>
      <c r="G148" s="15" t="str">
        <f ca="1">IF(INDIRECT("'"&amp;$C$1&amp;"'!f120")= "","",INDIRECT("'"&amp;$C$1&amp;"'!f120"))</f>
        <v/>
      </c>
      <c r="H148" s="15" t="str">
        <f ca="1">IF(INDIRECT("'"&amp;$C$1&amp;"'!g120")= "","",INDIRECT("'"&amp;$C$1&amp;"'!g120"))</f>
        <v/>
      </c>
      <c r="I148" s="15" t="str">
        <f ca="1">IF(INDIRECT("'"&amp;$C$1&amp;"'!h120")= "","",INDIRECT("'"&amp;$C$1&amp;"'!h120"))</f>
        <v/>
      </c>
      <c r="J148" s="15" t="str">
        <f ca="1">IF(INDIRECT("'"&amp;$C$1&amp;"'!i120")= "","",INDIRECT("'"&amp;$C$1&amp;"'!i120"))</f>
        <v/>
      </c>
      <c r="K148" s="15" t="str">
        <f ca="1">IF(INDIRECT("'"&amp;$C$1&amp;"'!j120")= "","",INDIRECT("'"&amp;$C$1&amp;"'!j120"))</f>
        <v/>
      </c>
      <c r="L148" s="15" t="str">
        <f ca="1">IF(INDIRECT("'"&amp;$C$1&amp;"'!k120")= "","",INDIRECT("'"&amp;$C$1&amp;"'!k120"))</f>
        <v/>
      </c>
      <c r="M148" s="15" t="str">
        <f ca="1">IF(INDIRECT("'"&amp;$C$1&amp;"'!L120")= "","",INDIRECT("'"&amp;$C$1&amp;"'!L120"))</f>
        <v/>
      </c>
      <c r="N148" s="15" t="str">
        <f ca="1">IF(INDIRECT("'"&amp;$C$1&amp;"'!M120")= "","",INDIRECT("'"&amp;$C$1&amp;"'!M120"))</f>
        <v/>
      </c>
      <c r="P148" s="15" t="str">
        <f ca="1">IF(INDIRECT("'"&amp;$C$1&amp;"'!o120")= "","",INDIRECT("'"&amp;$C$1&amp;"'!o120"))</f>
        <v/>
      </c>
      <c r="Q148" s="15" t="str">
        <f ca="1">IF(INDIRECT("'"&amp;$C$1&amp;"'!p120")= "","",INDIRECT("'"&amp;$C$1&amp;"'!p120"))</f>
        <v/>
      </c>
      <c r="R148" s="15" t="str">
        <f ca="1">IF(INDIRECT("'"&amp;$C$1&amp;"'!q120")= "","",INDIRECT("'"&amp;$C$1&amp;"'!q120"))</f>
        <v/>
      </c>
      <c r="S148" s="15" t="str">
        <f ca="1">IF(INDIRECT("'"&amp;$C$1&amp;"'!r120")= "","",INDIRECT("'"&amp;$C$1&amp;"'!r120"))</f>
        <v/>
      </c>
      <c r="T148" s="15" t="str">
        <f ca="1">IF(INDIRECT("'"&amp;$C$1&amp;"'!s120")= "","",INDIRECT("'"&amp;$C$1&amp;"'!s120"))</f>
        <v/>
      </c>
      <c r="U148" s="15" t="str">
        <f ca="1">IF(INDIRECT("'"&amp;$C$1&amp;"'!t120")= "","",INDIRECT("'"&amp;$C$1&amp;"'!t120"))</f>
        <v/>
      </c>
      <c r="V148" s="15" t="str">
        <f ca="1">IF(INDIRECT("'"&amp;$C$1&amp;"'!u120")= "","",INDIRECT("'"&amp;$C$1&amp;"'!u120"))</f>
        <v/>
      </c>
      <c r="W148" s="15" t="str">
        <f ca="1">IF(INDIRECT("'"&amp;$C$1&amp;"'!v120")= "","",INDIRECT("'"&amp;$C$1&amp;"'!v120"))</f>
        <v/>
      </c>
      <c r="X148" s="15" t="str">
        <f ca="1">IF(INDIRECT("'"&amp;$C$1&amp;"'!w120")= "","",INDIRECT("'"&amp;$C$1&amp;"'!w120"))</f>
        <v/>
      </c>
      <c r="Y148" s="15" t="str">
        <f ca="1">IF(INDIRECT("'"&amp;$C$1&amp;"'!x120")= "","",INDIRECT("'"&amp;$C$1&amp;"'!x120"))</f>
        <v/>
      </c>
      <c r="Z148" s="15" t="str">
        <f ca="1">IF(INDIRECT("'"&amp;$C$1&amp;"'!y120")= "","",INDIRECT("'"&amp;$C$1&amp;"'!y120"))</f>
        <v/>
      </c>
      <c r="AA148" s="15" t="str">
        <f ca="1">IF(INDIRECT("'"&amp;$C$1&amp;"'!z120")= "","",INDIRECT("'"&amp;$C$1&amp;"'!z120"))</f>
        <v/>
      </c>
      <c r="AB148" s="15" t="str">
        <f>IF(PAC!AA120= "","",PAC!AA120)</f>
        <v/>
      </c>
      <c r="AC148" s="151"/>
      <c r="AD148" s="151"/>
      <c r="AE148" s="151"/>
      <c r="AF148" s="151"/>
      <c r="AG148" s="151"/>
      <c r="AH148" s="151"/>
      <c r="AI148" s="151"/>
      <c r="AJ148" s="151"/>
      <c r="AK148" s="151"/>
      <c r="AL148" s="151"/>
      <c r="AM148" s="151"/>
      <c r="AN148" s="151"/>
    </row>
    <row r="149" spans="2:40" hidden="1">
      <c r="C149" s="125" t="str">
        <f ca="1">CONCATENATE(IF(INDIRECT("'"&amp;$C$1&amp;"'!B121")="","",INDIRECT("'"&amp;$C$1&amp;"'!B121"))," ",IF(INDIRECT("'"&amp;$C$1&amp;"'!C121")="","""",INDIRECT("'"&amp;$C$1&amp;"'!C121")))</f>
        <v>resident in ninth bhava</v>
      </c>
      <c r="D149" s="147"/>
      <c r="E149" s="15" t="str">
        <f ca="1">IF(INDIRECT("'"&amp;$C$1&amp;"'!D121")= "","",INDIRECT("'"&amp;$C$1&amp;"'!D121"))</f>
        <v/>
      </c>
      <c r="F149" s="15" t="str">
        <f ca="1">IF(INDIRECT("'"&amp;$C$1&amp;"'!e121")= "","",INDIRECT("'"&amp;$C$1&amp;"'!e121"))</f>
        <v/>
      </c>
      <c r="G149" s="15" t="str">
        <f ca="1">IF(INDIRECT("'"&amp;$C$1&amp;"'!f121")= "","",INDIRECT("'"&amp;$C$1&amp;"'!f121"))</f>
        <v/>
      </c>
      <c r="H149" s="15" t="str">
        <f ca="1">IF(INDIRECT("'"&amp;$C$1&amp;"'!g121")= "","",INDIRECT("'"&amp;$C$1&amp;"'!g121"))</f>
        <v/>
      </c>
      <c r="I149" s="15" t="str">
        <f ca="1">IF(INDIRECT("'"&amp;$C$1&amp;"'!h121")= "","",INDIRECT("'"&amp;$C$1&amp;"'!h121"))</f>
        <v/>
      </c>
      <c r="J149" s="15" t="str">
        <f ca="1">IF(INDIRECT("'"&amp;$C$1&amp;"'!i121")= "","",INDIRECT("'"&amp;$C$1&amp;"'!i121"))</f>
        <v/>
      </c>
      <c r="K149" s="15" t="str">
        <f ca="1">IF(INDIRECT("'"&amp;$C$1&amp;"'!j121")= "","",INDIRECT("'"&amp;$C$1&amp;"'!j121"))</f>
        <v/>
      </c>
      <c r="L149" s="15" t="str">
        <f ca="1">IF(INDIRECT("'"&amp;$C$1&amp;"'!k121")= "","",INDIRECT("'"&amp;$C$1&amp;"'!k121"))</f>
        <v/>
      </c>
      <c r="M149" s="15" t="str">
        <f ca="1">IF(INDIRECT("'"&amp;$C$1&amp;"'!L121")= "","",INDIRECT("'"&amp;$C$1&amp;"'!L121"))</f>
        <v/>
      </c>
      <c r="N149" s="15" t="str">
        <f ca="1">IF(INDIRECT("'"&amp;$C$1&amp;"'!M121")= "","",INDIRECT("'"&amp;$C$1&amp;"'!M121"))</f>
        <v/>
      </c>
      <c r="P149" s="15" t="str">
        <f ca="1">IF(INDIRECT("'"&amp;$C$1&amp;"'!o121")= "","",INDIRECT("'"&amp;$C$1&amp;"'!o121"))</f>
        <v/>
      </c>
      <c r="Q149" s="15" t="str">
        <f ca="1">IF(INDIRECT("'"&amp;$C$1&amp;"'!p121")= "","",INDIRECT("'"&amp;$C$1&amp;"'!p121"))</f>
        <v/>
      </c>
      <c r="R149" s="15" t="str">
        <f ca="1">IF(INDIRECT("'"&amp;$C$1&amp;"'!q121")= "","",INDIRECT("'"&amp;$C$1&amp;"'!q121"))</f>
        <v/>
      </c>
      <c r="S149" s="15" t="str">
        <f ca="1">IF(INDIRECT("'"&amp;$C$1&amp;"'!r121")= "","",INDIRECT("'"&amp;$C$1&amp;"'!r121"))</f>
        <v/>
      </c>
      <c r="T149" s="15" t="str">
        <f ca="1">IF(INDIRECT("'"&amp;$C$1&amp;"'!s121")= "","",INDIRECT("'"&amp;$C$1&amp;"'!s121"))</f>
        <v/>
      </c>
      <c r="U149" s="15" t="str">
        <f ca="1">IF(INDIRECT("'"&amp;$C$1&amp;"'!t121")= "","",INDIRECT("'"&amp;$C$1&amp;"'!t121"))</f>
        <v/>
      </c>
      <c r="V149" s="15" t="str">
        <f ca="1">IF(INDIRECT("'"&amp;$C$1&amp;"'!u121")= "","",INDIRECT("'"&amp;$C$1&amp;"'!u121"))</f>
        <v/>
      </c>
      <c r="W149" s="15" t="str">
        <f ca="1">IF(INDIRECT("'"&amp;$C$1&amp;"'!v121")= "","",INDIRECT("'"&amp;$C$1&amp;"'!v121"))</f>
        <v/>
      </c>
      <c r="X149" s="15" t="str">
        <f ca="1">IF(INDIRECT("'"&amp;$C$1&amp;"'!w121")= "","",INDIRECT("'"&amp;$C$1&amp;"'!w121"))</f>
        <v/>
      </c>
      <c r="Y149" s="15" t="str">
        <f ca="1">IF(INDIRECT("'"&amp;$C$1&amp;"'!x121")= "","",INDIRECT("'"&amp;$C$1&amp;"'!x121"))</f>
        <v/>
      </c>
      <c r="Z149" s="15" t="str">
        <f ca="1">IF(INDIRECT("'"&amp;$C$1&amp;"'!y121")= "","",INDIRECT("'"&amp;$C$1&amp;"'!y121"))</f>
        <v/>
      </c>
      <c r="AA149" s="15" t="str">
        <f ca="1">IF(INDIRECT("'"&amp;$C$1&amp;"'!z121")= "","",INDIRECT("'"&amp;$C$1&amp;"'!z121"))</f>
        <v/>
      </c>
      <c r="AB149" s="15" t="str">
        <f>IF(PAC!AA121= "","",PAC!AA121)</f>
        <v/>
      </c>
      <c r="AC149" s="151"/>
      <c r="AD149" s="151"/>
      <c r="AE149" s="151"/>
      <c r="AF149" s="151"/>
      <c r="AG149" s="151"/>
      <c r="AH149" s="151"/>
      <c r="AI149" s="151"/>
      <c r="AJ149" s="151"/>
      <c r="AK149" s="151"/>
      <c r="AL149" s="151"/>
      <c r="AM149" s="151"/>
      <c r="AN149" s="151"/>
    </row>
    <row r="150" spans="2:40" hidden="1">
      <c r="C150" s="125" t="str">
        <f ca="1">CONCATENATE(IF(INDIRECT("'"&amp;$C$1&amp;"'!B122")="","",INDIRECT("'"&amp;$C$1&amp;"'!B122"))," ",IF(INDIRECT("'"&amp;$C$1&amp;"'!C122")="","""",INDIRECT("'"&amp;$C$1&amp;"'!C122")))</f>
        <v>resident in tenth bhava</v>
      </c>
      <c r="D150" s="147"/>
      <c r="E150" s="15" t="str">
        <f ca="1">IF(INDIRECT("'"&amp;$C$1&amp;"'!D122")= "","",INDIRECT("'"&amp;$C$1&amp;"'!D122"))</f>
        <v/>
      </c>
      <c r="F150" s="15" t="str">
        <f ca="1">IF(INDIRECT("'"&amp;$C$1&amp;"'!e122")= "","",INDIRECT("'"&amp;$C$1&amp;"'!e122"))</f>
        <v/>
      </c>
      <c r="G150" s="15" t="str">
        <f ca="1">IF(INDIRECT("'"&amp;$C$1&amp;"'!f122")= "","",INDIRECT("'"&amp;$C$1&amp;"'!f122"))</f>
        <v/>
      </c>
      <c r="H150" s="15" t="str">
        <f ca="1">IF(INDIRECT("'"&amp;$C$1&amp;"'!g122")= "","",INDIRECT("'"&amp;$C$1&amp;"'!g122"))</f>
        <v/>
      </c>
      <c r="I150" s="15" t="str">
        <f ca="1">IF(INDIRECT("'"&amp;$C$1&amp;"'!h122")= "","",INDIRECT("'"&amp;$C$1&amp;"'!h122"))</f>
        <v/>
      </c>
      <c r="J150" s="15" t="str">
        <f ca="1">IF(INDIRECT("'"&amp;$C$1&amp;"'!i122")= "","",INDIRECT("'"&amp;$C$1&amp;"'!i122"))</f>
        <v/>
      </c>
      <c r="K150" s="15" t="str">
        <f ca="1">IF(INDIRECT("'"&amp;$C$1&amp;"'!j122")= "","",INDIRECT("'"&amp;$C$1&amp;"'!j122"))</f>
        <v/>
      </c>
      <c r="L150" s="15" t="str">
        <f ca="1">IF(INDIRECT("'"&amp;$C$1&amp;"'!k122")= "","",INDIRECT("'"&amp;$C$1&amp;"'!k122"))</f>
        <v/>
      </c>
      <c r="M150" s="15" t="str">
        <f ca="1">IF(INDIRECT("'"&amp;$C$1&amp;"'!L122")= "","",INDIRECT("'"&amp;$C$1&amp;"'!L122"))</f>
        <v/>
      </c>
      <c r="N150" s="15" t="str">
        <f ca="1">IF(INDIRECT("'"&amp;$C$1&amp;"'!M122")= "","",INDIRECT("'"&amp;$C$1&amp;"'!M122"))</f>
        <v/>
      </c>
      <c r="P150" s="15" t="str">
        <f ca="1">IF(INDIRECT("'"&amp;$C$1&amp;"'!o122")= "","",INDIRECT("'"&amp;$C$1&amp;"'!o122"))</f>
        <v/>
      </c>
      <c r="Q150" s="15" t="str">
        <f ca="1">IF(INDIRECT("'"&amp;$C$1&amp;"'!p122")= "","",INDIRECT("'"&amp;$C$1&amp;"'!p122"))</f>
        <v/>
      </c>
      <c r="R150" s="15" t="str">
        <f ca="1">IF(INDIRECT("'"&amp;$C$1&amp;"'!q122")= "","",INDIRECT("'"&amp;$C$1&amp;"'!q122"))</f>
        <v/>
      </c>
      <c r="S150" s="15" t="str">
        <f ca="1">IF(INDIRECT("'"&amp;$C$1&amp;"'!r122")= "","",INDIRECT("'"&amp;$C$1&amp;"'!r122"))</f>
        <v/>
      </c>
      <c r="T150" s="15" t="str">
        <f ca="1">IF(INDIRECT("'"&amp;$C$1&amp;"'!s122")= "","",INDIRECT("'"&amp;$C$1&amp;"'!s122"))</f>
        <v/>
      </c>
      <c r="U150" s="15" t="str">
        <f ca="1">IF(INDIRECT("'"&amp;$C$1&amp;"'!t122")= "","",INDIRECT("'"&amp;$C$1&amp;"'!t122"))</f>
        <v/>
      </c>
      <c r="V150" s="15" t="str">
        <f ca="1">IF(INDIRECT("'"&amp;$C$1&amp;"'!u122")= "","",INDIRECT("'"&amp;$C$1&amp;"'!u122"))</f>
        <v/>
      </c>
      <c r="W150" s="15" t="str">
        <f ca="1">IF(INDIRECT("'"&amp;$C$1&amp;"'!v122")= "","",INDIRECT("'"&amp;$C$1&amp;"'!v122"))</f>
        <v/>
      </c>
      <c r="X150" s="15" t="str">
        <f ca="1">IF(INDIRECT("'"&amp;$C$1&amp;"'!w122")= "","",INDIRECT("'"&amp;$C$1&amp;"'!w122"))</f>
        <v/>
      </c>
      <c r="Y150" s="15" t="str">
        <f ca="1">IF(INDIRECT("'"&amp;$C$1&amp;"'!x122")= "","",INDIRECT("'"&amp;$C$1&amp;"'!x122"))</f>
        <v/>
      </c>
      <c r="Z150" s="15" t="str">
        <f ca="1">IF(INDIRECT("'"&amp;$C$1&amp;"'!y122")= "","",INDIRECT("'"&amp;$C$1&amp;"'!y122"))</f>
        <v/>
      </c>
      <c r="AA150" s="15" t="str">
        <f ca="1">IF(INDIRECT("'"&amp;$C$1&amp;"'!z122")= "","",INDIRECT("'"&amp;$C$1&amp;"'!z122"))</f>
        <v/>
      </c>
      <c r="AB150" s="15" t="str">
        <f>IF(PAC!AA122= "","",PAC!AA122)</f>
        <v/>
      </c>
      <c r="AC150" s="151"/>
      <c r="AD150" s="151"/>
      <c r="AE150" s="151"/>
      <c r="AF150" s="151"/>
      <c r="AG150" s="151"/>
      <c r="AH150" s="151"/>
      <c r="AI150" s="151"/>
      <c r="AJ150" s="151"/>
      <c r="AK150" s="151"/>
      <c r="AL150" s="151"/>
      <c r="AM150" s="151"/>
      <c r="AN150" s="151"/>
    </row>
    <row r="151" spans="2:40" hidden="1">
      <c r="C151" s="125" t="str">
        <f ca="1">CONCATENATE(IF(INDIRECT("'"&amp;$C$1&amp;"'!B123")="","",INDIRECT("'"&amp;$C$1&amp;"'!B123"))," ",IF(INDIRECT("'"&amp;$C$1&amp;"'!C123")="","""",INDIRECT("'"&amp;$C$1&amp;"'!C123")))</f>
        <v>resident in eleventh bhava</v>
      </c>
      <c r="D151" s="147"/>
      <c r="E151" s="15" t="str">
        <f ca="1">IF(INDIRECT("'"&amp;$C$1&amp;"'!D123")= "","",INDIRECT("'"&amp;$C$1&amp;"'!D123"))</f>
        <v/>
      </c>
      <c r="F151" s="15" t="str">
        <f ca="1">IF(INDIRECT("'"&amp;$C$1&amp;"'!e123")= "","",INDIRECT("'"&amp;$C$1&amp;"'!e123"))</f>
        <v/>
      </c>
      <c r="G151" s="15" t="str">
        <f ca="1">IF(INDIRECT("'"&amp;$C$1&amp;"'!f123")= "","",INDIRECT("'"&amp;$C$1&amp;"'!f123"))</f>
        <v/>
      </c>
      <c r="H151" s="15" t="str">
        <f ca="1">IF(INDIRECT("'"&amp;$C$1&amp;"'!g123")= "","",INDIRECT("'"&amp;$C$1&amp;"'!g123"))</f>
        <v/>
      </c>
      <c r="I151" s="15" t="str">
        <f ca="1">IF(INDIRECT("'"&amp;$C$1&amp;"'!h123")= "","",INDIRECT("'"&amp;$C$1&amp;"'!h123"))</f>
        <v>Y</v>
      </c>
      <c r="J151" s="15" t="str">
        <f ca="1">IF(INDIRECT("'"&amp;$C$1&amp;"'!i123")= "","",INDIRECT("'"&amp;$C$1&amp;"'!i123"))</f>
        <v/>
      </c>
      <c r="K151" s="15" t="str">
        <f ca="1">IF(INDIRECT("'"&amp;$C$1&amp;"'!j123")= "","",INDIRECT("'"&amp;$C$1&amp;"'!j123"))</f>
        <v/>
      </c>
      <c r="L151" s="15" t="str">
        <f ca="1">IF(INDIRECT("'"&amp;$C$1&amp;"'!k123")= "","",INDIRECT("'"&amp;$C$1&amp;"'!k123"))</f>
        <v>Y</v>
      </c>
      <c r="M151" s="15" t="str">
        <f ca="1">IF(INDIRECT("'"&amp;$C$1&amp;"'!L123")= "","",INDIRECT("'"&amp;$C$1&amp;"'!L123"))</f>
        <v/>
      </c>
      <c r="N151" s="15" t="str">
        <f ca="1">IF(INDIRECT("'"&amp;$C$1&amp;"'!M123")= "","",INDIRECT("'"&amp;$C$1&amp;"'!M123"))</f>
        <v/>
      </c>
      <c r="P151" s="15" t="str">
        <f ca="1">IF(INDIRECT("'"&amp;$C$1&amp;"'!o123")= "","",INDIRECT("'"&amp;$C$1&amp;"'!o123"))</f>
        <v>Y</v>
      </c>
      <c r="Q151" s="15" t="str">
        <f ca="1">IF(INDIRECT("'"&amp;$C$1&amp;"'!p123")= "","",INDIRECT("'"&amp;$C$1&amp;"'!p123"))</f>
        <v/>
      </c>
      <c r="R151" s="15" t="str">
        <f ca="1">IF(INDIRECT("'"&amp;$C$1&amp;"'!q123")= "","",INDIRECT("'"&amp;$C$1&amp;"'!q123"))</f>
        <v/>
      </c>
      <c r="S151" s="15" t="str">
        <f ca="1">IF(INDIRECT("'"&amp;$C$1&amp;"'!r123")= "","",INDIRECT("'"&amp;$C$1&amp;"'!r123"))</f>
        <v>Y</v>
      </c>
      <c r="T151" s="15" t="str">
        <f ca="1">IF(INDIRECT("'"&amp;$C$1&amp;"'!s123")= "","",INDIRECT("'"&amp;$C$1&amp;"'!s123"))</f>
        <v>Y</v>
      </c>
      <c r="U151" s="15" t="str">
        <f ca="1">IF(INDIRECT("'"&amp;$C$1&amp;"'!t123")= "","",INDIRECT("'"&amp;$C$1&amp;"'!t123"))</f>
        <v/>
      </c>
      <c r="V151" s="15" t="str">
        <f ca="1">IF(INDIRECT("'"&amp;$C$1&amp;"'!u123")= "","",INDIRECT("'"&amp;$C$1&amp;"'!u123"))</f>
        <v/>
      </c>
      <c r="W151" s="15" t="str">
        <f ca="1">IF(INDIRECT("'"&amp;$C$1&amp;"'!v123")= "","",INDIRECT("'"&amp;$C$1&amp;"'!v123"))</f>
        <v>Y</v>
      </c>
      <c r="X151" s="15" t="str">
        <f ca="1">IF(INDIRECT("'"&amp;$C$1&amp;"'!w123")= "","",INDIRECT("'"&amp;$C$1&amp;"'!w123"))</f>
        <v/>
      </c>
      <c r="Y151" s="15" t="str">
        <f ca="1">IF(INDIRECT("'"&amp;$C$1&amp;"'!x123")= "","",INDIRECT("'"&amp;$C$1&amp;"'!x123"))</f>
        <v/>
      </c>
      <c r="Z151" s="15" t="str">
        <f ca="1">IF(INDIRECT("'"&amp;$C$1&amp;"'!y123")= "","",INDIRECT("'"&amp;$C$1&amp;"'!y123"))</f>
        <v/>
      </c>
      <c r="AA151" s="15" t="str">
        <f ca="1">IF(INDIRECT("'"&amp;$C$1&amp;"'!z123")= "","",INDIRECT("'"&amp;$C$1&amp;"'!z123"))</f>
        <v/>
      </c>
      <c r="AB151" s="15" t="str">
        <f>IF(PAC!AA123= "","",PAC!AA123)</f>
        <v/>
      </c>
      <c r="AC151" s="151"/>
      <c r="AD151" s="151"/>
      <c r="AE151" s="151"/>
      <c r="AF151" s="151"/>
      <c r="AG151" s="151"/>
      <c r="AH151" s="151"/>
      <c r="AI151" s="151"/>
      <c r="AJ151" s="151"/>
      <c r="AK151" s="151"/>
      <c r="AL151" s="151"/>
      <c r="AM151" s="151"/>
      <c r="AN151" s="151"/>
    </row>
    <row r="152" spans="2:40" hidden="1">
      <c r="C152" s="125" t="str">
        <f ca="1">CONCATENATE(IF(INDIRECT("'"&amp;$C$1&amp;"'!B124")="","",INDIRECT("'"&amp;$C$1&amp;"'!B124"))," ",IF(INDIRECT("'"&amp;$C$1&amp;"'!C124")="","""",INDIRECT("'"&amp;$C$1&amp;"'!C124")))</f>
        <v>resident in twelveth bhava</v>
      </c>
      <c r="D152" s="147"/>
      <c r="E152" s="15" t="str">
        <f ca="1">IF(INDIRECT("'"&amp;$C$1&amp;"'!D124")= "","",INDIRECT("'"&amp;$C$1&amp;"'!D124"))</f>
        <v/>
      </c>
      <c r="F152" s="15" t="str">
        <f ca="1">IF(INDIRECT("'"&amp;$C$1&amp;"'!e124")= "","",INDIRECT("'"&amp;$C$1&amp;"'!e124"))</f>
        <v>Y</v>
      </c>
      <c r="G152" s="15" t="str">
        <f ca="1">IF(INDIRECT("'"&amp;$C$1&amp;"'!f124")= "","",INDIRECT("'"&amp;$C$1&amp;"'!f124"))</f>
        <v/>
      </c>
      <c r="H152" s="15" t="str">
        <f ca="1">IF(INDIRECT("'"&amp;$C$1&amp;"'!g124")= "","",INDIRECT("'"&amp;$C$1&amp;"'!g124"))</f>
        <v>Y</v>
      </c>
      <c r="I152" s="15" t="str">
        <f ca="1">IF(INDIRECT("'"&amp;$C$1&amp;"'!h124")= "","",INDIRECT("'"&amp;$C$1&amp;"'!h124"))</f>
        <v/>
      </c>
      <c r="J152" s="15" t="str">
        <f ca="1">IF(INDIRECT("'"&amp;$C$1&amp;"'!i124")= "","",INDIRECT("'"&amp;$C$1&amp;"'!i124"))</f>
        <v/>
      </c>
      <c r="K152" s="15" t="str">
        <f ca="1">IF(INDIRECT("'"&amp;$C$1&amp;"'!j124")= "","",INDIRECT("'"&amp;$C$1&amp;"'!j124"))</f>
        <v/>
      </c>
      <c r="L152" s="15" t="str">
        <f ca="1">IF(INDIRECT("'"&amp;$C$1&amp;"'!k124")= "","",INDIRECT("'"&amp;$C$1&amp;"'!k124"))</f>
        <v/>
      </c>
      <c r="M152" s="15" t="str">
        <f ca="1">IF(INDIRECT("'"&amp;$C$1&amp;"'!L124")= "","",INDIRECT("'"&amp;$C$1&amp;"'!L124"))</f>
        <v/>
      </c>
      <c r="N152" s="15" t="str">
        <f ca="1">IF(INDIRECT("'"&amp;$C$1&amp;"'!M124")= "","",INDIRECT("'"&amp;$C$1&amp;"'!M124"))</f>
        <v>Y</v>
      </c>
      <c r="P152" s="15" t="str">
        <f ca="1">IF(INDIRECT("'"&amp;$C$1&amp;"'!o124")= "","",INDIRECT("'"&amp;$C$1&amp;"'!o124"))</f>
        <v/>
      </c>
      <c r="Q152" s="15" t="str">
        <f ca="1">IF(INDIRECT("'"&amp;$C$1&amp;"'!p124")= "","",INDIRECT("'"&amp;$C$1&amp;"'!p124"))</f>
        <v/>
      </c>
      <c r="R152" s="15" t="str">
        <f ca="1">IF(INDIRECT("'"&amp;$C$1&amp;"'!q124")= "","",INDIRECT("'"&amp;$C$1&amp;"'!q124"))</f>
        <v/>
      </c>
      <c r="S152" s="15" t="str">
        <f ca="1">IF(INDIRECT("'"&amp;$C$1&amp;"'!r124")= "","",INDIRECT("'"&amp;$C$1&amp;"'!r124"))</f>
        <v/>
      </c>
      <c r="T152" s="15" t="str">
        <f ca="1">IF(INDIRECT("'"&amp;$C$1&amp;"'!s124")= "","",INDIRECT("'"&amp;$C$1&amp;"'!s124"))</f>
        <v/>
      </c>
      <c r="U152" s="15" t="str">
        <f ca="1">IF(INDIRECT("'"&amp;$C$1&amp;"'!t124")= "","",INDIRECT("'"&amp;$C$1&amp;"'!t124"))</f>
        <v/>
      </c>
      <c r="V152" s="15" t="str">
        <f ca="1">IF(INDIRECT("'"&amp;$C$1&amp;"'!u124")= "","",INDIRECT("'"&amp;$C$1&amp;"'!u124"))</f>
        <v/>
      </c>
      <c r="W152" s="15" t="str">
        <f ca="1">IF(INDIRECT("'"&amp;$C$1&amp;"'!v124")= "","",INDIRECT("'"&amp;$C$1&amp;"'!v124"))</f>
        <v/>
      </c>
      <c r="X152" s="15" t="str">
        <f ca="1">IF(INDIRECT("'"&amp;$C$1&amp;"'!w124")= "","",INDIRECT("'"&amp;$C$1&amp;"'!w124"))</f>
        <v>Y</v>
      </c>
      <c r="Y152" s="15" t="str">
        <f ca="1">IF(INDIRECT("'"&amp;$C$1&amp;"'!x124")= "","",INDIRECT("'"&amp;$C$1&amp;"'!x124"))</f>
        <v/>
      </c>
      <c r="Z152" s="15" t="str">
        <f ca="1">IF(INDIRECT("'"&amp;$C$1&amp;"'!y124")= "","",INDIRECT("'"&amp;$C$1&amp;"'!y124"))</f>
        <v>Y</v>
      </c>
      <c r="AA152" s="15" t="str">
        <f ca="1">IF(INDIRECT("'"&amp;$C$1&amp;"'!z124")= "","",INDIRECT("'"&amp;$C$1&amp;"'!z124"))</f>
        <v>Y</v>
      </c>
      <c r="AB152" s="15" t="str">
        <f>IF(PAC!AA124= "","",PAC!AA124)</f>
        <v/>
      </c>
      <c r="AC152" s="151"/>
      <c r="AD152" s="151"/>
      <c r="AE152" s="151"/>
      <c r="AF152" s="151"/>
      <c r="AG152" s="151"/>
      <c r="AH152" s="151"/>
      <c r="AI152" s="151"/>
      <c r="AJ152" s="151"/>
      <c r="AK152" s="151"/>
      <c r="AL152" s="151"/>
      <c r="AM152" s="151"/>
      <c r="AN152" s="151"/>
    </row>
    <row r="153" spans="2:40" ht="13.8" hidden="1" thickBot="1">
      <c r="B153" s="132"/>
      <c r="C153" s="133"/>
      <c r="D153" s="135"/>
      <c r="E153" s="53" t="str">
        <f>IF(PAC!D125= "","",PAC!D125)</f>
        <v/>
      </c>
      <c r="F153" s="53" t="str">
        <f>IF(PAC!E125= "","",PAC!E125)</f>
        <v/>
      </c>
      <c r="G153" s="53" t="str">
        <f>IF(PAC!F125= "","",PAC!F125)</f>
        <v/>
      </c>
      <c r="H153" s="53" t="str">
        <f>IF(PAC!G125= "","",PAC!G125)</f>
        <v/>
      </c>
      <c r="I153" s="53" t="str">
        <f>IF(PAC!H125= "","",PAC!H125)</f>
        <v/>
      </c>
      <c r="J153" s="53" t="str">
        <f>IF(PAC!I125= "","",PAC!I125)</f>
        <v/>
      </c>
      <c r="K153" s="53" t="str">
        <f>IF(PAC!J125= "","",PAC!J125)</f>
        <v/>
      </c>
      <c r="L153" s="53" t="str">
        <f>IF(PAC!K125= "","",PAC!K125)</f>
        <v/>
      </c>
      <c r="M153" s="53" t="str">
        <f>IF(PAC!L125= "","",PAC!L125)</f>
        <v/>
      </c>
      <c r="N153" s="53" t="str">
        <f>IF(PAC!M125= "","",PAC!M125)</f>
        <v/>
      </c>
      <c r="O153" s="53" t="str">
        <f>IF(PAC!N125= "","",PAC!N125)</f>
        <v/>
      </c>
      <c r="P153" s="53" t="str">
        <f>IF(PAC!O125= "","",PAC!O125)</f>
        <v/>
      </c>
      <c r="Q153" s="53" t="str">
        <f>IF(PAC!P125= "","",PAC!P125)</f>
        <v/>
      </c>
      <c r="R153" s="53" t="str">
        <f>IF(PAC!Q125= "","",PAC!Q125)</f>
        <v/>
      </c>
      <c r="S153" s="53" t="str">
        <f>IF(PAC!R125= "","",PAC!R125)</f>
        <v/>
      </c>
      <c r="T153" s="53" t="str">
        <f>IF(PAC!S125= "","",PAC!S125)</f>
        <v/>
      </c>
      <c r="U153" s="53" t="str">
        <f>IF(PAC!T125= "","",PAC!T125)</f>
        <v/>
      </c>
      <c r="V153" s="53" t="str">
        <f>IF(PAC!U125= "","",PAC!U125)</f>
        <v/>
      </c>
      <c r="W153" s="53" t="str">
        <f>IF(PAC!V125= "","",PAC!V125)</f>
        <v/>
      </c>
      <c r="X153" s="53" t="str">
        <f>IF(PAC!W125= "","",PAC!W125)</f>
        <v/>
      </c>
      <c r="Y153" s="53" t="str">
        <f>IF(PAC!X125= "","",PAC!X125)</f>
        <v/>
      </c>
      <c r="Z153" s="53" t="str">
        <f>IF(PAC!Y125= "","",PAC!Y125)</f>
        <v/>
      </c>
      <c r="AA153" s="53" t="str">
        <f>IF(PAC!Z125= "","",PAC!Z125)</f>
        <v/>
      </c>
      <c r="AB153" s="53" t="str">
        <f>IF(PAC!AA125= "","",PAC!AA125)</f>
        <v/>
      </c>
      <c r="AC153" s="53" t="str">
        <f>IF(PAC!AB125= "","",PAC!AB125)</f>
        <v/>
      </c>
      <c r="AD153" s="53" t="str">
        <f>IF(PAC!AC125= "","",PAC!AC125)</f>
        <v/>
      </c>
      <c r="AE153" s="53" t="str">
        <f>IF(PAC!AD125= "","",PAC!AD125)</f>
        <v/>
      </c>
      <c r="AF153" s="53" t="str">
        <f>IF(PAC!AE125= "","",PAC!AE125)</f>
        <v/>
      </c>
      <c r="AG153" s="53" t="str">
        <f>IF(PAC!AF125= "","",PAC!AF125)</f>
        <v/>
      </c>
      <c r="AH153" s="53" t="str">
        <f>IF(PAC!AG125= "","",PAC!AG125)</f>
        <v/>
      </c>
      <c r="AI153" s="53" t="str">
        <f>IF(PAC!AH125= "","",PAC!AH125)</f>
        <v/>
      </c>
      <c r="AJ153" s="53" t="str">
        <f>IF(PAC!AI125= "","",PAC!AI125)</f>
        <v/>
      </c>
      <c r="AK153" s="53" t="str">
        <f>IF(PAC!AJ125= "","",PAC!AJ125)</f>
        <v/>
      </c>
      <c r="AL153" s="53" t="str">
        <f>IF(PAC!AK125= "","",PAC!AK125)</f>
        <v/>
      </c>
      <c r="AM153" s="53" t="str">
        <f>IF(PAC!AL125= "","",PAC!AL125)</f>
        <v/>
      </c>
      <c r="AN153" s="53" t="str">
        <f>IF(PAC!AM125= "","",PAC!AM125)</f>
        <v/>
      </c>
    </row>
    <row r="154" spans="2:40">
      <c r="B154" s="124"/>
      <c r="D154" s="15"/>
      <c r="E154" s="62"/>
      <c r="F154" s="62"/>
      <c r="G154" s="62"/>
      <c r="H154" s="62"/>
      <c r="I154" s="62"/>
      <c r="J154" s="62"/>
      <c r="K154" s="62"/>
      <c r="L154" s="62"/>
      <c r="M154" s="62"/>
      <c r="N154" s="62"/>
    </row>
  </sheetData>
  <sheetProtection password="9C47" sheet="1"/>
  <mergeCells count="29">
    <mergeCell ref="E32:H32"/>
    <mergeCell ref="AB2:AE2"/>
    <mergeCell ref="AG2:AI2"/>
    <mergeCell ref="E26:H26"/>
    <mergeCell ref="E27:H27"/>
    <mergeCell ref="E14:H14"/>
    <mergeCell ref="E15:H15"/>
    <mergeCell ref="E16:H16"/>
    <mergeCell ref="E17:H17"/>
    <mergeCell ref="E18:H18"/>
    <mergeCell ref="E30:H30"/>
    <mergeCell ref="E28:H28"/>
    <mergeCell ref="E51:H51"/>
    <mergeCell ref="E42:H42"/>
    <mergeCell ref="E43:H43"/>
    <mergeCell ref="E46:H46"/>
    <mergeCell ref="E47:H47"/>
    <mergeCell ref="E48:H48"/>
    <mergeCell ref="E41:H41"/>
    <mergeCell ref="E31:H31"/>
    <mergeCell ref="E25:H25"/>
    <mergeCell ref="E20:H20"/>
    <mergeCell ref="E23:H23"/>
    <mergeCell ref="E9:H9"/>
    <mergeCell ref="E10:H10"/>
    <mergeCell ref="E13:H13"/>
    <mergeCell ref="E11:H11"/>
    <mergeCell ref="E12:H12"/>
    <mergeCell ref="E24:H24"/>
  </mergeCells>
  <phoneticPr fontId="55" type="noConversion"/>
  <dataValidations count="3">
    <dataValidation type="list" allowBlank="1" showInputMessage="1" showErrorMessage="1" sqref="E9 E48 E46:H47 E43:E44 E41:H42 E23:H35 E20:H21 E10:H18">
      <formula1>$AO$69:$AO$123</formula1>
    </dataValidation>
    <dataValidation type="list" allowBlank="1" showInputMessage="1" showErrorMessage="1" sqref="C20:C21 D51:E51 C46:C48 C41:C44 C23:C35 C9:C18">
      <formula1>$E$58:$AN$58</formula1>
    </dataValidation>
    <dataValidation type="list" allowBlank="1" showInputMessage="1" showErrorMessage="1" sqref="D20:D21 D46:D48 D41:D44 D23:D35 D9:D18">
      <formula1>$AO$62:$AO$65</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208"/>
  <sheetViews>
    <sheetView tabSelected="1" topLeftCell="A7" workbookViewId="0">
      <selection activeCell="A37" sqref="A37"/>
    </sheetView>
  </sheetViews>
  <sheetFormatPr defaultColWidth="9.109375" defaultRowHeight="13.2"/>
  <cols>
    <col min="1" max="1" width="12.6640625" style="1" customWidth="1"/>
    <col min="2" max="2" width="9.88671875" style="1" customWidth="1"/>
    <col min="3" max="12" width="9.109375" style="1"/>
    <col min="13" max="13" width="5.6640625" style="1" customWidth="1"/>
    <col min="14" max="14" width="4.6640625" style="1" customWidth="1"/>
    <col min="15" max="15" width="7.33203125" style="1" customWidth="1"/>
    <col min="16" max="16" width="9.109375" style="1"/>
    <col min="17" max="17" width="11" style="1" customWidth="1"/>
    <col min="18" max="16384" width="9.109375" style="1"/>
  </cols>
  <sheetData>
    <row r="1" spans="1:19">
      <c r="A1" s="100"/>
      <c r="B1" s="570" t="s">
        <v>221</v>
      </c>
      <c r="C1" s="571"/>
      <c r="E1" s="101" t="s">
        <v>227</v>
      </c>
      <c r="F1" s="102"/>
      <c r="G1" s="573"/>
      <c r="H1" s="574"/>
      <c r="I1" s="103" t="s">
        <v>85</v>
      </c>
      <c r="J1" s="103" t="s">
        <v>230</v>
      </c>
      <c r="K1" s="103" t="s">
        <v>231</v>
      </c>
      <c r="Q1" s="104" t="s">
        <v>234</v>
      </c>
      <c r="S1" s="100"/>
    </row>
    <row r="2" spans="1:19">
      <c r="B2" s="105" t="s">
        <v>222</v>
      </c>
      <c r="C2" s="102">
        <f>IF(DataEntry!K$4=DataEntry!N$2,DataEntry!H3,DataEntry!G19)</f>
        <v>17</v>
      </c>
      <c r="E2" s="101" t="s">
        <v>225</v>
      </c>
      <c r="F2" s="102">
        <f>IF(DataEntry!K$4=DataEntry!N$2,DataEntry!H14,12)</f>
        <v>4</v>
      </c>
      <c r="G2" s="106"/>
      <c r="H2" s="75"/>
      <c r="I2" s="103"/>
      <c r="J2" s="107"/>
      <c r="K2" s="107"/>
      <c r="O2" s="108"/>
      <c r="Q2" s="109">
        <f>R8</f>
        <v>23</v>
      </c>
    </row>
    <row r="3" spans="1:19">
      <c r="B3" s="105" t="s">
        <v>223</v>
      </c>
      <c r="C3" s="102">
        <f>IF(DataEntry!K$4=DataEntry!N$2,DataEntry!H4,DataEntry!G20)</f>
        <v>9</v>
      </c>
      <c r="E3" s="101" t="s">
        <v>226</v>
      </c>
      <c r="F3" s="102">
        <f>IF(DataEntry!K$4=DataEntry!N$2,DataEntry!H15,0)</f>
        <v>4</v>
      </c>
      <c r="G3" s="106"/>
      <c r="H3" s="75"/>
      <c r="I3" s="103"/>
      <c r="J3" s="107"/>
      <c r="K3" s="107"/>
      <c r="O3" s="108"/>
      <c r="Q3" s="109">
        <f>S8</f>
        <v>9</v>
      </c>
    </row>
    <row r="4" spans="1:19">
      <c r="B4" s="105" t="s">
        <v>224</v>
      </c>
      <c r="C4" s="102">
        <f>IF(DataEntry!K$4=DataEntry!N$2,DataEntry!H5,DataEntry!G21)</f>
        <v>1950</v>
      </c>
      <c r="F4" s="1" t="str">
        <f>IF((F3&gt;=10),F3,CONCATENATE("0",F3))</f>
        <v>04</v>
      </c>
      <c r="I4" s="107"/>
      <c r="J4" s="107">
        <f>DataEntry!D11</f>
        <v>72.599999999999994</v>
      </c>
      <c r="K4" s="107">
        <f>DataEntry!D16</f>
        <v>23.8</v>
      </c>
      <c r="Q4" s="109"/>
    </row>
    <row r="5" spans="1:19">
      <c r="A5" s="100"/>
      <c r="B5" s="572" t="str">
        <f>CONCATENATE("-b",C2,".",C3,".",C4)</f>
        <v>-b17.9.1950</v>
      </c>
      <c r="C5" s="572"/>
      <c r="E5" s="110" t="str">
        <f>CONCATENATE("-ut",F2,".",F4,"00")</f>
        <v>-ut4.0400</v>
      </c>
      <c r="I5" s="110" t="str">
        <f>CONCATENATE("-geopos",J4,",",K4,",0")</f>
        <v>-geopos72.6,23.8,0</v>
      </c>
      <c r="J5" s="110"/>
      <c r="Q5" s="109">
        <f>ROUND((Q2+Q3/60+Q4/3600),4)</f>
        <v>23.15</v>
      </c>
    </row>
    <row r="7" spans="1:19">
      <c r="A7" s="100" t="s">
        <v>232</v>
      </c>
      <c r="B7" s="108" t="s">
        <v>253</v>
      </c>
      <c r="Q7" s="100"/>
      <c r="S7" s="100"/>
    </row>
    <row r="8" spans="1:19" ht="13.8" thickBot="1">
      <c r="A8" s="100" t="s">
        <v>233</v>
      </c>
      <c r="B8" s="108" t="str">
        <f>CONCATENATE(B5,"  ",E5,"  ",I5,"  ",B7)</f>
        <v xml:space="preserve">-b17.9.1950  -ut4.0400  -geopos72.6,23.8,0   -edir. -fPsl  -house  -g,   -head -p0123456mt </v>
      </c>
      <c r="L8" s="108"/>
      <c r="M8" s="108"/>
      <c r="Q8" s="225">
        <f>DATE(C4,C3,C2)</f>
        <v>18523</v>
      </c>
      <c r="R8" s="191">
        <f>VLOOKUP(Q8,Q9:S208,2)</f>
        <v>23</v>
      </c>
      <c r="S8" s="191">
        <f>VLOOKUP(Q8,Q9:S208,3)</f>
        <v>9</v>
      </c>
    </row>
    <row r="9" spans="1:19" ht="13.8" thickBot="1">
      <c r="A9" s="1" t="s">
        <v>219</v>
      </c>
      <c r="L9" s="100" t="s">
        <v>315</v>
      </c>
      <c r="Q9" s="223">
        <v>1</v>
      </c>
      <c r="R9" s="1">
        <v>22</v>
      </c>
      <c r="S9" s="1">
        <v>27</v>
      </c>
    </row>
    <row r="10" spans="1:19">
      <c r="A10" s="93" t="s">
        <v>607</v>
      </c>
      <c r="B10" s="93"/>
      <c r="C10" s="93"/>
      <c r="D10" s="93"/>
      <c r="E10" s="94">
        <v>0.97499999999999998</v>
      </c>
      <c r="F10" s="95">
        <v>173.6995024</v>
      </c>
      <c r="G10" s="111">
        <f t="shared" ref="G10:G18" si="0">ROUND(F10-$Q$5,2)</f>
        <v>150.55000000000001</v>
      </c>
      <c r="H10" s="112">
        <f t="shared" ref="H10:H18" si="1">IF(G10&lt;0,G10+360,(IF(G10&gt;360,G10-360,G10)))</f>
        <v>150.55000000000001</v>
      </c>
      <c r="I10" s="111">
        <f>FLOOR(D40/30,1)+1</f>
        <v>6</v>
      </c>
      <c r="J10" s="111">
        <f>D40 -(I10-1)*30</f>
        <v>0.55000000000001137</v>
      </c>
      <c r="L10" s="199" t="s">
        <v>314</v>
      </c>
      <c r="M10" s="113">
        <f t="shared" ref="M10:M18" si="2">I10</f>
        <v>6</v>
      </c>
      <c r="N10" s="113">
        <f t="shared" ref="N10:N18" si="3">FLOOR(J10,1)</f>
        <v>0</v>
      </c>
      <c r="O10" s="114">
        <f t="shared" ref="O10:O18" si="4">ROUND((J10-N10)*60,0)</f>
        <v>33</v>
      </c>
      <c r="Q10" s="224">
        <v>366</v>
      </c>
      <c r="R10" s="1">
        <v>22</v>
      </c>
      <c r="S10" s="1">
        <v>28</v>
      </c>
    </row>
    <row r="11" spans="1:19">
      <c r="A11" s="93" t="s">
        <v>608</v>
      </c>
      <c r="B11" s="93"/>
      <c r="C11" s="93"/>
      <c r="D11" s="93"/>
      <c r="E11" s="96">
        <v>14.381</v>
      </c>
      <c r="F11" s="97">
        <v>241.07805089999999</v>
      </c>
      <c r="G11" s="111">
        <f t="shared" si="0"/>
        <v>217.93</v>
      </c>
      <c r="H11" s="112">
        <f t="shared" si="1"/>
        <v>217.93</v>
      </c>
      <c r="I11" s="111">
        <f>FLOOR(E40/30,1)+1</f>
        <v>8</v>
      </c>
      <c r="J11" s="111">
        <f>E40 -(I11-1)*30</f>
        <v>7.9699999999999989</v>
      </c>
      <c r="L11" s="198" t="s">
        <v>314</v>
      </c>
      <c r="M11" s="116">
        <f t="shared" si="2"/>
        <v>8</v>
      </c>
      <c r="N11" s="116">
        <f t="shared" si="3"/>
        <v>7</v>
      </c>
      <c r="O11" s="117">
        <f t="shared" si="4"/>
        <v>58</v>
      </c>
      <c r="Q11" s="224">
        <v>731</v>
      </c>
      <c r="R11" s="1">
        <v>22</v>
      </c>
      <c r="S11" s="1">
        <v>29</v>
      </c>
    </row>
    <row r="12" spans="1:19">
      <c r="A12" s="93" t="s">
        <v>609</v>
      </c>
      <c r="B12" s="93"/>
      <c r="C12" s="93"/>
      <c r="D12" s="93"/>
      <c r="E12" s="96">
        <v>-1.0469999999999999</v>
      </c>
      <c r="F12" s="97">
        <v>174.018878</v>
      </c>
      <c r="G12" s="111">
        <f t="shared" si="0"/>
        <v>150.87</v>
      </c>
      <c r="H12" s="112">
        <f t="shared" si="1"/>
        <v>150.87</v>
      </c>
      <c r="I12" s="111">
        <f>FLOOR(F40/30,1)+1</f>
        <v>6</v>
      </c>
      <c r="J12" s="111">
        <f>F40 -(I12-1)*30</f>
        <v>0.87000000000000455</v>
      </c>
      <c r="L12" s="115" t="str">
        <f>IF(F41="Y","Retro","Direct")</f>
        <v>Retro</v>
      </c>
      <c r="M12" s="116">
        <f t="shared" si="2"/>
        <v>6</v>
      </c>
      <c r="N12" s="116">
        <f t="shared" si="3"/>
        <v>0</v>
      </c>
      <c r="O12" s="117">
        <f t="shared" si="4"/>
        <v>52</v>
      </c>
      <c r="Q12" s="224">
        <v>1096</v>
      </c>
      <c r="R12" s="1">
        <v>22</v>
      </c>
      <c r="S12" s="1">
        <v>30</v>
      </c>
    </row>
    <row r="13" spans="1:19">
      <c r="A13" s="93" t="s">
        <v>610</v>
      </c>
      <c r="B13" s="93"/>
      <c r="C13" s="93"/>
      <c r="D13" s="93"/>
      <c r="E13" s="96">
        <v>1.238</v>
      </c>
      <c r="F13" s="97">
        <v>158.77860820000001</v>
      </c>
      <c r="G13" s="111">
        <f t="shared" si="0"/>
        <v>135.63</v>
      </c>
      <c r="H13" s="112">
        <f t="shared" si="1"/>
        <v>135.63</v>
      </c>
      <c r="I13" s="111">
        <f>FLOOR(G40/30,1)+1</f>
        <v>5</v>
      </c>
      <c r="J13" s="111">
        <f>G40 -(I13-1)*30</f>
        <v>15.629999999999995</v>
      </c>
      <c r="L13" s="115" t="str">
        <f>IF(G41="Y","Retro","Direct")</f>
        <v>Direct</v>
      </c>
      <c r="M13" s="116">
        <f t="shared" si="2"/>
        <v>5</v>
      </c>
      <c r="N13" s="116">
        <f t="shared" si="3"/>
        <v>15</v>
      </c>
      <c r="O13" s="117">
        <f t="shared" si="4"/>
        <v>38</v>
      </c>
      <c r="Q13" s="224">
        <v>1461</v>
      </c>
      <c r="R13" s="1">
        <v>22</v>
      </c>
      <c r="S13" s="1">
        <v>30</v>
      </c>
    </row>
    <row r="14" spans="1:19">
      <c r="A14" s="93" t="s">
        <v>611</v>
      </c>
      <c r="B14" s="93"/>
      <c r="C14" s="93"/>
      <c r="D14" s="93"/>
      <c r="E14" s="96">
        <v>0.67900000000000005</v>
      </c>
      <c r="F14" s="97">
        <v>234.05603379999999</v>
      </c>
      <c r="G14" s="111">
        <f t="shared" si="0"/>
        <v>210.91</v>
      </c>
      <c r="H14" s="112">
        <f t="shared" si="1"/>
        <v>210.91</v>
      </c>
      <c r="I14" s="111">
        <f>FLOOR(H40/30,1)+1</f>
        <v>8</v>
      </c>
      <c r="J14" s="111">
        <f>H40 -(I14-1)*30</f>
        <v>0.90999999999999659</v>
      </c>
      <c r="L14" s="115" t="str">
        <f>IF(H41="Y","Retro","Direct")</f>
        <v>Direct</v>
      </c>
      <c r="M14" s="116">
        <f t="shared" si="2"/>
        <v>8</v>
      </c>
      <c r="N14" s="116">
        <f t="shared" si="3"/>
        <v>0</v>
      </c>
      <c r="O14" s="117">
        <f t="shared" si="4"/>
        <v>55</v>
      </c>
      <c r="Q14" s="224">
        <v>1826</v>
      </c>
      <c r="R14" s="1">
        <v>22</v>
      </c>
      <c r="S14" s="1">
        <v>31</v>
      </c>
    </row>
    <row r="15" spans="1:19">
      <c r="A15" s="93" t="s">
        <v>612</v>
      </c>
      <c r="B15" s="93"/>
      <c r="C15" s="93"/>
      <c r="D15" s="93"/>
      <c r="E15" s="96">
        <v>-0.109</v>
      </c>
      <c r="F15" s="97">
        <v>329.77033299999999</v>
      </c>
      <c r="G15" s="111">
        <f t="shared" si="0"/>
        <v>306.62</v>
      </c>
      <c r="H15" s="112">
        <f t="shared" si="1"/>
        <v>306.62</v>
      </c>
      <c r="I15" s="111">
        <f>FLOOR(I40/30,1)+1</f>
        <v>11</v>
      </c>
      <c r="J15" s="111">
        <f>I40 -(I15-1)*30</f>
        <v>6.6200000000000045</v>
      </c>
      <c r="L15" s="115" t="str">
        <f>IF(I41="Y","Retro","Direct")</f>
        <v>Retro</v>
      </c>
      <c r="M15" s="116">
        <f t="shared" si="2"/>
        <v>11</v>
      </c>
      <c r="N15" s="116">
        <f t="shared" si="3"/>
        <v>6</v>
      </c>
      <c r="O15" s="117">
        <f t="shared" si="4"/>
        <v>37</v>
      </c>
      <c r="Q15" s="224">
        <v>2191</v>
      </c>
      <c r="R15" s="1">
        <v>22</v>
      </c>
      <c r="S15" s="1">
        <v>32</v>
      </c>
    </row>
    <row r="16" spans="1:19">
      <c r="A16" s="93" t="s">
        <v>613</v>
      </c>
      <c r="B16" s="93"/>
      <c r="C16" s="93"/>
      <c r="D16" s="93"/>
      <c r="E16" s="96">
        <v>0.124</v>
      </c>
      <c r="F16" s="97">
        <v>172.81230500000001</v>
      </c>
      <c r="G16" s="111">
        <f t="shared" si="0"/>
        <v>149.66</v>
      </c>
      <c r="H16" s="112">
        <f t="shared" si="1"/>
        <v>149.66</v>
      </c>
      <c r="I16" s="111">
        <f>FLOOR(J40/30,1)+1</f>
        <v>5</v>
      </c>
      <c r="J16" s="111">
        <f>J40 -(I16-1)*30</f>
        <v>29.659999999999997</v>
      </c>
      <c r="L16" s="115" t="str">
        <f>IF(J41="Y","Retro","Direct")</f>
        <v>Direct</v>
      </c>
      <c r="M16" s="116">
        <f t="shared" si="2"/>
        <v>5</v>
      </c>
      <c r="N16" s="116">
        <f t="shared" si="3"/>
        <v>29</v>
      </c>
      <c r="O16" s="117">
        <f t="shared" si="4"/>
        <v>40</v>
      </c>
      <c r="Q16" s="224">
        <v>2556</v>
      </c>
      <c r="R16" s="1">
        <v>22</v>
      </c>
      <c r="S16" s="1">
        <v>33</v>
      </c>
    </row>
    <row r="17" spans="1:19">
      <c r="A17" s="93" t="s">
        <v>614</v>
      </c>
      <c r="B17" s="93"/>
      <c r="C17" s="93"/>
      <c r="D17" s="93"/>
      <c r="E17" s="96">
        <v>-5.1999999999999998E-2</v>
      </c>
      <c r="F17" s="97">
        <v>358.3894525</v>
      </c>
      <c r="G17" s="111">
        <f t="shared" si="0"/>
        <v>335.24</v>
      </c>
      <c r="H17" s="112">
        <f t="shared" si="1"/>
        <v>335.24</v>
      </c>
      <c r="I17" s="111">
        <f>FLOOR(H17/30,1)+1</f>
        <v>12</v>
      </c>
      <c r="J17" s="111">
        <f>H17 -(I17-1)*30</f>
        <v>5.2400000000000091</v>
      </c>
      <c r="L17" s="115"/>
      <c r="M17" s="116">
        <f t="shared" si="2"/>
        <v>12</v>
      </c>
      <c r="N17" s="116">
        <f t="shared" si="3"/>
        <v>5</v>
      </c>
      <c r="O17" s="117">
        <f t="shared" si="4"/>
        <v>14</v>
      </c>
      <c r="Q17" s="223">
        <v>2921</v>
      </c>
      <c r="R17" s="1">
        <v>22</v>
      </c>
      <c r="S17" s="1">
        <v>34</v>
      </c>
    </row>
    <row r="18" spans="1:19">
      <c r="A18" s="93" t="s">
        <v>615</v>
      </c>
      <c r="B18" s="93"/>
      <c r="C18" s="93"/>
      <c r="D18" s="93"/>
      <c r="E18" s="96">
        <v>5.0000000000000001E-3</v>
      </c>
      <c r="F18" s="97">
        <v>358.3791531</v>
      </c>
      <c r="G18" s="111">
        <f t="shared" si="0"/>
        <v>335.23</v>
      </c>
      <c r="H18" s="112">
        <f t="shared" si="1"/>
        <v>335.23</v>
      </c>
      <c r="I18" s="111">
        <f>FLOOR(K40/30,1)+1</f>
        <v>12</v>
      </c>
      <c r="J18" s="111">
        <f>K40 -(I18-1)*30</f>
        <v>5.2300000000000182</v>
      </c>
      <c r="L18" s="115"/>
      <c r="M18" s="116">
        <f t="shared" si="2"/>
        <v>12</v>
      </c>
      <c r="N18" s="116">
        <f t="shared" si="3"/>
        <v>5</v>
      </c>
      <c r="O18" s="117">
        <f t="shared" si="4"/>
        <v>14</v>
      </c>
      <c r="Q18" s="224">
        <v>3286</v>
      </c>
      <c r="R18" s="1">
        <v>22</v>
      </c>
      <c r="S18" s="1">
        <v>35</v>
      </c>
    </row>
    <row r="19" spans="1:19">
      <c r="A19" s="93" t="s">
        <v>616</v>
      </c>
      <c r="B19" s="93"/>
      <c r="C19" s="93"/>
      <c r="D19" s="93"/>
      <c r="E19" s="96">
        <v>321.22000000000003</v>
      </c>
      <c r="F19" s="97">
        <v>214.53035700000001</v>
      </c>
      <c r="G19" s="111"/>
      <c r="H19" s="112"/>
      <c r="I19" s="111"/>
      <c r="J19" s="111"/>
      <c r="L19" s="115"/>
      <c r="M19" s="116"/>
      <c r="N19" s="116"/>
      <c r="O19" s="117"/>
      <c r="Q19" s="223">
        <v>3651</v>
      </c>
      <c r="R19" s="1">
        <v>22</v>
      </c>
      <c r="S19" s="1">
        <v>36</v>
      </c>
    </row>
    <row r="20" spans="1:19">
      <c r="A20" s="93" t="s">
        <v>617</v>
      </c>
      <c r="B20" s="93"/>
      <c r="C20" s="93"/>
      <c r="D20" s="93"/>
      <c r="E20" s="96">
        <v>323.64999999999998</v>
      </c>
      <c r="F20" s="97">
        <v>243.67403210000001</v>
      </c>
      <c r="G20" s="111"/>
      <c r="H20" s="112"/>
      <c r="I20" s="111"/>
      <c r="J20" s="111"/>
      <c r="L20" s="115"/>
      <c r="M20" s="116"/>
      <c r="N20" s="116"/>
      <c r="O20" s="117"/>
      <c r="Q20" s="223">
        <v>4016</v>
      </c>
      <c r="R20" s="1">
        <v>22</v>
      </c>
      <c r="S20" s="1">
        <v>36</v>
      </c>
    </row>
    <row r="21" spans="1:19">
      <c r="A21" s="93" t="s">
        <v>618</v>
      </c>
      <c r="B21" s="93"/>
      <c r="C21" s="93"/>
      <c r="D21" s="93"/>
      <c r="E21" s="96">
        <v>333.15</v>
      </c>
      <c r="F21" s="97">
        <v>274.090936</v>
      </c>
      <c r="G21" s="111"/>
      <c r="H21" s="112"/>
      <c r="I21" s="111"/>
      <c r="J21" s="111"/>
      <c r="L21" s="115"/>
      <c r="M21" s="116"/>
      <c r="N21" s="116"/>
      <c r="O21" s="117"/>
      <c r="Q21" s="223">
        <v>4381</v>
      </c>
      <c r="R21" s="1">
        <v>22</v>
      </c>
      <c r="S21" s="1">
        <v>37</v>
      </c>
    </row>
    <row r="22" spans="1:19">
      <c r="A22" s="93" t="s">
        <v>619</v>
      </c>
      <c r="B22" s="93"/>
      <c r="C22" s="93"/>
      <c r="D22" s="93"/>
      <c r="E22" s="96">
        <v>352.44</v>
      </c>
      <c r="F22" s="97">
        <v>305.75152170000001</v>
      </c>
      <c r="G22" s="111"/>
      <c r="H22" s="112"/>
      <c r="I22" s="111"/>
      <c r="J22" s="111"/>
      <c r="L22" s="115"/>
      <c r="M22" s="116"/>
      <c r="N22" s="116"/>
      <c r="O22" s="117"/>
      <c r="Q22" s="223">
        <v>4746</v>
      </c>
      <c r="R22" s="1">
        <v>22</v>
      </c>
      <c r="S22" s="1">
        <v>38</v>
      </c>
    </row>
    <row r="23" spans="1:19">
      <c r="A23" s="93" t="s">
        <v>620</v>
      </c>
      <c r="B23" s="93"/>
      <c r="C23" s="93"/>
      <c r="D23" s="93"/>
      <c r="E23" s="96">
        <v>362.85</v>
      </c>
      <c r="F23" s="97">
        <v>337.72990179999999</v>
      </c>
      <c r="G23" s="111"/>
      <c r="H23" s="112"/>
      <c r="I23" s="111"/>
      <c r="J23" s="111"/>
      <c r="L23" s="115"/>
      <c r="M23" s="116"/>
      <c r="N23" s="116"/>
      <c r="O23" s="117"/>
      <c r="Q23" s="223">
        <v>5111</v>
      </c>
      <c r="R23" s="1">
        <v>22</v>
      </c>
      <c r="S23" s="1">
        <v>39</v>
      </c>
    </row>
    <row r="24" spans="1:19">
      <c r="A24" s="93" t="s">
        <v>621</v>
      </c>
      <c r="B24" s="93"/>
      <c r="C24" s="93"/>
      <c r="D24" s="93"/>
      <c r="E24" s="96">
        <v>348.24</v>
      </c>
      <c r="F24" s="97">
        <v>7.8469693999999999</v>
      </c>
      <c r="G24" s="111"/>
      <c r="H24" s="112"/>
      <c r="I24" s="111"/>
      <c r="J24" s="111"/>
      <c r="L24" s="115"/>
      <c r="M24" s="116"/>
      <c r="N24" s="116"/>
      <c r="O24" s="117"/>
      <c r="Q24" s="223">
        <v>5476</v>
      </c>
      <c r="R24" s="1">
        <v>22</v>
      </c>
      <c r="S24" s="1">
        <v>40</v>
      </c>
    </row>
    <row r="25" spans="1:19">
      <c r="A25" s="93" t="s">
        <v>622</v>
      </c>
      <c r="B25" s="93"/>
      <c r="C25" s="93"/>
      <c r="D25" s="93"/>
      <c r="E25" s="96">
        <v>321.22000000000003</v>
      </c>
      <c r="F25" s="97">
        <v>34.530357000000002</v>
      </c>
      <c r="G25" s="111"/>
      <c r="H25" s="112"/>
      <c r="I25" s="111"/>
      <c r="J25" s="111"/>
      <c r="L25" s="115"/>
      <c r="M25" s="116"/>
      <c r="N25" s="116"/>
      <c r="O25" s="117"/>
      <c r="Q25" s="223">
        <v>5841</v>
      </c>
      <c r="R25" s="1">
        <v>22</v>
      </c>
      <c r="S25" s="1">
        <v>41</v>
      </c>
    </row>
    <row r="26" spans="1:19">
      <c r="A26" s="93" t="s">
        <v>623</v>
      </c>
      <c r="B26" s="93"/>
      <c r="C26" s="93"/>
      <c r="D26" s="93"/>
      <c r="E26" s="96">
        <v>323.64999999999998</v>
      </c>
      <c r="F26" s="97">
        <v>63.674032099999998</v>
      </c>
      <c r="G26" s="111"/>
      <c r="H26" s="112"/>
      <c r="I26" s="111"/>
      <c r="J26" s="111"/>
      <c r="L26" s="115"/>
      <c r="M26" s="116"/>
      <c r="N26" s="116"/>
      <c r="O26" s="117"/>
      <c r="Q26" s="223">
        <v>6206</v>
      </c>
      <c r="R26" s="1">
        <v>22</v>
      </c>
      <c r="S26" s="1">
        <v>41</v>
      </c>
    </row>
    <row r="27" spans="1:19">
      <c r="A27" s="93" t="s">
        <v>624</v>
      </c>
      <c r="B27" s="93"/>
      <c r="C27" s="93"/>
      <c r="D27" s="93"/>
      <c r="E27" s="96">
        <v>333.15</v>
      </c>
      <c r="F27" s="97">
        <v>94.090935999999999</v>
      </c>
      <c r="G27" s="111"/>
      <c r="H27" s="112"/>
      <c r="I27" s="111"/>
      <c r="J27" s="111"/>
      <c r="L27" s="115"/>
      <c r="M27" s="116"/>
      <c r="N27" s="116"/>
      <c r="O27" s="117"/>
      <c r="Q27" s="223">
        <v>6571</v>
      </c>
      <c r="R27" s="1">
        <v>22</v>
      </c>
      <c r="S27" s="1">
        <v>42</v>
      </c>
    </row>
    <row r="28" spans="1:19">
      <c r="A28" s="93" t="s">
        <v>625</v>
      </c>
      <c r="B28" s="93"/>
      <c r="C28" s="93"/>
      <c r="D28" s="93"/>
      <c r="E28" s="96">
        <v>352.44</v>
      </c>
      <c r="F28" s="97">
        <v>125.7515217</v>
      </c>
      <c r="G28" s="111"/>
      <c r="H28" s="112"/>
      <c r="I28" s="111"/>
      <c r="J28" s="111"/>
      <c r="L28" s="115"/>
      <c r="M28" s="116"/>
      <c r="N28" s="116"/>
      <c r="O28" s="117"/>
      <c r="Q28" s="223">
        <v>6936</v>
      </c>
      <c r="R28" s="1">
        <v>22</v>
      </c>
      <c r="S28" s="1">
        <v>43</v>
      </c>
    </row>
    <row r="29" spans="1:19">
      <c r="A29" s="93" t="s">
        <v>626</v>
      </c>
      <c r="B29" s="93"/>
      <c r="C29" s="93"/>
      <c r="D29" s="93"/>
      <c r="E29" s="96">
        <v>362.85</v>
      </c>
      <c r="F29" s="97">
        <v>157.72990179999999</v>
      </c>
      <c r="G29" s="111"/>
      <c r="H29" s="112"/>
      <c r="I29" s="111"/>
      <c r="J29" s="111"/>
      <c r="L29" s="115"/>
      <c r="M29" s="116"/>
      <c r="N29" s="116"/>
      <c r="O29" s="117"/>
      <c r="Q29" s="223">
        <v>7301</v>
      </c>
      <c r="R29" s="1">
        <v>22</v>
      </c>
      <c r="S29" s="1">
        <v>44</v>
      </c>
    </row>
    <row r="30" spans="1:19">
      <c r="A30" s="93" t="s">
        <v>627</v>
      </c>
      <c r="B30" s="93"/>
      <c r="C30" s="93"/>
      <c r="D30" s="93"/>
      <c r="E30" s="96">
        <v>348.24</v>
      </c>
      <c r="F30" s="97">
        <v>187.84696940000001</v>
      </c>
      <c r="G30" s="111"/>
      <c r="H30" s="112"/>
      <c r="I30" s="111"/>
      <c r="J30" s="111"/>
      <c r="L30" s="115"/>
      <c r="M30" s="116"/>
      <c r="N30" s="116"/>
      <c r="O30" s="117"/>
      <c r="Q30" s="223">
        <v>7666</v>
      </c>
      <c r="R30" s="1">
        <v>22</v>
      </c>
      <c r="S30" s="1">
        <v>45</v>
      </c>
    </row>
    <row r="31" spans="1:19">
      <c r="A31" s="93" t="s">
        <v>628</v>
      </c>
      <c r="B31" s="93"/>
      <c r="C31" s="93"/>
      <c r="D31" s="93"/>
      <c r="E31" s="96">
        <v>321.22000000000003</v>
      </c>
      <c r="F31" s="97">
        <v>214.53035700000001</v>
      </c>
      <c r="G31" s="111">
        <f>ROUND(F31-$Q$5,2)</f>
        <v>191.38</v>
      </c>
      <c r="H31" s="112">
        <f>IF(G31&lt;0,G31+360,(IF(G31&gt;360,G31-360,G31)))</f>
        <v>191.38</v>
      </c>
      <c r="I31" s="111">
        <f>FLOOR(C40/30,1)+1</f>
        <v>7</v>
      </c>
      <c r="J31" s="111">
        <f>C40 -(I31-1)*30</f>
        <v>12.27000000000001</v>
      </c>
      <c r="L31" s="115"/>
      <c r="M31" s="116">
        <f>I31</f>
        <v>7</v>
      </c>
      <c r="N31" s="116">
        <f>FLOOR(J31,1)</f>
        <v>12</v>
      </c>
      <c r="O31" s="117">
        <f>ROUND((J31-N31)*60,0)</f>
        <v>16</v>
      </c>
      <c r="Q31" s="224">
        <v>8031</v>
      </c>
      <c r="R31" s="1">
        <v>22</v>
      </c>
      <c r="S31" s="1">
        <v>46</v>
      </c>
    </row>
    <row r="32" spans="1:19">
      <c r="A32" s="93" t="s">
        <v>629</v>
      </c>
      <c r="B32" s="93"/>
      <c r="C32" s="93"/>
      <c r="D32" s="93"/>
      <c r="E32" s="96">
        <v>352.44</v>
      </c>
      <c r="F32" s="97">
        <v>125.7515217</v>
      </c>
      <c r="G32" s="111"/>
      <c r="H32" s="112"/>
      <c r="I32" s="111"/>
      <c r="J32" s="111"/>
      <c r="L32" s="115"/>
      <c r="M32" s="116"/>
      <c r="N32" s="116"/>
      <c r="O32" s="117"/>
      <c r="Q32" s="223">
        <v>8396</v>
      </c>
      <c r="R32" s="1">
        <v>22</v>
      </c>
      <c r="S32" s="1">
        <v>46</v>
      </c>
    </row>
    <row r="33" spans="1:19">
      <c r="A33" s="93" t="s">
        <v>630</v>
      </c>
      <c r="B33" s="93"/>
      <c r="C33" s="93"/>
      <c r="D33" s="93"/>
      <c r="E33" s="96">
        <v>360.98</v>
      </c>
      <c r="F33" s="97">
        <v>128.12276660000001</v>
      </c>
      <c r="G33" s="111"/>
      <c r="H33" s="112"/>
      <c r="I33" s="111"/>
      <c r="J33" s="111"/>
      <c r="L33" s="115"/>
      <c r="M33" s="116"/>
      <c r="N33" s="116"/>
      <c r="O33" s="117"/>
      <c r="Q33" s="223">
        <v>8761</v>
      </c>
      <c r="R33" s="1">
        <v>22</v>
      </c>
      <c r="S33" s="1">
        <v>47</v>
      </c>
    </row>
    <row r="34" spans="1:19" ht="13.8" thickBot="1">
      <c r="A34" s="93" t="s">
        <v>631</v>
      </c>
      <c r="B34" s="93"/>
      <c r="C34" s="93"/>
      <c r="D34" s="93"/>
      <c r="E34" s="98">
        <v>181.2</v>
      </c>
      <c r="F34" s="99">
        <v>106.2966751</v>
      </c>
      <c r="G34" s="111"/>
      <c r="H34" s="112"/>
      <c r="I34" s="111"/>
      <c r="J34" s="111"/>
      <c r="L34" s="118"/>
      <c r="M34" s="119"/>
      <c r="N34" s="119"/>
      <c r="O34" s="120"/>
      <c r="Q34" s="223">
        <v>9126</v>
      </c>
      <c r="R34" s="1">
        <v>22</v>
      </c>
      <c r="S34" s="1">
        <v>48</v>
      </c>
    </row>
    <row r="35" spans="1:19">
      <c r="A35" s="1" t="s">
        <v>220</v>
      </c>
      <c r="Q35" s="223">
        <v>9491</v>
      </c>
      <c r="R35" s="1">
        <v>22</v>
      </c>
      <c r="S35" s="1">
        <v>49</v>
      </c>
    </row>
    <row r="36" spans="1:19">
      <c r="A36" s="192" t="s">
        <v>311</v>
      </c>
      <c r="C36" s="1" t="s">
        <v>2</v>
      </c>
      <c r="D36" s="1" t="s">
        <v>3</v>
      </c>
      <c r="E36" s="1" t="s">
        <v>4</v>
      </c>
      <c r="F36" s="1" t="s">
        <v>5</v>
      </c>
      <c r="G36" s="1" t="s">
        <v>6</v>
      </c>
      <c r="H36" s="1" t="s">
        <v>7</v>
      </c>
      <c r="I36" s="1" t="s">
        <v>8</v>
      </c>
      <c r="J36" s="1" t="s">
        <v>9</v>
      </c>
      <c r="K36" s="1" t="s">
        <v>10</v>
      </c>
      <c r="L36" s="1" t="s">
        <v>11</v>
      </c>
      <c r="Q36" s="223">
        <v>9856</v>
      </c>
      <c r="R36" s="1">
        <v>22</v>
      </c>
      <c r="S36" s="1">
        <v>50</v>
      </c>
    </row>
    <row r="37" spans="1:19">
      <c r="A37" s="1" t="str">
        <f>DataEntry!K4</f>
        <v>natal</v>
      </c>
      <c r="B37" s="100" t="s">
        <v>230</v>
      </c>
      <c r="C37" s="1">
        <f>H31</f>
        <v>191.38</v>
      </c>
      <c r="D37" s="1">
        <f>H10</f>
        <v>150.55000000000001</v>
      </c>
      <c r="E37" s="1">
        <f>H11</f>
        <v>217.93</v>
      </c>
      <c r="F37" s="1">
        <f>H12</f>
        <v>150.87</v>
      </c>
      <c r="G37" s="1">
        <f>H13</f>
        <v>135.63</v>
      </c>
      <c r="H37" s="1">
        <f>H14</f>
        <v>210.91</v>
      </c>
      <c r="I37" s="1">
        <f>H15</f>
        <v>306.62</v>
      </c>
      <c r="J37" s="1">
        <f>H16</f>
        <v>149.66</v>
      </c>
      <c r="K37" s="1">
        <f>H18</f>
        <v>335.23</v>
      </c>
      <c r="L37" s="1">
        <f>IF((K37+180)&gt;360,K37-180,K37+180)</f>
        <v>155.23000000000002</v>
      </c>
      <c r="Q37" s="223">
        <v>10221</v>
      </c>
      <c r="R37" s="1">
        <v>22</v>
      </c>
      <c r="S37" s="1">
        <v>51</v>
      </c>
    </row>
    <row r="38" spans="1:19">
      <c r="A38" s="1" t="s">
        <v>220</v>
      </c>
      <c r="B38" s="100" t="s">
        <v>260</v>
      </c>
      <c r="C38" s="121"/>
      <c r="D38" s="121"/>
      <c r="E38" s="121"/>
      <c r="F38" s="1" t="str">
        <f>IF(E12&lt;0,"Y"," ")</f>
        <v>Y</v>
      </c>
      <c r="G38" s="1" t="str">
        <f>IF(E13&lt;0,"Y"," ")</f>
        <v xml:space="preserve"> </v>
      </c>
      <c r="H38" s="1" t="str">
        <f>IF(E14&lt;0,"Y"," ")</f>
        <v xml:space="preserve"> </v>
      </c>
      <c r="I38" s="1" t="str">
        <f>IF(E15&lt;0,"Y"," ")</f>
        <v>Y</v>
      </c>
      <c r="J38" s="1" t="str">
        <f>IF(E16&lt;0,"Y"," ")</f>
        <v xml:space="preserve"> </v>
      </c>
      <c r="K38" s="121"/>
      <c r="L38" s="121"/>
      <c r="Q38" s="223">
        <v>10586</v>
      </c>
      <c r="R38" s="1">
        <v>22</v>
      </c>
      <c r="S38" s="1">
        <v>51</v>
      </c>
    </row>
    <row r="39" spans="1:19">
      <c r="A39" s="1" t="s">
        <v>220</v>
      </c>
      <c r="Q39" s="223">
        <v>10951</v>
      </c>
      <c r="R39" s="1">
        <v>22</v>
      </c>
      <c r="S39" s="1">
        <v>52</v>
      </c>
    </row>
    <row r="40" spans="1:19">
      <c r="A40" s="100" t="s">
        <v>277</v>
      </c>
      <c r="B40" s="100" t="s">
        <v>230</v>
      </c>
      <c r="C40" s="93">
        <v>192.27</v>
      </c>
      <c r="D40" s="93">
        <v>150.55000000000001</v>
      </c>
      <c r="E40" s="93">
        <v>217.97</v>
      </c>
      <c r="F40" s="93">
        <v>150.87</v>
      </c>
      <c r="G40" s="93">
        <v>135.63</v>
      </c>
      <c r="H40" s="93">
        <v>210.91</v>
      </c>
      <c r="I40" s="93">
        <v>306.62</v>
      </c>
      <c r="J40" s="93">
        <v>149.66</v>
      </c>
      <c r="K40" s="93">
        <v>335.23</v>
      </c>
      <c r="L40" s="93">
        <v>155.23000000000002</v>
      </c>
      <c r="Q40" s="223">
        <v>11316</v>
      </c>
      <c r="R40" s="1">
        <v>22</v>
      </c>
      <c r="S40" s="1">
        <v>53</v>
      </c>
    </row>
    <row r="41" spans="1:19">
      <c r="A41" s="1" t="s">
        <v>220</v>
      </c>
      <c r="B41" s="100" t="s">
        <v>260</v>
      </c>
      <c r="C41" s="93"/>
      <c r="D41" s="93"/>
      <c r="E41" s="93"/>
      <c r="F41" s="93" t="s">
        <v>303</v>
      </c>
      <c r="G41" s="93" t="s">
        <v>310</v>
      </c>
      <c r="H41" s="93" t="s">
        <v>310</v>
      </c>
      <c r="I41" s="93" t="s">
        <v>303</v>
      </c>
      <c r="J41" s="93" t="s">
        <v>310</v>
      </c>
      <c r="K41" s="93"/>
      <c r="L41" s="93"/>
      <c r="Q41" s="223">
        <v>11681</v>
      </c>
      <c r="R41" s="1">
        <v>22</v>
      </c>
      <c r="S41" s="1">
        <v>54</v>
      </c>
    </row>
    <row r="42" spans="1:19">
      <c r="A42" s="1" t="s">
        <v>220</v>
      </c>
      <c r="C42" s="93"/>
      <c r="D42" s="93"/>
      <c r="E42" s="93"/>
      <c r="F42" s="93"/>
      <c r="G42" s="93"/>
      <c r="H42" s="93"/>
      <c r="I42" s="93"/>
      <c r="J42" s="93"/>
      <c r="K42" s="93"/>
      <c r="L42" s="93"/>
      <c r="Q42" s="223">
        <v>12046</v>
      </c>
      <c r="R42" s="1">
        <v>22</v>
      </c>
      <c r="S42" s="1">
        <v>55</v>
      </c>
    </row>
    <row r="43" spans="1:19">
      <c r="A43" s="100" t="s">
        <v>309</v>
      </c>
      <c r="B43" s="100" t="s">
        <v>230</v>
      </c>
      <c r="C43" s="93">
        <v>207</v>
      </c>
      <c r="D43" s="93">
        <v>35.33</v>
      </c>
      <c r="E43" s="93">
        <v>103.56</v>
      </c>
      <c r="F43" s="93">
        <v>17.46</v>
      </c>
      <c r="G43" s="93">
        <v>67.040000000000006</v>
      </c>
      <c r="H43" s="93">
        <v>277.52999999999997</v>
      </c>
      <c r="I43" s="93">
        <v>202.81</v>
      </c>
      <c r="J43" s="93">
        <v>254.23</v>
      </c>
      <c r="K43" s="93">
        <v>104.3</v>
      </c>
      <c r="L43" s="93">
        <v>284.3</v>
      </c>
      <c r="Q43" s="223">
        <v>12411</v>
      </c>
      <c r="R43" s="1">
        <v>22</v>
      </c>
      <c r="S43" s="1">
        <v>56</v>
      </c>
    </row>
    <row r="44" spans="1:19">
      <c r="A44" s="1" t="s">
        <v>220</v>
      </c>
      <c r="B44" s="100" t="s">
        <v>260</v>
      </c>
      <c r="C44" s="93"/>
      <c r="D44" s="93"/>
      <c r="E44" s="93"/>
      <c r="F44" s="93" t="s">
        <v>310</v>
      </c>
      <c r="G44" s="93" t="s">
        <v>310</v>
      </c>
      <c r="H44" s="93" t="s">
        <v>310</v>
      </c>
      <c r="I44" s="93" t="s">
        <v>303</v>
      </c>
      <c r="J44" s="93" t="s">
        <v>303</v>
      </c>
      <c r="K44" s="93"/>
      <c r="L44" s="93"/>
      <c r="Q44" s="223">
        <v>12776</v>
      </c>
      <c r="R44" s="1">
        <v>22</v>
      </c>
      <c r="S44" s="1">
        <v>56</v>
      </c>
    </row>
    <row r="45" spans="1:19">
      <c r="A45" s="1" t="s">
        <v>220</v>
      </c>
      <c r="Q45" s="223">
        <v>13141</v>
      </c>
      <c r="R45" s="1">
        <v>22</v>
      </c>
      <c r="S45" s="1">
        <v>57</v>
      </c>
    </row>
    <row r="46" spans="1:19">
      <c r="A46" s="1" t="s">
        <v>220</v>
      </c>
      <c r="Q46" s="223">
        <v>13506</v>
      </c>
      <c r="R46" s="1">
        <v>22</v>
      </c>
      <c r="S46" s="1">
        <v>58</v>
      </c>
    </row>
    <row r="47" spans="1:19">
      <c r="A47" s="1" t="s">
        <v>220</v>
      </c>
      <c r="Q47" s="223">
        <v>13871</v>
      </c>
      <c r="R47" s="1">
        <v>22</v>
      </c>
      <c r="S47" s="1">
        <v>59</v>
      </c>
    </row>
    <row r="48" spans="1:19">
      <c r="A48" s="1" t="s">
        <v>220</v>
      </c>
      <c r="Q48" s="223">
        <v>14236</v>
      </c>
      <c r="R48" s="1">
        <v>23</v>
      </c>
      <c r="S48" s="1">
        <v>0</v>
      </c>
    </row>
    <row r="49" spans="1:19">
      <c r="A49" s="1" t="s">
        <v>220</v>
      </c>
      <c r="Q49" s="223">
        <v>14601</v>
      </c>
      <c r="R49" s="1">
        <v>23</v>
      </c>
      <c r="S49" s="1">
        <v>1</v>
      </c>
    </row>
    <row r="50" spans="1:19">
      <c r="A50" s="1" t="s">
        <v>220</v>
      </c>
      <c r="Q50" s="223">
        <v>14966</v>
      </c>
      <c r="R50" s="1">
        <v>23</v>
      </c>
      <c r="S50" s="1">
        <v>1</v>
      </c>
    </row>
    <row r="51" spans="1:19">
      <c r="A51" s="1" t="s">
        <v>220</v>
      </c>
      <c r="Q51" s="223">
        <v>15331</v>
      </c>
      <c r="R51" s="1">
        <v>23</v>
      </c>
      <c r="S51" s="1">
        <v>2</v>
      </c>
    </row>
    <row r="52" spans="1:19">
      <c r="A52" s="1" t="s">
        <v>220</v>
      </c>
      <c r="Q52" s="223">
        <v>15696</v>
      </c>
      <c r="R52" s="1">
        <v>23</v>
      </c>
      <c r="S52" s="1">
        <v>3</v>
      </c>
    </row>
    <row r="53" spans="1:19">
      <c r="A53" s="1" t="s">
        <v>220</v>
      </c>
      <c r="Q53" s="223">
        <v>16061</v>
      </c>
      <c r="R53" s="1">
        <v>23</v>
      </c>
      <c r="S53" s="1">
        <v>4</v>
      </c>
    </row>
    <row r="54" spans="1:19">
      <c r="A54" s="1" t="s">
        <v>220</v>
      </c>
      <c r="Q54" s="223">
        <v>16426</v>
      </c>
      <c r="R54" s="1">
        <v>23</v>
      </c>
      <c r="S54" s="1">
        <v>5</v>
      </c>
    </row>
    <row r="55" spans="1:19">
      <c r="A55" s="1" t="s">
        <v>220</v>
      </c>
      <c r="Q55" s="223">
        <v>16791</v>
      </c>
      <c r="R55" s="1">
        <v>23</v>
      </c>
      <c r="S55" s="1">
        <v>6</v>
      </c>
    </row>
    <row r="56" spans="1:19">
      <c r="A56" s="1" t="s">
        <v>220</v>
      </c>
      <c r="Q56" s="223">
        <v>17156</v>
      </c>
      <c r="R56" s="1">
        <v>23</v>
      </c>
      <c r="S56" s="1">
        <v>6</v>
      </c>
    </row>
    <row r="57" spans="1:19">
      <c r="A57" s="1" t="s">
        <v>220</v>
      </c>
      <c r="Q57" s="223">
        <v>17521</v>
      </c>
      <c r="R57" s="1">
        <v>23</v>
      </c>
      <c r="S57" s="1">
        <v>7</v>
      </c>
    </row>
    <row r="58" spans="1:19">
      <c r="A58" s="1" t="s">
        <v>220</v>
      </c>
      <c r="Q58" s="223">
        <v>17886</v>
      </c>
      <c r="R58" s="1">
        <v>23</v>
      </c>
      <c r="S58" s="1">
        <v>8</v>
      </c>
    </row>
    <row r="59" spans="1:19">
      <c r="A59" s="1" t="s">
        <v>220</v>
      </c>
      <c r="Q59" s="223">
        <v>18251</v>
      </c>
      <c r="R59" s="1">
        <v>23</v>
      </c>
      <c r="S59" s="1">
        <v>9</v>
      </c>
    </row>
    <row r="60" spans="1:19">
      <c r="A60" s="1" t="s">
        <v>220</v>
      </c>
      <c r="Q60" s="223">
        <v>18616</v>
      </c>
      <c r="R60" s="1">
        <v>23</v>
      </c>
      <c r="S60" s="1">
        <v>10</v>
      </c>
    </row>
    <row r="61" spans="1:19">
      <c r="A61" s="1" t="s">
        <v>220</v>
      </c>
      <c r="Q61" s="223">
        <v>18981</v>
      </c>
      <c r="R61" s="1">
        <v>23</v>
      </c>
      <c r="S61" s="1">
        <v>11</v>
      </c>
    </row>
    <row r="62" spans="1:19">
      <c r="A62" s="1" t="s">
        <v>220</v>
      </c>
      <c r="Q62" s="223">
        <v>19346</v>
      </c>
      <c r="R62" s="1">
        <v>23</v>
      </c>
      <c r="S62" s="1">
        <v>12</v>
      </c>
    </row>
    <row r="63" spans="1:19">
      <c r="A63" s="1" t="s">
        <v>220</v>
      </c>
      <c r="Q63" s="223">
        <v>19711</v>
      </c>
      <c r="R63" s="1">
        <v>23</v>
      </c>
      <c r="S63" s="1">
        <v>12</v>
      </c>
    </row>
    <row r="64" spans="1:19">
      <c r="A64" s="1" t="s">
        <v>220</v>
      </c>
      <c r="Q64" s="223">
        <v>20076</v>
      </c>
      <c r="R64" s="1">
        <v>23</v>
      </c>
      <c r="S64" s="1">
        <v>13</v>
      </c>
    </row>
    <row r="65" spans="1:19">
      <c r="A65" s="1" t="s">
        <v>220</v>
      </c>
      <c r="Q65" s="223">
        <v>20441</v>
      </c>
      <c r="R65" s="1">
        <v>23</v>
      </c>
      <c r="S65" s="1">
        <v>14</v>
      </c>
    </row>
    <row r="66" spans="1:19">
      <c r="A66" s="1" t="s">
        <v>220</v>
      </c>
      <c r="Q66" s="223">
        <v>20806</v>
      </c>
      <c r="R66" s="1">
        <v>23</v>
      </c>
      <c r="S66" s="1">
        <v>15</v>
      </c>
    </row>
    <row r="67" spans="1:19">
      <c r="A67" s="1" t="s">
        <v>220</v>
      </c>
      <c r="Q67" s="223">
        <v>21171</v>
      </c>
      <c r="R67" s="1">
        <v>23</v>
      </c>
      <c r="S67" s="1">
        <v>16</v>
      </c>
    </row>
    <row r="68" spans="1:19">
      <c r="A68" s="1" t="s">
        <v>220</v>
      </c>
      <c r="Q68" s="223">
        <v>21536</v>
      </c>
      <c r="R68" s="1">
        <v>23</v>
      </c>
      <c r="S68" s="1">
        <v>17</v>
      </c>
    </row>
    <row r="69" spans="1:19">
      <c r="A69" s="1" t="s">
        <v>220</v>
      </c>
      <c r="Q69" s="223">
        <v>21901</v>
      </c>
      <c r="R69" s="1">
        <v>23</v>
      </c>
      <c r="S69" s="1">
        <v>17</v>
      </c>
    </row>
    <row r="70" spans="1:19">
      <c r="A70" s="1" t="s">
        <v>220</v>
      </c>
      <c r="Q70" s="223">
        <v>22266</v>
      </c>
      <c r="R70" s="1">
        <v>23</v>
      </c>
      <c r="S70" s="1">
        <v>18</v>
      </c>
    </row>
    <row r="71" spans="1:19">
      <c r="A71" s="1" t="s">
        <v>220</v>
      </c>
      <c r="Q71" s="223">
        <v>22631</v>
      </c>
      <c r="R71" s="1">
        <v>23</v>
      </c>
      <c r="S71" s="1">
        <v>19</v>
      </c>
    </row>
    <row r="72" spans="1:19">
      <c r="A72" s="1" t="s">
        <v>220</v>
      </c>
      <c r="Q72" s="223">
        <v>22996</v>
      </c>
      <c r="R72" s="1">
        <v>23</v>
      </c>
      <c r="S72" s="1">
        <v>20</v>
      </c>
    </row>
    <row r="73" spans="1:19">
      <c r="A73" s="1" t="s">
        <v>220</v>
      </c>
      <c r="Q73" s="223">
        <v>23361</v>
      </c>
      <c r="R73" s="1">
        <v>23</v>
      </c>
      <c r="S73" s="1">
        <v>21</v>
      </c>
    </row>
    <row r="74" spans="1:19">
      <c r="A74" s="1" t="s">
        <v>220</v>
      </c>
      <c r="Q74" s="223">
        <v>23726</v>
      </c>
      <c r="R74" s="1">
        <v>23</v>
      </c>
      <c r="S74" s="1">
        <v>22</v>
      </c>
    </row>
    <row r="75" spans="1:19">
      <c r="A75" s="1" t="s">
        <v>220</v>
      </c>
      <c r="Q75" s="223">
        <v>24091</v>
      </c>
      <c r="R75" s="1">
        <v>23</v>
      </c>
      <c r="S75" s="1">
        <v>22</v>
      </c>
    </row>
    <row r="76" spans="1:19">
      <c r="A76" s="1" t="s">
        <v>220</v>
      </c>
      <c r="Q76" s="223">
        <v>24456</v>
      </c>
      <c r="R76" s="1">
        <v>23</v>
      </c>
      <c r="S76" s="1">
        <v>23</v>
      </c>
    </row>
    <row r="77" spans="1:19">
      <c r="A77" s="1" t="s">
        <v>220</v>
      </c>
      <c r="Q77" s="223">
        <v>24821</v>
      </c>
      <c r="R77" s="1">
        <v>23</v>
      </c>
      <c r="S77" s="1">
        <v>24</v>
      </c>
    </row>
    <row r="78" spans="1:19">
      <c r="A78" s="1" t="s">
        <v>220</v>
      </c>
      <c r="Q78" s="223">
        <v>25186</v>
      </c>
      <c r="R78" s="1">
        <v>23</v>
      </c>
      <c r="S78" s="1">
        <v>25</v>
      </c>
    </row>
    <row r="79" spans="1:19">
      <c r="A79" s="1" t="s">
        <v>220</v>
      </c>
      <c r="Q79" s="223">
        <v>25551</v>
      </c>
      <c r="R79" s="1">
        <v>23</v>
      </c>
      <c r="S79" s="1">
        <v>26</v>
      </c>
    </row>
    <row r="80" spans="1:19">
      <c r="A80" s="1" t="s">
        <v>220</v>
      </c>
      <c r="Q80" s="223">
        <v>25916</v>
      </c>
      <c r="R80" s="1">
        <v>23</v>
      </c>
      <c r="S80" s="1">
        <v>27</v>
      </c>
    </row>
    <row r="81" spans="1:19">
      <c r="A81" s="1" t="s">
        <v>220</v>
      </c>
      <c r="Q81" s="223">
        <v>26281</v>
      </c>
      <c r="R81" s="1">
        <v>23</v>
      </c>
      <c r="S81" s="1">
        <v>27</v>
      </c>
    </row>
    <row r="82" spans="1:19">
      <c r="A82" s="1" t="s">
        <v>220</v>
      </c>
      <c r="Q82" s="223">
        <v>26646</v>
      </c>
      <c r="R82" s="1">
        <v>23</v>
      </c>
      <c r="S82" s="1">
        <v>28</v>
      </c>
    </row>
    <row r="83" spans="1:19">
      <c r="A83" s="1" t="s">
        <v>220</v>
      </c>
      <c r="Q83" s="223">
        <v>27011</v>
      </c>
      <c r="R83" s="1">
        <v>23</v>
      </c>
      <c r="S83" s="1">
        <v>29</v>
      </c>
    </row>
    <row r="84" spans="1:19">
      <c r="A84" s="1" t="s">
        <v>220</v>
      </c>
      <c r="Q84" s="223">
        <v>27376</v>
      </c>
      <c r="R84" s="1">
        <v>23</v>
      </c>
      <c r="S84" s="1">
        <v>30</v>
      </c>
    </row>
    <row r="85" spans="1:19">
      <c r="A85" s="1" t="s">
        <v>220</v>
      </c>
      <c r="Q85" s="223">
        <v>27741</v>
      </c>
      <c r="R85" s="1">
        <v>23</v>
      </c>
      <c r="S85" s="1">
        <v>31</v>
      </c>
    </row>
    <row r="86" spans="1:19">
      <c r="A86" s="1" t="s">
        <v>220</v>
      </c>
      <c r="Q86" s="223">
        <v>28106</v>
      </c>
      <c r="R86" s="1">
        <v>23</v>
      </c>
      <c r="S86" s="1">
        <v>32</v>
      </c>
    </row>
    <row r="87" spans="1:19">
      <c r="A87" s="1" t="s">
        <v>220</v>
      </c>
      <c r="Q87" s="223">
        <v>28471</v>
      </c>
      <c r="R87" s="1">
        <v>23</v>
      </c>
      <c r="S87" s="1">
        <v>32</v>
      </c>
    </row>
    <row r="88" spans="1:19">
      <c r="A88" s="1" t="s">
        <v>220</v>
      </c>
      <c r="Q88" s="223">
        <v>28836</v>
      </c>
      <c r="R88" s="1">
        <v>23</v>
      </c>
      <c r="S88" s="1">
        <v>33</v>
      </c>
    </row>
    <row r="89" spans="1:19">
      <c r="A89" s="1" t="s">
        <v>220</v>
      </c>
      <c r="Q89" s="223">
        <v>29201</v>
      </c>
      <c r="R89" s="1">
        <v>23</v>
      </c>
      <c r="S89" s="1">
        <v>34</v>
      </c>
    </row>
    <row r="90" spans="1:19">
      <c r="A90" s="1" t="s">
        <v>220</v>
      </c>
      <c r="Q90" s="223">
        <v>29566</v>
      </c>
      <c r="R90" s="1">
        <v>23</v>
      </c>
      <c r="S90" s="1">
        <v>35</v>
      </c>
    </row>
    <row r="91" spans="1:19">
      <c r="A91" s="1" t="s">
        <v>220</v>
      </c>
      <c r="Q91" s="223">
        <v>29931</v>
      </c>
      <c r="R91" s="1">
        <v>23</v>
      </c>
      <c r="S91" s="1">
        <v>36</v>
      </c>
    </row>
    <row r="92" spans="1:19">
      <c r="A92" s="1" t="s">
        <v>220</v>
      </c>
      <c r="Q92" s="223">
        <v>30296</v>
      </c>
      <c r="R92" s="1">
        <v>23</v>
      </c>
      <c r="S92" s="1">
        <v>37</v>
      </c>
    </row>
    <row r="93" spans="1:19">
      <c r="A93" s="1" t="s">
        <v>220</v>
      </c>
      <c r="Q93" s="223">
        <v>30661</v>
      </c>
      <c r="R93" s="1">
        <v>23</v>
      </c>
      <c r="S93" s="1">
        <v>37</v>
      </c>
    </row>
    <row r="94" spans="1:19">
      <c r="A94" s="1" t="s">
        <v>220</v>
      </c>
      <c r="Q94" s="223">
        <v>31026</v>
      </c>
      <c r="R94" s="1">
        <v>23</v>
      </c>
      <c r="S94" s="1">
        <v>38</v>
      </c>
    </row>
    <row r="95" spans="1:19">
      <c r="A95" s="1" t="s">
        <v>220</v>
      </c>
      <c r="Q95" s="223">
        <v>31391</v>
      </c>
      <c r="R95" s="1">
        <v>23</v>
      </c>
      <c r="S95" s="1">
        <v>39</v>
      </c>
    </row>
    <row r="96" spans="1:19">
      <c r="A96" s="1" t="s">
        <v>220</v>
      </c>
      <c r="Q96" s="223">
        <v>31756</v>
      </c>
      <c r="R96" s="1">
        <v>23</v>
      </c>
      <c r="S96" s="1">
        <v>40</v>
      </c>
    </row>
    <row r="97" spans="1:19">
      <c r="A97" s="1" t="s">
        <v>220</v>
      </c>
      <c r="Q97" s="223">
        <v>32121</v>
      </c>
      <c r="R97" s="1">
        <v>23</v>
      </c>
      <c r="S97" s="1">
        <v>41</v>
      </c>
    </row>
    <row r="98" spans="1:19">
      <c r="A98" s="1" t="s">
        <v>220</v>
      </c>
      <c r="Q98" s="223">
        <v>32486</v>
      </c>
      <c r="R98" s="1">
        <v>23</v>
      </c>
      <c r="S98" s="1">
        <v>42</v>
      </c>
    </row>
    <row r="99" spans="1:19">
      <c r="A99" s="1" t="s">
        <v>220</v>
      </c>
      <c r="Q99" s="223">
        <v>32851</v>
      </c>
      <c r="R99" s="1">
        <v>23</v>
      </c>
      <c r="S99" s="1">
        <v>42</v>
      </c>
    </row>
    <row r="100" spans="1:19">
      <c r="A100" s="1" t="s">
        <v>220</v>
      </c>
      <c r="Q100" s="223">
        <v>33216</v>
      </c>
      <c r="R100" s="1">
        <v>23</v>
      </c>
      <c r="S100" s="1">
        <v>43</v>
      </c>
    </row>
    <row r="101" spans="1:19">
      <c r="A101" s="1" t="s">
        <v>220</v>
      </c>
      <c r="Q101" s="223">
        <v>33581</v>
      </c>
      <c r="R101" s="1">
        <v>23</v>
      </c>
      <c r="S101" s="1">
        <v>44</v>
      </c>
    </row>
    <row r="102" spans="1:19">
      <c r="A102" s="1" t="s">
        <v>220</v>
      </c>
      <c r="Q102" s="223">
        <v>33946</v>
      </c>
      <c r="R102" s="1">
        <v>23</v>
      </c>
      <c r="S102" s="1">
        <v>45</v>
      </c>
    </row>
    <row r="103" spans="1:19">
      <c r="A103" s="1" t="s">
        <v>220</v>
      </c>
      <c r="Q103" s="223">
        <v>34311</v>
      </c>
      <c r="R103" s="1">
        <v>23</v>
      </c>
      <c r="S103" s="1">
        <v>46</v>
      </c>
    </row>
    <row r="104" spans="1:19">
      <c r="A104" s="1" t="s">
        <v>220</v>
      </c>
      <c r="Q104" s="223">
        <v>34676</v>
      </c>
      <c r="R104" s="1">
        <v>23</v>
      </c>
      <c r="S104" s="1">
        <v>47</v>
      </c>
    </row>
    <row r="105" spans="1:19">
      <c r="A105" s="1" t="s">
        <v>220</v>
      </c>
      <c r="Q105" s="223">
        <v>35041</v>
      </c>
      <c r="R105" s="1">
        <v>23</v>
      </c>
      <c r="S105" s="1">
        <v>48</v>
      </c>
    </row>
    <row r="106" spans="1:19">
      <c r="A106" s="1" t="s">
        <v>220</v>
      </c>
      <c r="Q106" s="223">
        <v>35406</v>
      </c>
      <c r="R106" s="1">
        <v>23</v>
      </c>
      <c r="S106" s="1">
        <v>48</v>
      </c>
    </row>
    <row r="107" spans="1:19">
      <c r="A107" s="1" t="s">
        <v>220</v>
      </c>
      <c r="Q107" s="223">
        <v>35771</v>
      </c>
      <c r="R107" s="1">
        <v>23</v>
      </c>
      <c r="S107" s="1">
        <v>49</v>
      </c>
    </row>
    <row r="108" spans="1:19">
      <c r="Q108" s="223">
        <v>36136</v>
      </c>
      <c r="R108" s="1">
        <v>23</v>
      </c>
      <c r="S108" s="1">
        <v>50</v>
      </c>
    </row>
    <row r="109" spans="1:19">
      <c r="Q109" s="223">
        <v>36501</v>
      </c>
      <c r="R109" s="1">
        <v>23</v>
      </c>
      <c r="S109" s="1">
        <v>51</v>
      </c>
    </row>
    <row r="110" spans="1:19">
      <c r="Q110" s="223">
        <v>36866</v>
      </c>
      <c r="R110" s="1">
        <v>23</v>
      </c>
      <c r="S110" s="1">
        <v>52</v>
      </c>
    </row>
    <row r="111" spans="1:19">
      <c r="Q111" s="223">
        <v>37231</v>
      </c>
      <c r="R111" s="1">
        <v>23</v>
      </c>
      <c r="S111" s="1">
        <v>53</v>
      </c>
    </row>
    <row r="112" spans="1:19">
      <c r="Q112" s="223">
        <v>37596</v>
      </c>
      <c r="R112" s="1">
        <v>23</v>
      </c>
      <c r="S112" s="1">
        <v>53</v>
      </c>
    </row>
    <row r="113" spans="17:19">
      <c r="Q113" s="223">
        <v>37961</v>
      </c>
      <c r="R113" s="1">
        <v>23</v>
      </c>
      <c r="S113" s="1">
        <v>54</v>
      </c>
    </row>
    <row r="114" spans="17:19">
      <c r="Q114" s="223">
        <v>38326</v>
      </c>
      <c r="R114" s="1">
        <v>23</v>
      </c>
      <c r="S114" s="1">
        <v>55</v>
      </c>
    </row>
    <row r="115" spans="17:19">
      <c r="Q115" s="223">
        <v>38691</v>
      </c>
      <c r="R115" s="1">
        <v>23</v>
      </c>
      <c r="S115" s="1">
        <v>56</v>
      </c>
    </row>
    <row r="116" spans="17:19">
      <c r="Q116" s="223">
        <v>39056</v>
      </c>
      <c r="R116" s="1">
        <v>23</v>
      </c>
      <c r="S116" s="1">
        <v>57</v>
      </c>
    </row>
    <row r="117" spans="17:19">
      <c r="Q117" s="223">
        <v>39421</v>
      </c>
      <c r="R117" s="1">
        <v>23</v>
      </c>
      <c r="S117" s="1">
        <v>58</v>
      </c>
    </row>
    <row r="118" spans="17:19">
      <c r="Q118" s="223">
        <v>39786</v>
      </c>
      <c r="R118" s="1">
        <v>23</v>
      </c>
      <c r="S118" s="1">
        <v>58</v>
      </c>
    </row>
    <row r="119" spans="17:19">
      <c r="Q119" s="223">
        <v>40151</v>
      </c>
      <c r="R119" s="1">
        <v>23</v>
      </c>
      <c r="S119" s="1">
        <v>59</v>
      </c>
    </row>
    <row r="120" spans="17:19">
      <c r="Q120" s="223">
        <v>40516</v>
      </c>
      <c r="R120" s="1">
        <v>24</v>
      </c>
      <c r="S120" s="1">
        <v>0</v>
      </c>
    </row>
    <row r="121" spans="17:19">
      <c r="Q121" s="223">
        <v>40881</v>
      </c>
      <c r="R121" s="1">
        <v>24</v>
      </c>
      <c r="S121" s="1">
        <v>1</v>
      </c>
    </row>
    <row r="122" spans="17:19">
      <c r="Q122" s="223">
        <v>41246</v>
      </c>
      <c r="R122" s="1">
        <v>24</v>
      </c>
      <c r="S122" s="1">
        <v>2</v>
      </c>
    </row>
    <row r="123" spans="17:19">
      <c r="Q123" s="223">
        <v>41611</v>
      </c>
      <c r="R123" s="1">
        <v>24</v>
      </c>
      <c r="S123" s="1">
        <v>3</v>
      </c>
    </row>
    <row r="124" spans="17:19">
      <c r="Q124" s="223">
        <v>41976</v>
      </c>
      <c r="R124" s="1">
        <v>24</v>
      </c>
      <c r="S124" s="1">
        <v>3</v>
      </c>
    </row>
    <row r="125" spans="17:19">
      <c r="Q125" s="223">
        <v>42341</v>
      </c>
      <c r="R125" s="1">
        <v>24</v>
      </c>
      <c r="S125" s="1">
        <v>4</v>
      </c>
    </row>
    <row r="126" spans="17:19">
      <c r="Q126" s="223">
        <v>42706</v>
      </c>
      <c r="R126" s="1">
        <v>24</v>
      </c>
      <c r="S126" s="1">
        <v>5</v>
      </c>
    </row>
    <row r="127" spans="17:19">
      <c r="Q127" s="223">
        <v>43071</v>
      </c>
      <c r="R127" s="1">
        <v>24</v>
      </c>
      <c r="S127" s="1">
        <v>6</v>
      </c>
    </row>
    <row r="128" spans="17:19">
      <c r="Q128" s="223">
        <v>43436</v>
      </c>
      <c r="R128" s="1">
        <v>24</v>
      </c>
      <c r="S128" s="1">
        <v>7</v>
      </c>
    </row>
    <row r="129" spans="17:19">
      <c r="Q129" s="223">
        <v>43801</v>
      </c>
      <c r="R129" s="1">
        <v>24</v>
      </c>
      <c r="S129" s="1">
        <v>8</v>
      </c>
    </row>
    <row r="130" spans="17:19">
      <c r="Q130" s="223">
        <v>44166</v>
      </c>
      <c r="R130" s="1">
        <v>24</v>
      </c>
      <c r="S130" s="1">
        <v>8</v>
      </c>
    </row>
    <row r="131" spans="17:19">
      <c r="Q131" s="223">
        <v>44531</v>
      </c>
      <c r="R131" s="1">
        <v>24</v>
      </c>
      <c r="S131" s="1">
        <v>9</v>
      </c>
    </row>
    <row r="132" spans="17:19">
      <c r="Q132" s="223">
        <v>44896</v>
      </c>
      <c r="R132" s="1">
        <v>24</v>
      </c>
      <c r="S132" s="1">
        <v>10</v>
      </c>
    </row>
    <row r="133" spans="17:19">
      <c r="Q133" s="223">
        <v>45261</v>
      </c>
      <c r="R133" s="1">
        <v>24</v>
      </c>
      <c r="S133" s="1">
        <v>11</v>
      </c>
    </row>
    <row r="134" spans="17:19">
      <c r="Q134" s="223">
        <v>45626</v>
      </c>
      <c r="R134" s="1">
        <v>24</v>
      </c>
      <c r="S134" s="1">
        <v>12</v>
      </c>
    </row>
    <row r="135" spans="17:19">
      <c r="Q135" s="223">
        <v>45991</v>
      </c>
      <c r="R135" s="1">
        <v>24</v>
      </c>
      <c r="S135" s="1">
        <v>13</v>
      </c>
    </row>
    <row r="136" spans="17:19">
      <c r="Q136" s="223">
        <v>46356</v>
      </c>
      <c r="R136" s="1">
        <v>24</v>
      </c>
      <c r="S136" s="1">
        <v>13</v>
      </c>
    </row>
    <row r="137" spans="17:19">
      <c r="Q137" s="223">
        <v>46721</v>
      </c>
      <c r="R137" s="1">
        <v>24</v>
      </c>
      <c r="S137" s="1">
        <v>14</v>
      </c>
    </row>
    <row r="138" spans="17:19">
      <c r="Q138" s="223">
        <v>47086</v>
      </c>
      <c r="R138" s="1">
        <v>24</v>
      </c>
      <c r="S138" s="1">
        <v>15</v>
      </c>
    </row>
    <row r="139" spans="17:19">
      <c r="Q139" s="223">
        <v>47451</v>
      </c>
      <c r="R139" s="1">
        <v>24</v>
      </c>
      <c r="S139" s="1">
        <v>16</v>
      </c>
    </row>
    <row r="140" spans="17:19">
      <c r="Q140" s="223">
        <v>47816</v>
      </c>
      <c r="R140" s="1">
        <v>24</v>
      </c>
      <c r="S140" s="1">
        <v>17</v>
      </c>
    </row>
    <row r="141" spans="17:19">
      <c r="Q141" s="223">
        <v>48181</v>
      </c>
      <c r="R141" s="1">
        <v>24</v>
      </c>
      <c r="S141" s="1">
        <v>18</v>
      </c>
    </row>
    <row r="142" spans="17:19">
      <c r="Q142" s="223">
        <v>48546</v>
      </c>
      <c r="R142" s="1">
        <v>24</v>
      </c>
      <c r="S142" s="1">
        <v>19</v>
      </c>
    </row>
    <row r="143" spans="17:19">
      <c r="Q143" s="223">
        <v>48911</v>
      </c>
      <c r="R143" s="1">
        <v>24</v>
      </c>
      <c r="S143" s="1">
        <v>19</v>
      </c>
    </row>
    <row r="144" spans="17:19">
      <c r="Q144" s="223">
        <v>49276</v>
      </c>
      <c r="R144" s="1">
        <v>24</v>
      </c>
      <c r="S144" s="1">
        <v>20</v>
      </c>
    </row>
    <row r="145" spans="17:19">
      <c r="Q145" s="223">
        <v>49641</v>
      </c>
      <c r="R145" s="1">
        <v>24</v>
      </c>
      <c r="S145" s="1">
        <v>21</v>
      </c>
    </row>
    <row r="146" spans="17:19">
      <c r="Q146" s="223">
        <v>50006</v>
      </c>
      <c r="R146" s="1">
        <v>24</v>
      </c>
      <c r="S146" s="1">
        <v>22</v>
      </c>
    </row>
    <row r="147" spans="17:19">
      <c r="Q147" s="223">
        <v>50371</v>
      </c>
      <c r="R147" s="1">
        <v>24</v>
      </c>
      <c r="S147" s="1">
        <v>23</v>
      </c>
    </row>
    <row r="148" spans="17:19">
      <c r="Q148" s="223">
        <v>50736</v>
      </c>
      <c r="R148" s="1">
        <v>24</v>
      </c>
      <c r="S148" s="1">
        <v>24</v>
      </c>
    </row>
    <row r="149" spans="17:19">
      <c r="Q149" s="223">
        <v>51101</v>
      </c>
      <c r="R149" s="1">
        <v>24</v>
      </c>
      <c r="S149" s="1">
        <v>24</v>
      </c>
    </row>
    <row r="150" spans="17:19">
      <c r="Q150" s="223">
        <v>51466</v>
      </c>
      <c r="R150" s="1">
        <v>24</v>
      </c>
      <c r="S150" s="1">
        <v>25</v>
      </c>
    </row>
    <row r="151" spans="17:19">
      <c r="Q151" s="223">
        <v>51831</v>
      </c>
      <c r="R151" s="1">
        <v>24</v>
      </c>
      <c r="S151" s="1">
        <v>26</v>
      </c>
    </row>
    <row r="152" spans="17:19">
      <c r="Q152" s="223">
        <v>52196</v>
      </c>
      <c r="R152" s="1">
        <v>24</v>
      </c>
      <c r="S152" s="1">
        <v>27</v>
      </c>
    </row>
    <row r="153" spans="17:19">
      <c r="Q153" s="223">
        <v>52561</v>
      </c>
      <c r="R153" s="1">
        <v>24</v>
      </c>
      <c r="S153" s="1">
        <v>28</v>
      </c>
    </row>
    <row r="154" spans="17:19">
      <c r="Q154" s="223">
        <v>52926</v>
      </c>
      <c r="R154" s="1">
        <v>24</v>
      </c>
      <c r="S154" s="1">
        <v>29</v>
      </c>
    </row>
    <row r="155" spans="17:19">
      <c r="Q155" s="223">
        <v>53291</v>
      </c>
      <c r="R155" s="1">
        <v>24</v>
      </c>
      <c r="S155" s="1">
        <v>29</v>
      </c>
    </row>
    <row r="156" spans="17:19">
      <c r="Q156" s="223">
        <v>53656</v>
      </c>
      <c r="R156" s="1">
        <v>24</v>
      </c>
      <c r="S156" s="1">
        <v>30</v>
      </c>
    </row>
    <row r="157" spans="17:19">
      <c r="Q157" s="223">
        <v>54021</v>
      </c>
      <c r="R157" s="1">
        <v>24</v>
      </c>
      <c r="S157" s="1">
        <v>31</v>
      </c>
    </row>
    <row r="158" spans="17:19">
      <c r="Q158" s="223">
        <v>54386</v>
      </c>
      <c r="R158" s="1">
        <v>24</v>
      </c>
      <c r="S158" s="1">
        <v>32</v>
      </c>
    </row>
    <row r="159" spans="17:19">
      <c r="Q159" s="223">
        <v>54751</v>
      </c>
      <c r="R159" s="1">
        <v>24</v>
      </c>
      <c r="S159" s="1">
        <v>33</v>
      </c>
    </row>
    <row r="160" spans="17:19">
      <c r="Q160" s="223">
        <v>55116</v>
      </c>
      <c r="R160" s="1">
        <v>24</v>
      </c>
      <c r="S160" s="1">
        <v>34</v>
      </c>
    </row>
    <row r="161" spans="17:19">
      <c r="Q161" s="223">
        <v>55481</v>
      </c>
      <c r="R161" s="1">
        <v>24</v>
      </c>
      <c r="S161" s="1">
        <v>34</v>
      </c>
    </row>
    <row r="162" spans="17:19">
      <c r="Q162" s="223">
        <v>55846</v>
      </c>
      <c r="R162" s="1">
        <v>24</v>
      </c>
      <c r="S162" s="1">
        <v>35</v>
      </c>
    </row>
    <row r="163" spans="17:19">
      <c r="Q163" s="223">
        <v>56211</v>
      </c>
      <c r="R163" s="1">
        <v>24</v>
      </c>
      <c r="S163" s="1">
        <v>36</v>
      </c>
    </row>
    <row r="164" spans="17:19">
      <c r="Q164" s="223">
        <v>56576</v>
      </c>
      <c r="R164" s="1">
        <v>24</v>
      </c>
      <c r="S164" s="1">
        <v>37</v>
      </c>
    </row>
    <row r="165" spans="17:19">
      <c r="Q165" s="223">
        <v>56941</v>
      </c>
      <c r="R165" s="1">
        <v>24</v>
      </c>
      <c r="S165" s="1">
        <v>38</v>
      </c>
    </row>
    <row r="166" spans="17:19">
      <c r="Q166" s="223">
        <v>57306</v>
      </c>
      <c r="R166" s="1">
        <v>24</v>
      </c>
      <c r="S166" s="1">
        <v>39</v>
      </c>
    </row>
    <row r="167" spans="17:19">
      <c r="Q167" s="223">
        <v>57671</v>
      </c>
      <c r="R167" s="1">
        <v>24</v>
      </c>
      <c r="S167" s="1">
        <v>39</v>
      </c>
    </row>
    <row r="168" spans="17:19">
      <c r="Q168" s="223">
        <v>58036</v>
      </c>
      <c r="R168" s="1">
        <v>24</v>
      </c>
      <c r="S168" s="1">
        <v>40</v>
      </c>
    </row>
    <row r="169" spans="17:19">
      <c r="Q169" s="223">
        <v>58401</v>
      </c>
      <c r="R169" s="1">
        <v>24</v>
      </c>
      <c r="S169" s="1">
        <v>41</v>
      </c>
    </row>
    <row r="170" spans="17:19">
      <c r="Q170" s="223">
        <v>58766</v>
      </c>
      <c r="R170" s="1">
        <v>24</v>
      </c>
      <c r="S170" s="1">
        <v>42</v>
      </c>
    </row>
    <row r="171" spans="17:19">
      <c r="Q171" s="223">
        <v>59131</v>
      </c>
      <c r="R171" s="1">
        <v>24</v>
      </c>
      <c r="S171" s="1">
        <v>43</v>
      </c>
    </row>
    <row r="172" spans="17:19">
      <c r="Q172" s="223">
        <v>59496</v>
      </c>
      <c r="R172" s="1">
        <v>24</v>
      </c>
      <c r="S172" s="1">
        <v>44</v>
      </c>
    </row>
    <row r="173" spans="17:19">
      <c r="Q173" s="223">
        <v>59861</v>
      </c>
      <c r="R173" s="1">
        <v>24</v>
      </c>
      <c r="S173" s="1">
        <v>44</v>
      </c>
    </row>
    <row r="174" spans="17:19">
      <c r="Q174" s="223">
        <v>60226</v>
      </c>
      <c r="R174" s="1">
        <v>24</v>
      </c>
      <c r="S174" s="1">
        <v>45</v>
      </c>
    </row>
    <row r="175" spans="17:19">
      <c r="Q175" s="223">
        <v>60591</v>
      </c>
      <c r="R175" s="1">
        <v>24</v>
      </c>
      <c r="S175" s="1">
        <v>46</v>
      </c>
    </row>
    <row r="176" spans="17:19">
      <c r="Q176" s="223">
        <v>60956</v>
      </c>
      <c r="R176" s="1">
        <v>24</v>
      </c>
      <c r="S176" s="1">
        <v>47</v>
      </c>
    </row>
    <row r="177" spans="17:19">
      <c r="Q177" s="223">
        <v>61321</v>
      </c>
      <c r="R177" s="1">
        <v>24</v>
      </c>
      <c r="S177" s="1">
        <v>48</v>
      </c>
    </row>
    <row r="178" spans="17:19">
      <c r="Q178" s="223">
        <v>61686</v>
      </c>
      <c r="R178" s="1">
        <v>24</v>
      </c>
      <c r="S178" s="1">
        <v>49</v>
      </c>
    </row>
    <row r="179" spans="17:19">
      <c r="Q179" s="223">
        <v>62051</v>
      </c>
      <c r="R179" s="1">
        <v>24</v>
      </c>
      <c r="S179" s="1">
        <v>50</v>
      </c>
    </row>
    <row r="180" spans="17:19">
      <c r="Q180" s="223">
        <v>62416</v>
      </c>
      <c r="R180" s="1">
        <v>24</v>
      </c>
      <c r="S180" s="1">
        <v>50</v>
      </c>
    </row>
    <row r="181" spans="17:19">
      <c r="Q181" s="223">
        <v>62781</v>
      </c>
      <c r="R181" s="1">
        <v>24</v>
      </c>
      <c r="S181" s="1">
        <v>51</v>
      </c>
    </row>
    <row r="182" spans="17:19">
      <c r="Q182" s="223">
        <v>63146</v>
      </c>
      <c r="R182" s="1">
        <v>24</v>
      </c>
      <c r="S182" s="1">
        <v>52</v>
      </c>
    </row>
    <row r="183" spans="17:19">
      <c r="Q183" s="223">
        <v>63511</v>
      </c>
      <c r="R183" s="1">
        <v>24</v>
      </c>
      <c r="S183" s="1">
        <v>53</v>
      </c>
    </row>
    <row r="184" spans="17:19">
      <c r="Q184" s="223">
        <v>63876</v>
      </c>
      <c r="R184" s="1">
        <v>24</v>
      </c>
      <c r="S184" s="1">
        <v>54</v>
      </c>
    </row>
    <row r="185" spans="17:19">
      <c r="Q185" s="223">
        <v>64241</v>
      </c>
      <c r="R185" s="1">
        <v>24</v>
      </c>
      <c r="S185" s="1">
        <v>55</v>
      </c>
    </row>
    <row r="186" spans="17:19">
      <c r="Q186" s="223">
        <v>64606</v>
      </c>
      <c r="R186" s="1">
        <v>24</v>
      </c>
      <c r="S186" s="1">
        <v>55</v>
      </c>
    </row>
    <row r="187" spans="17:19">
      <c r="Q187" s="223">
        <v>64971</v>
      </c>
      <c r="R187" s="1">
        <v>24</v>
      </c>
      <c r="S187" s="1">
        <v>56</v>
      </c>
    </row>
    <row r="188" spans="17:19">
      <c r="Q188" s="223">
        <v>65336</v>
      </c>
      <c r="R188" s="1">
        <v>24</v>
      </c>
      <c r="S188" s="1">
        <v>57</v>
      </c>
    </row>
    <row r="189" spans="17:19">
      <c r="Q189" s="223">
        <v>65701</v>
      </c>
      <c r="R189" s="1">
        <v>24</v>
      </c>
      <c r="S189" s="1">
        <v>58</v>
      </c>
    </row>
    <row r="190" spans="17:19">
      <c r="Q190" s="223">
        <v>66066</v>
      </c>
      <c r="R190" s="1">
        <v>24</v>
      </c>
      <c r="S190" s="1">
        <v>59</v>
      </c>
    </row>
    <row r="191" spans="17:19">
      <c r="Q191" s="223">
        <v>66431</v>
      </c>
      <c r="R191" s="1">
        <v>25</v>
      </c>
      <c r="S191" s="1">
        <v>0</v>
      </c>
    </row>
    <row r="192" spans="17:19">
      <c r="Q192" s="223">
        <v>66796</v>
      </c>
      <c r="R192" s="1">
        <v>25</v>
      </c>
      <c r="S192" s="1">
        <v>0</v>
      </c>
    </row>
    <row r="193" spans="17:19">
      <c r="Q193" s="223">
        <v>67161</v>
      </c>
      <c r="R193" s="1">
        <v>25</v>
      </c>
      <c r="S193" s="1">
        <v>1</v>
      </c>
    </row>
    <row r="194" spans="17:19">
      <c r="Q194" s="223">
        <v>67526</v>
      </c>
      <c r="R194" s="1">
        <v>25</v>
      </c>
      <c r="S194" s="1">
        <v>2</v>
      </c>
    </row>
    <row r="195" spans="17:19">
      <c r="Q195" s="223">
        <v>67891</v>
      </c>
      <c r="R195" s="1">
        <v>25</v>
      </c>
      <c r="S195" s="1">
        <v>3</v>
      </c>
    </row>
    <row r="196" spans="17:19">
      <c r="Q196" s="223">
        <v>68256</v>
      </c>
      <c r="R196" s="1">
        <v>25</v>
      </c>
      <c r="S196" s="1">
        <v>4</v>
      </c>
    </row>
    <row r="197" spans="17:19">
      <c r="Q197" s="223">
        <v>68621</v>
      </c>
      <c r="R197" s="1">
        <v>25</v>
      </c>
      <c r="S197" s="1">
        <v>5</v>
      </c>
    </row>
    <row r="198" spans="17:19">
      <c r="Q198" s="223">
        <v>68986</v>
      </c>
      <c r="R198" s="1">
        <v>25</v>
      </c>
      <c r="S198" s="1">
        <v>5</v>
      </c>
    </row>
    <row r="199" spans="17:19">
      <c r="Q199" s="223">
        <v>69351</v>
      </c>
      <c r="R199" s="1">
        <v>25</v>
      </c>
      <c r="S199" s="1">
        <v>6</v>
      </c>
    </row>
    <row r="200" spans="17:19">
      <c r="Q200" s="223">
        <v>69716</v>
      </c>
      <c r="R200" s="1">
        <v>25</v>
      </c>
      <c r="S200" s="1">
        <v>7</v>
      </c>
    </row>
    <row r="201" spans="17:19">
      <c r="Q201" s="223">
        <v>70081</v>
      </c>
      <c r="R201" s="1">
        <v>25</v>
      </c>
      <c r="S201" s="1">
        <v>8</v>
      </c>
    </row>
    <row r="202" spans="17:19">
      <c r="Q202" s="223">
        <v>70446</v>
      </c>
      <c r="R202" s="1">
        <v>25</v>
      </c>
      <c r="S202" s="1">
        <v>9</v>
      </c>
    </row>
    <row r="203" spans="17:19">
      <c r="Q203" s="223">
        <v>70811</v>
      </c>
      <c r="R203" s="1">
        <v>25</v>
      </c>
      <c r="S203" s="1">
        <v>10</v>
      </c>
    </row>
    <row r="204" spans="17:19">
      <c r="Q204" s="223">
        <v>71176</v>
      </c>
      <c r="R204" s="1">
        <v>25</v>
      </c>
      <c r="S204" s="1">
        <v>10</v>
      </c>
    </row>
    <row r="205" spans="17:19">
      <c r="Q205" s="223">
        <v>71541</v>
      </c>
      <c r="R205" s="1">
        <v>25</v>
      </c>
      <c r="S205" s="1">
        <v>11</v>
      </c>
    </row>
    <row r="206" spans="17:19">
      <c r="Q206" s="223">
        <v>71906</v>
      </c>
      <c r="R206" s="1">
        <v>25</v>
      </c>
      <c r="S206" s="1">
        <v>12</v>
      </c>
    </row>
    <row r="207" spans="17:19">
      <c r="Q207" s="223">
        <v>72271</v>
      </c>
      <c r="R207" s="1">
        <v>25</v>
      </c>
      <c r="S207" s="1">
        <v>13</v>
      </c>
    </row>
    <row r="208" spans="17:19">
      <c r="Q208" s="223">
        <v>72636</v>
      </c>
      <c r="R208" s="1">
        <v>25</v>
      </c>
      <c r="S208" s="1">
        <v>14</v>
      </c>
    </row>
  </sheetData>
  <sheetProtection password="9C47" sheet="1"/>
  <mergeCells count="3">
    <mergeCell ref="B1:C1"/>
    <mergeCell ref="B5:C5"/>
    <mergeCell ref="G1:H1"/>
  </mergeCells>
  <phoneticPr fontId="1" type="noConversion"/>
  <pageMargins left="0.75" right="0.75" top="1" bottom="1" header="0.5" footer="0.5"/>
  <headerFooter alignWithMargins="0"/>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W211"/>
  <sheetViews>
    <sheetView workbookViewId="0">
      <selection activeCell="AN133" sqref="AN133"/>
    </sheetView>
  </sheetViews>
  <sheetFormatPr defaultColWidth="11.5546875" defaultRowHeight="13.2"/>
  <cols>
    <col min="1" max="1" width="3.33203125" style="68" customWidth="1"/>
    <col min="2" max="2" width="11.88671875" style="8" customWidth="1"/>
    <col min="3" max="3" width="13.5546875" style="13" customWidth="1"/>
    <col min="4" max="13" width="3.6640625" style="15" customWidth="1"/>
    <col min="14" max="14" width="0.88671875" style="15" customWidth="1"/>
    <col min="15" max="26" width="3.6640625" style="15" customWidth="1"/>
    <col min="27" max="27" width="0.88671875" style="15" customWidth="1"/>
    <col min="28" max="39" width="3.6640625" style="15" customWidth="1"/>
    <col min="40" max="40" width="11.5546875" style="13"/>
    <col min="41" max="41" width="5.109375" style="13" customWidth="1"/>
    <col min="42" max="42" width="2.88671875" style="13" customWidth="1"/>
    <col min="43" max="43" width="3.88671875" style="13" customWidth="1"/>
    <col min="44" max="44" width="6.109375" style="13" customWidth="1"/>
    <col min="45" max="45" width="5.33203125" style="13" customWidth="1"/>
    <col min="46" max="46" width="4.5546875" style="13" customWidth="1"/>
    <col min="47" max="47" width="1.6640625" style="13" customWidth="1"/>
    <col min="48" max="48" width="3.5546875" style="13" customWidth="1"/>
    <col min="49" max="49" width="2.5546875" style="13" customWidth="1"/>
    <col min="50" max="16384" width="11.5546875" style="13"/>
  </cols>
  <sheetData>
    <row r="1" spans="1:49" ht="9.9" customHeight="1"/>
    <row r="2" spans="1:49" ht="13.8" thickBot="1">
      <c r="A2" s="61"/>
      <c r="C2" s="325"/>
      <c r="D2" s="326" t="s">
        <v>578</v>
      </c>
      <c r="E2" s="327"/>
      <c r="F2" s="327"/>
      <c r="G2" s="325"/>
      <c r="H2" s="327"/>
      <c r="I2" s="325"/>
      <c r="J2" s="327"/>
      <c r="K2" s="325"/>
      <c r="L2" s="327"/>
      <c r="M2" s="327"/>
      <c r="N2" s="328"/>
      <c r="O2" s="328"/>
      <c r="P2" s="328"/>
      <c r="Q2" s="328"/>
      <c r="R2" s="328"/>
      <c r="S2" s="329"/>
      <c r="T2" s="329"/>
      <c r="U2" s="329"/>
      <c r="V2" s="329"/>
      <c r="W2" s="329"/>
      <c r="X2" s="329"/>
      <c r="Y2" s="329"/>
      <c r="Z2" s="329"/>
      <c r="AA2" s="575"/>
      <c r="AB2" s="576"/>
      <c r="AC2" s="576"/>
      <c r="AD2" s="576"/>
      <c r="AE2" s="329"/>
      <c r="AF2" s="330"/>
      <c r="AG2" s="577"/>
      <c r="AH2" s="576"/>
      <c r="AI2" s="578"/>
      <c r="AJ2" s="328"/>
      <c r="AK2" s="328"/>
      <c r="AL2" s="328"/>
      <c r="AM2" s="328"/>
      <c r="AN2" s="325"/>
      <c r="AO2" s="228"/>
    </row>
    <row r="3" spans="1:49" ht="14.4" thickTop="1" thickBot="1">
      <c r="A3" s="61"/>
      <c r="C3" s="15"/>
    </row>
    <row r="4" spans="1:49">
      <c r="D4" s="518" t="str">
        <f>CONCATENATE(IF($D$26=12,"@ ",""),IF($E$26=12,"Su ",""),IF($F$26=12,"Mo ",""),IF($G$26=12,"Me ",""),IF($H$26=12,"V ",""),IF($I$26=12,"Ma ",""),IF($J$26=12,"J ",""),IF($K$26=12,"Sa ",""),IF($L$26=12,"R ",""),IF($M$26=12,"K ",""))</f>
        <v/>
      </c>
      <c r="E4" s="519"/>
      <c r="F4" s="514" t="str">
        <f>CONCATENATE(IF($D$26=1,"@ ",""),IF($E$26=1,"Su ",""),IF($F$26=1,"Mo ",""),IF($G$26=1,"Me ",""),IF($H$26=1,"V ",""),IF($I$26=1,"Ma ",""),IF($J$26=1,"J ",""),IF($K$26=1,"Sa ",""),IF($L$26=1,"R ",""),IF($M$26=1,"K ",""))</f>
        <v xml:space="preserve">@ </v>
      </c>
      <c r="G4" s="515"/>
      <c r="H4" s="526" t="str">
        <f>CONCATENATE(IF($D$26=2,"@ ",""),IF($E$26=2,"Su ",""),IF($F$26=2,"Mo ",""),IF($G$26=2,"Me ",""),IF($H$26=2,"V ",""),IF($I$26=2,"Ma ",""),IF($J$26=2,"J ",""),IF($K$26=2,"Sa ",""),IF($L$26=2,"R ",""),IF($M$26=2,"K ",""))</f>
        <v xml:space="preserve">Su </v>
      </c>
      <c r="I4" s="527"/>
      <c r="J4" s="522" t="str">
        <f>CONCATENATE(IF($D$26=3,"@ ",""),IF($E$26=3,"Su ",""),IF($F$26=3,"Mo ",""),IF($G$26=3,"Me ",""),IF($H$26=3,"V ",""),IF($I$26=3,"Ma ",""),IF($J$26=3,"J ",""),IF($K$26=3,"Sa ",""),IF($L$26=3,"R ",""),IF($M$26=3,"K ",""))</f>
        <v xml:space="preserve">Mo </v>
      </c>
      <c r="K4" s="523"/>
      <c r="R4" s="526" t="str">
        <f>CONCATENATE(IF($D$26=2,"@ ",""),IF($E$26=2,"Su ",""),IF($F$26=2,"Mo ",""),IF($G$26=2,"Me ",""),IF($H$26=2,"V ",""),IF($I$26=2,"Ma ",""),IF($J$26=2,"J ",""),IF($K$26=2,"Sa ",""),IF($L$26=2,"R ",""),IF($M$26=2,"K ",""))</f>
        <v xml:space="preserve">Su </v>
      </c>
      <c r="S4" s="527"/>
      <c r="T4" s="514" t="str">
        <f>CONCATENATE(IF($D$26=1,"@ ",""),IF($E$26=1,"Su ",""),IF($F$26=1,"Mo ",""),IF($G$26=1,"Me ",""),IF($H$26=1,"V ",""),IF($I$26=1,"Ma ",""),IF($J$26=1,"J ",""),IF($K$26=1,"Sa ",""),IF($L$26=1,"R ",""),IF($M$26=1,"K ",""))</f>
        <v xml:space="preserve">@ </v>
      </c>
      <c r="U4" s="515"/>
      <c r="V4" s="518" t="str">
        <f>CONCATENATE(IF($D$26=12,"@ ",""),IF($E$26=12,"Su ",""),IF($F$26=12,"Mo ",""),IF($G$26=12,"Me ",""),IF($H$26=12,"V ",""),IF($I$26=12,"Ma ",""),IF($J$26=12,"J ",""),IF($K$26=12,"Sa ",""),IF($L$26=12,"R ",""),IF($M$26=12,"K ",""))</f>
        <v/>
      </c>
      <c r="W4" s="519"/>
      <c r="AE4" s="526" t="str">
        <f>CONCATENATE(IF(AF6=1,$F$4,""),IF(AF6=2,$H$4,""),IF(AF6=3,$J$4,""),IF(AF6=4,$J$6,""),IF(AF6=5,$J$8,""),IF(AF6=6,$J$10,""),IF(AF6=7,$H$10,""),IF(AF6=8,$F$10,""),IF(AF6=9,$D$10,""),IF(AF6=10,$D$8,""),IF(AF6=11,$D$6,""),IF(AF6=12,$D$4,""))</f>
        <v xml:space="preserve">Su </v>
      </c>
      <c r="AF4" s="527"/>
      <c r="AG4" s="514" t="str">
        <f>CONCATENATE(IF(AG6=1,$F$4,""),IF(AG6=2,$H$4,""),IF(AG6=3,$J$4,""),IF(AG6=4,$J$6,""),IF(AG6=5,$J$8,""),IF(AG6=6,$J$10,""),IF(AG6=7,$H$10,""),IF(AG6=8,$F$10,""),IF(AG6=9,$D$10,""),IF(AG6=10,$D$8,""),IF(AG6=11,$D$6,""),IF(AG6=12,$D$4,""))</f>
        <v xml:space="preserve">@ </v>
      </c>
      <c r="AH4" s="515"/>
      <c r="AI4" s="518" t="str">
        <f>CONCATENATE(IF(AI6=1,$F$4,""),IF(AI6=2,$H$4,""),IF(AI6=3,$J$4,""),IF(AI6=4,$J$6,""),IF(AI6=5,$J$8,""),IF(AI6=6,$J$10,""),IF(AI6=7,$H$10,""),IF(AI6=8,$F$10,""),IF(AI6=9,$D$10,""),IF(AI6=10,$D$8,""),IF(AI6=11,$D$6,""),IF(AI6=12,$D$4,""))</f>
        <v/>
      </c>
      <c r="AJ4" s="519"/>
    </row>
    <row r="5" spans="1:49" ht="13.8" thickBot="1">
      <c r="D5" s="520"/>
      <c r="E5" s="521"/>
      <c r="F5" s="516"/>
      <c r="G5" s="517"/>
      <c r="H5" s="528"/>
      <c r="I5" s="529"/>
      <c r="J5" s="524"/>
      <c r="K5" s="525"/>
      <c r="R5" s="528"/>
      <c r="S5" s="529"/>
      <c r="T5" s="516"/>
      <c r="U5" s="517"/>
      <c r="V5" s="520"/>
      <c r="W5" s="521"/>
      <c r="AE5" s="528"/>
      <c r="AF5" s="529"/>
      <c r="AG5" s="516"/>
      <c r="AH5" s="517"/>
      <c r="AI5" s="520"/>
      <c r="AJ5" s="521"/>
      <c r="AN5" s="321"/>
      <c r="AO5" s="321"/>
      <c r="AP5" s="321"/>
      <c r="AQ5" s="75"/>
      <c r="AR5" s="322"/>
      <c r="AS5" s="323"/>
      <c r="AT5" s="323"/>
      <c r="AU5" s="323"/>
      <c r="AV5" s="323"/>
      <c r="AW5" s="321"/>
    </row>
    <row r="6" spans="1:49">
      <c r="D6" s="510" t="str">
        <f>CONCATENATE(IF($D$26=11,"@ ",""),IF($E$26=11,"Su ",""),IF($F$26=11,"Mo ",""),IF($G$26=11,"Me ",""),IF($H$26=11,"V ",""),IF($I$26=11,"Ma ",""),IF($J$26=11,"J ",""),IF($K$26=11,"Sa ",""),IF($L$26=11,"R ",""),IF($M$26=11,"K ",""))</f>
        <v/>
      </c>
      <c r="E6" s="511"/>
      <c r="F6" s="69"/>
      <c r="G6" s="14" t="s">
        <v>202</v>
      </c>
      <c r="H6" s="14"/>
      <c r="I6" s="70"/>
      <c r="J6" s="514" t="str">
        <f>CONCATENATE(IF($D$26=4,"@ ",""),IF($E$26=4,"Su ",""),IF($F$26=4,"Mo ",""),IF($G$26=4,"Me ",""),IF($H$26=4,"V ",""),IF($I$26=4,"Ma ",""),IF($J$26=4,"J ",""),IF($K$26=4,"Sa ",""),IF($L$26=4,"R ",""),IF($M$26=4,"K ",""))</f>
        <v xml:space="preserve">Me </v>
      </c>
      <c r="K6" s="515"/>
      <c r="P6" s="522" t="str">
        <f>CONCATENATE(IF($D$26=3,"@ ",""),IF($E$26=3,"Su ",""),IF($F$26=3,"Mo ",""),IF($G$26=3,"Me ",""),IF($H$26=3,"V ",""),IF($I$26=3,"Ma ",""),IF($J$26=3,"J ",""),IF($K$26=3,"Sa ",""),IF($L$26=3,"R ",""),IF($M$26=3,"K ",""))</f>
        <v xml:space="preserve">Mo </v>
      </c>
      <c r="Q6" s="523"/>
      <c r="U6" s="15" t="s">
        <v>203</v>
      </c>
      <c r="X6" s="510" t="str">
        <f>CONCATENATE(IF($D$26=11,"@ ",""),IF($E$26=11,"Su ",""),IF($F$26=11,"Mo ",""),IF($G$26=11,"Me ",""),IF($H$26=11,"V ",""),IF($I$26=11,"Ma ",""),IF($J$26=11,"J ",""),IF($K$26=11,"Sa ",""),IF($L$26=11,"R ",""),IF($M$26=11,"K ",""))</f>
        <v/>
      </c>
      <c r="Y6" s="511"/>
      <c r="AC6" s="538" t="str">
        <f>CONCATENATE(IF(AE7=1,$F$4,""),IF(AE7=2,$H$4,""),IF(AE7=3,$J$4,""),IF(AE7=4,$J$6,""),IF(AE7=5,$J$8,""),IF(AE7=6,$J$10,""),IF(AE7=7,$H$10,""),IF(AE7=8,$F$10,""),IF(AE7=9,$D$10,""),IF(AE7=10,$D$8,""),IF(AE7=11,$D$6,""),IF(AE7=12,$D$4,""))</f>
        <v xml:space="preserve">Mo </v>
      </c>
      <c r="AD6" s="539"/>
      <c r="AF6" s="15">
        <f>IF(AG6+1=13,AG6+1-12,AG6+1)</f>
        <v>2</v>
      </c>
      <c r="AG6" s="15">
        <f>$D$26</f>
        <v>1</v>
      </c>
      <c r="AI6" s="15">
        <f>IF(AJ7+1&gt;=13,AJ7+1-12,AJ7+1)</f>
        <v>12</v>
      </c>
      <c r="AK6" s="510" t="str">
        <f>CONCATENATE(IF(AJ7=1,$F$4,""),IF(AJ7=2,$H$4,""),IF(AJ7=3,$J$4,""),IF(AJ7=4,$J$6,""),IF(AJ7=5,$J$8,""),IF(AJ7=6,$J$10,""),IF(AJ7=7,$H$10,""),IF(AJ7=8,$F$10,""),IF(AJ7=9,$D$10,""),IF(AJ7=10,$D$8,""),IF(AJ7=11,$D$6,""),IF(AJ7=12,$D$4,""))</f>
        <v/>
      </c>
      <c r="AL6" s="511"/>
      <c r="AN6" s="321"/>
      <c r="AO6" s="321"/>
      <c r="AP6" s="321"/>
      <c r="AQ6" s="75"/>
      <c r="AR6" s="322"/>
      <c r="AS6" s="323"/>
      <c r="AT6" s="323"/>
      <c r="AU6" s="324"/>
      <c r="AV6" s="323"/>
      <c r="AW6" s="321"/>
    </row>
    <row r="7" spans="1:49" ht="13.8" thickBot="1">
      <c r="D7" s="512"/>
      <c r="E7" s="513"/>
      <c r="F7" s="506" t="s">
        <v>204</v>
      </c>
      <c r="G7" s="507"/>
      <c r="H7" s="507"/>
      <c r="I7" s="70"/>
      <c r="J7" s="516"/>
      <c r="K7" s="517"/>
      <c r="P7" s="524"/>
      <c r="Q7" s="525"/>
      <c r="X7" s="512"/>
      <c r="Y7" s="513"/>
      <c r="AC7" s="540"/>
      <c r="AD7" s="541"/>
      <c r="AE7" s="15">
        <f>IF(AF6+1=13,AF6+1-12,AF6+1)</f>
        <v>3</v>
      </c>
      <c r="AJ7" s="15">
        <f>IF(AJ8+1&gt;=13,AJ8+1-12,AJ8+1)</f>
        <v>11</v>
      </c>
      <c r="AK7" s="512"/>
      <c r="AL7" s="513"/>
      <c r="AN7" s="321"/>
      <c r="AO7" s="321"/>
      <c r="AP7" s="321"/>
      <c r="AQ7" s="75"/>
      <c r="AR7" s="322"/>
      <c r="AS7" s="323"/>
      <c r="AT7" s="323"/>
      <c r="AU7" s="324"/>
      <c r="AV7" s="323"/>
      <c r="AW7" s="321"/>
    </row>
    <row r="8" spans="1:49">
      <c r="D8" s="514" t="str">
        <f>CONCATENATE(IF($D$26=10,"@ ",""),IF($E$26=10,"Su ",""),IF($F$26=10,"Mo ",""),IF($G$26=10,"Me ",""),IF($H$26=10,"V ",""),IF($I$26=10,"Ma ",""),IF($J$26=10,"J ",""),IF($K$26=10,"Sa ",""),IF($L$26=10,"R ",""),IF($M$26=10,"K ",""))</f>
        <v xml:space="preserve">K </v>
      </c>
      <c r="E8" s="515"/>
      <c r="F8" s="530" t="str">
        <f>CONCATENATE(IF($G$45="Y","Me ",""),IF($H$45="Y","V ",""),IF($I$45="Y","Ma ",""),IF($J$45="Y","J ",""),IF($K$45="Y","Sa ",""))</f>
        <v/>
      </c>
      <c r="G8" s="531"/>
      <c r="H8" s="531"/>
      <c r="I8" s="70"/>
      <c r="J8" s="510" t="str">
        <f>CONCATENATE(IF($D$26=5,"@ ",""),IF($E$26=5,"Su ",""),IF($F$26=5,"Mo ",""),IF($G$26=5,"Me ",""),IF($H$26=5,"V ",""),IF($I$26=5,"Ma ",""),IF($J$26=5,"J ",""),IF($K$26=5,"Sa ",""),IF($L$26=5,"R ",""),IF($M$26=5,"K ",""))</f>
        <v xml:space="preserve">V </v>
      </c>
      <c r="K8" s="511"/>
      <c r="P8" s="514" t="str">
        <f>CONCATENATE(IF($D$26=4,"@ ",""),IF($E$26=4,"Su ",""),IF($F$26=4,"Mo ",""),IF($G$26=4,"Me ",""),IF($H$26=4,"V ",""),IF($I$26=4,"Ma ",""),IF($J$26=4,"J ",""),IF($K$26=4,"Sa ",""),IF($L$26=4,"R ",""),IF($M$26=4,"K ",""))</f>
        <v xml:space="preserve">Me </v>
      </c>
      <c r="Q8" s="515"/>
      <c r="S8" s="536" t="s">
        <v>204</v>
      </c>
      <c r="T8" s="537"/>
      <c r="U8" s="537"/>
      <c r="X8" s="514" t="str">
        <f>CONCATENATE(IF($D$26=10,"@ ",""),IF($E$26=10,"Su ",""),IF($F$26=10,"Mo ",""),IF($G$26=10,"Me ",""),IF($H$26=10,"V ",""),IF($I$26=10,"Ma ",""),IF($J$26=10,"J ",""),IF($K$26=10,"Sa ",""),IF($L$26=10,"R ",""),IF($M$26=10,"K ",""))</f>
        <v xml:space="preserve">K </v>
      </c>
      <c r="Y8" s="515"/>
      <c r="AC8" s="514" t="str">
        <f>CONCATENATE(IF(AE9=1,$F$4,""),IF(AE9=2,$H$4,""),IF(AE9=3,$J$4,""),IF(AE9=4,$J$6,""),IF(AE9=5,$J$8,""),IF(AE9=6,$J$10,""),IF(AE9=7,$H$10,""),IF(AE9=8,$F$10,""),IF(AE9=9,$D$10,""),IF(AE9=10,$D$8,""),IF(AE9=11,$D$6,""),IF(AE9=12,$D$4,""))</f>
        <v xml:space="preserve">Me </v>
      </c>
      <c r="AD8" s="515"/>
      <c r="AF8" s="536" t="s">
        <v>204</v>
      </c>
      <c r="AG8" s="537"/>
      <c r="AH8" s="537"/>
      <c r="AJ8" s="15">
        <f>IF(AJ10+1&gt;=13,AJ10+1-12,AJ10+1)</f>
        <v>10</v>
      </c>
      <c r="AK8" s="514" t="str">
        <f>CONCATENATE(IF(AJ8=1,$F$4,""),IF(AJ8=2,$H$4,""),IF(AJ8=3,$J$4,""),IF(AJ8=4,$J$6,""),IF(AJ8=5,$J$8,""),IF(AJ8=6,$J$10,""),IF(AJ8=7,$H$10,""),IF(AJ8=8,$F$10,""),IF(AJ8=9,$D$10,""),IF(AJ8=10,$D$8,""),IF(AJ8=11,$D$6,""),IF(AJ8=12,$D$4,""))</f>
        <v xml:space="preserve">K </v>
      </c>
      <c r="AL8" s="515"/>
      <c r="AN8" s="321"/>
      <c r="AO8" s="321"/>
      <c r="AP8" s="321"/>
      <c r="AQ8" s="75"/>
      <c r="AR8" s="322"/>
      <c r="AS8" s="323"/>
      <c r="AT8" s="323"/>
      <c r="AU8" s="324"/>
      <c r="AV8" s="323"/>
      <c r="AW8" s="321"/>
    </row>
    <row r="9" spans="1:49" ht="13.8" thickBot="1">
      <c r="D9" s="516"/>
      <c r="E9" s="517"/>
      <c r="F9" s="71"/>
      <c r="G9" s="71"/>
      <c r="H9" s="53"/>
      <c r="I9" s="72"/>
      <c r="J9" s="512"/>
      <c r="K9" s="513"/>
      <c r="P9" s="516"/>
      <c r="Q9" s="517"/>
      <c r="S9" s="504" t="str">
        <f>CONCATENATE(IF($G$45="Y","Me ",""),IF($H$45="Y","V ",""),IF($I$45="Y","Ma ",""),IF($J$45="Y","J ",""),IF($K$45="Y","Sa ",""))</f>
        <v/>
      </c>
      <c r="T9" s="505"/>
      <c r="U9" s="505"/>
      <c r="X9" s="516"/>
      <c r="Y9" s="517"/>
      <c r="AC9" s="516"/>
      <c r="AD9" s="517"/>
      <c r="AE9" s="15">
        <f>IF(AE7+1&gt;=13,AE7+1-12,AE7+1)</f>
        <v>4</v>
      </c>
      <c r="AF9" s="504" t="str">
        <f>CONCATENATE(IF($G$45="Y","Me ",""),IF($H$45="Y","V ",""),IF($I$45="Y","Ma ",""),IF($J$45="Y","J ",""),IF($K$45="Y","Sa ",""))</f>
        <v/>
      </c>
      <c r="AG9" s="505"/>
      <c r="AH9" s="505"/>
      <c r="AK9" s="516"/>
      <c r="AL9" s="517"/>
      <c r="AN9" s="321"/>
      <c r="AO9" s="321"/>
      <c r="AP9" s="321"/>
      <c r="AQ9" s="75"/>
      <c r="AR9" s="322"/>
      <c r="AS9" s="323"/>
      <c r="AT9" s="323"/>
      <c r="AU9" s="324"/>
      <c r="AV9" s="323"/>
      <c r="AW9" s="323"/>
    </row>
    <row r="10" spans="1:49">
      <c r="D10" s="522" t="str">
        <f>CONCATENATE(IF($D$26=9,"@ ",""),IF($E$26=9,"Su ",""),IF($F$26=9,"Mo ",""),IF($G$26=9,"Me ",""),IF($H$26=9,"V ",""),IF($I$26=9,"Ma ",""),IF($J$26=9,"J ",""),IF($K$26=9,"Sa ",""),IF($L$26=9,"R ",""),IF($M$26=9,"K ",""))</f>
        <v xml:space="preserve">R </v>
      </c>
      <c r="E10" s="523"/>
      <c r="F10" s="526" t="str">
        <f>CONCATENATE(IF($D$26=8,"@ ",""),IF($E$26=8,"Su ",""),IF($F$26=8,"Mo ",""),IF($G$26=8,"Me ",""),IF($H$26=8,"V ",""),IF($I$26=8,"Ma ",""),IF($J$26=8,"J ",""),IF($K$26=8,"Sa ",""),IF($L$26=8,"R ",""),IF($M$26=8,"K ",""))</f>
        <v xml:space="preserve">Sa </v>
      </c>
      <c r="G10" s="527"/>
      <c r="H10" s="514" t="str">
        <f>CONCATENATE(IF($D$26=7,"@ ",""),IF($E$26=7,"Su ",""),IF($F$26=7,"Mo ",""),IF($G$26=7,"Me ",""),IF($H$26=7,"V ",""),IF($I$26=7,"Ma ",""),IF($J$26=7,"J ",""),IF($K$26=7,"Sa ",""),IF($L$26=7,"R ",""),IF($M$26=7,"K ",""))</f>
        <v xml:space="preserve">J </v>
      </c>
      <c r="I10" s="515"/>
      <c r="J10" s="518" t="str">
        <f>CONCATENATE(IF($D$26=6,"@ ",""),IF($E$26=6,"Su ",""),IF($F$26=6,"Mo ",""),IF($G$26=6,"Me ",""),IF($H$26=6,"V ",""),IF($I$26=6,"Ma ",""),IF($J$26=6,"J ",""),IF($K$26=6,"Sa ",""),IF($L$26=6,"R ",""),IF($M$26=6,"K ",""))</f>
        <v xml:space="preserve">Ma </v>
      </c>
      <c r="K10" s="519"/>
      <c r="P10" s="510" t="str">
        <f>CONCATENATE(IF($D$26=5,"@ ",""),IF($E$26=5,"Su ",""),IF($F$26=5,"Mo ",""),IF($G$26=5,"Me ",""),IF($H$26=5,"V ",""),IF($I$26=5,"Ma ",""),IF($J$26=5,"J ",""),IF($K$26=5,"Sa ",""),IF($L$26=5,"R ",""),IF($M$26=5,"K ",""))</f>
        <v xml:space="preserve">V </v>
      </c>
      <c r="Q10" s="511"/>
      <c r="X10" s="522" t="str">
        <f>CONCATENATE(IF($D$26=9,"@ ",""),IF($E$26=9,"Su ",""),IF($F$26=9,"Mo ",""),IF($G$26=9,"Me ",""),IF($H$26=9,"V ",""),IF($I$26=9,"Ma ",""),IF($J$26=9,"J ",""),IF($K$26=9,"Sa ",""),IF($L$26=9,"R ",""),IF($M$26=9,"K ",""))</f>
        <v xml:space="preserve">R </v>
      </c>
      <c r="Y10" s="523"/>
      <c r="AC10" s="510" t="str">
        <f>CONCATENATE(IF(AE10=1,$F$4,""),IF(AE10=2,$H$4,""),IF(AE10=3,$J$4,""),IF(AE10=4,$J$6,""),IF(AE10=5,$J$8,""),IF(AE10=6,$J$10,""),IF(AE10=7,$H$10,""),IF(AE10=8,$F$10,""),IF(AE10=9,$D$10,""),IF(AE10=10,$D$8,""),IF(AE10=11,$D$6,""),IF(AE10=12,$D$4,""))</f>
        <v xml:space="preserve">V </v>
      </c>
      <c r="AD10" s="511"/>
      <c r="AE10" s="15">
        <f>IF(AE9+1&gt;=13,AE9+1-12,AE9+1)</f>
        <v>5</v>
      </c>
      <c r="AJ10" s="15">
        <f>IF(AI11+1&gt;=13,AI11+1-12,AI11+1)</f>
        <v>9</v>
      </c>
      <c r="AK10" s="538" t="str">
        <f>CONCATENATE(IF(AJ10=1,$F$4,""),IF(AJ10=2,$H$4,""),IF(AJ10=3,$J$4,""),IF(AJ10=4,$J$6,""),IF(AJ10=5,$J$8,""),IF(AJ10=6,$J$10,""),IF(AJ10=7,$H$10,""),IF(AJ10=8,$F$10,""),IF(AJ10=9,$D$10,""),IF(AJ10=10,$D$8,""),IF(AJ10=11,$D$6,""),IF(AJ10=12,$D$4,""))</f>
        <v xml:space="preserve">R </v>
      </c>
      <c r="AL10" s="539"/>
      <c r="AN10" s="321"/>
      <c r="AO10" s="321"/>
      <c r="AP10" s="321"/>
      <c r="AQ10" s="75"/>
      <c r="AR10" s="322"/>
      <c r="AS10" s="323"/>
      <c r="AT10" s="323"/>
      <c r="AU10" s="324"/>
      <c r="AV10" s="323"/>
      <c r="AW10" s="323"/>
    </row>
    <row r="11" spans="1:49" ht="13.8" thickBot="1">
      <c r="D11" s="524"/>
      <c r="E11" s="525"/>
      <c r="F11" s="528"/>
      <c r="G11" s="529"/>
      <c r="H11" s="516"/>
      <c r="I11" s="517"/>
      <c r="J11" s="520"/>
      <c r="K11" s="521"/>
      <c r="P11" s="512"/>
      <c r="Q11" s="513"/>
      <c r="X11" s="524"/>
      <c r="Y11" s="525"/>
      <c r="AC11" s="512"/>
      <c r="AD11" s="513"/>
      <c r="AF11" s="15">
        <f>IF(AE10+1&gt;=13,AE10+1-12,AE10+1)</f>
        <v>6</v>
      </c>
      <c r="AH11" s="15">
        <f>IF(AF11+1&gt;=13,AF11+1-12,AF11+1)</f>
        <v>7</v>
      </c>
      <c r="AI11" s="15">
        <f>IF(AH11+1&gt;=13,AH11+1-12,AH11+1)</f>
        <v>8</v>
      </c>
      <c r="AK11" s="540"/>
      <c r="AL11" s="541"/>
      <c r="AN11" s="321"/>
      <c r="AO11" s="321"/>
      <c r="AP11" s="321"/>
      <c r="AQ11" s="75"/>
      <c r="AR11" s="322"/>
      <c r="AS11" s="323"/>
      <c r="AT11" s="323"/>
      <c r="AU11" s="324"/>
      <c r="AV11" s="323"/>
      <c r="AW11" s="323"/>
    </row>
    <row r="12" spans="1:49">
      <c r="R12" s="518" t="str">
        <f>CONCATENATE(IF($D$26=6,"@ ",""),IF($E$26=6,"Su ",""),IF($F$26=6,"Mo ",""),IF($G$26=6,"Me ",""),IF($H$26=6,"V ",""),IF($I$26=6,"Ma ",""),IF($J$26=6,"J ",""),IF($K$26=6,"Sa ",""),IF($L$26=6,"R ",""),IF($M$26=6,"K ",""))</f>
        <v xml:space="preserve">Ma </v>
      </c>
      <c r="S12" s="519"/>
      <c r="T12" s="514" t="str">
        <f>CONCATENATE(IF($D$26=7,"@ ",""),IF($E$26=7,"Su ",""),IF($F$26=7,"Mo ",""),IF($G$26=7,"Me ",""),IF($H$26=7,"V ",""),IF($I$26=7,"Ma ",""),IF($J$26=7,"J ",""),IF($K$26=7,"Sa ",""),IF($L$26=7,"R ",""),IF($M$26=7,"K ",""))</f>
        <v xml:space="preserve">J </v>
      </c>
      <c r="U12" s="515"/>
      <c r="V12" s="526" t="str">
        <f>CONCATENATE(IF($D$26=8,"@ ",""),IF($E$26=8,"Su ",""),IF($F$26=8,"Mo ",""),IF($G$26=8,"Me ",""),IF($H$26=8,"V ",""),IF($I$26=8,"Ma ",""),IF($J$26=8,"J ",""),IF($K$26=8,"Sa ",""),IF($L$26=8,"R ",""),IF($M$26=8,"K ",""))</f>
        <v xml:space="preserve">Sa </v>
      </c>
      <c r="W12" s="527"/>
      <c r="AE12" s="518" t="str">
        <f>CONCATENATE(IF(AF11=1,$F$4,""),IF(AF11=2,$H$4,""),IF(AF11=3,$J$4,""),IF(AF11=4,$J$6,""),IF(AF11=5,$J$8,""),IF(AF11=6,$J$10,""),IF(AF11=7,$H$10,""),IF(AF11=8,$F$10,""),IF(AF11=9,$D$10,""),IF(AF11=10,$D$8,""),IF(AF11=11,$D$6,""),IF(AF11=12,$D$4,""))</f>
        <v xml:space="preserve">Ma </v>
      </c>
      <c r="AF12" s="519"/>
      <c r="AG12" s="514" t="str">
        <f>CONCATENATE(IF(AH11=1,$F$4,""),IF(AH11=2,$H$4,""),IF(AH11=3,$J$4,""),IF(AH11=4,$J$6,""),IF(AH11=5,$J$8,""),IF(AH11=6,$J$10,""),IF(AH11=7,$H$10,""),IF(AH11=8,$F$10,""),IF(AH11=9,$D$10,""),IF(AH11=10,$D$8,""),IF(AH11=11,$D$6,""),IF(AH11=12,$D$4,""))</f>
        <v xml:space="preserve">J </v>
      </c>
      <c r="AH12" s="515"/>
      <c r="AI12" s="526" t="str">
        <f>CONCATENATE(IF(AI11=1,$F$4,""),IF(AI11=2,$H$4,""),IF(AI11=3,$J$4,""),IF(AI11=4,$J$6,""),IF(AI11=5,$J$8,""),IF(AI11=6,$J$10,""),IF(AI11=7,$H$10,""),IF(AI11=8,$F$10,""),IF(AI11=9,$D$10,""),IF(AI11=10,$D$8,""),IF(AI11=11,$D$6,""),IF(AI11=12,$D$4,""))</f>
        <v xml:space="preserve">Sa </v>
      </c>
      <c r="AJ12" s="527"/>
      <c r="AN12" s="321"/>
      <c r="AO12" s="321"/>
      <c r="AP12" s="321"/>
      <c r="AQ12" s="75"/>
      <c r="AR12" s="322"/>
      <c r="AS12" s="323"/>
      <c r="AT12" s="323"/>
      <c r="AU12" s="324"/>
      <c r="AV12" s="323"/>
      <c r="AW12" s="323"/>
    </row>
    <row r="13" spans="1:49" ht="13.8" thickBot="1">
      <c r="R13" s="520"/>
      <c r="S13" s="521"/>
      <c r="T13" s="516"/>
      <c r="U13" s="517"/>
      <c r="V13" s="528"/>
      <c r="W13" s="529"/>
      <c r="AE13" s="520"/>
      <c r="AF13" s="521"/>
      <c r="AG13" s="516"/>
      <c r="AH13" s="517"/>
      <c r="AI13" s="528"/>
      <c r="AJ13" s="529"/>
      <c r="AN13" s="321"/>
      <c r="AO13" s="321"/>
      <c r="AP13" s="321"/>
      <c r="AQ13" s="75"/>
      <c r="AR13" s="322"/>
      <c r="AS13" s="323"/>
      <c r="AT13" s="323"/>
      <c r="AU13" s="324"/>
      <c r="AV13" s="323"/>
      <c r="AW13" s="323"/>
    </row>
    <row r="14" spans="1:49">
      <c r="AN14" s="321"/>
      <c r="AO14" s="321"/>
      <c r="AP14" s="321"/>
      <c r="AQ14" s="75"/>
      <c r="AR14" s="322"/>
      <c r="AS14" s="323"/>
      <c r="AT14" s="323"/>
      <c r="AU14" s="323"/>
      <c r="AV14" s="323"/>
      <c r="AW14" s="321"/>
    </row>
    <row r="15" spans="1:49">
      <c r="F15" s="509" t="s">
        <v>205</v>
      </c>
      <c r="G15" s="509"/>
      <c r="H15" s="509"/>
      <c r="I15" s="509"/>
      <c r="S15" s="509" t="s">
        <v>206</v>
      </c>
      <c r="T15" s="509"/>
      <c r="U15" s="509"/>
      <c r="V15" s="509"/>
      <c r="AE15" s="509" t="s">
        <v>207</v>
      </c>
      <c r="AF15" s="507"/>
      <c r="AG15" s="507"/>
      <c r="AH15" s="507"/>
      <c r="AI15" s="507"/>
      <c r="AJ15" s="507"/>
      <c r="AN15" s="321"/>
      <c r="AO15" s="321"/>
      <c r="AP15" s="321"/>
      <c r="AQ15" s="75"/>
      <c r="AR15" s="75"/>
      <c r="AS15" s="75"/>
      <c r="AT15" s="75"/>
      <c r="AU15" s="75"/>
      <c r="AV15" s="75"/>
      <c r="AW15" s="75"/>
    </row>
    <row r="16" spans="1:49">
      <c r="AN16" s="321"/>
      <c r="AO16" s="321"/>
      <c r="AP16" s="321"/>
      <c r="AQ16" s="75"/>
      <c r="AR16" s="75"/>
      <c r="AS16" s="75"/>
      <c r="AT16" s="75"/>
      <c r="AU16" s="75"/>
      <c r="AV16" s="75"/>
      <c r="AW16" s="75"/>
    </row>
    <row r="17" spans="1:41">
      <c r="A17" s="7"/>
      <c r="B17" s="13"/>
      <c r="D17" s="250" t="s">
        <v>337</v>
      </c>
      <c r="E17" s="10"/>
      <c r="F17" s="10"/>
      <c r="G17" s="10"/>
      <c r="H17" s="10"/>
      <c r="I17" s="10"/>
      <c r="J17" s="10"/>
      <c r="K17" s="10"/>
      <c r="L17" s="10"/>
      <c r="M17" s="10"/>
      <c r="N17" s="10"/>
      <c r="AA17" s="10"/>
      <c r="AB17" s="10"/>
      <c r="AC17" s="10"/>
      <c r="AD17" s="10"/>
      <c r="AE17" s="10"/>
      <c r="AF17" s="10"/>
      <c r="AG17" s="10"/>
      <c r="AH17" s="10"/>
      <c r="AI17" s="10"/>
      <c r="AJ17" s="11"/>
      <c r="AK17" s="11"/>
      <c r="AL17" s="11"/>
      <c r="AM17" s="12"/>
      <c r="AN17" s="1"/>
    </row>
    <row r="18" spans="1:41">
      <c r="A18" s="7"/>
      <c r="B18" s="13"/>
      <c r="C18" s="5"/>
      <c r="D18" s="14"/>
      <c r="E18" s="4"/>
      <c r="F18" s="4"/>
      <c r="G18" s="4"/>
      <c r="H18" s="4"/>
      <c r="I18" s="4"/>
      <c r="J18" s="4"/>
      <c r="K18" s="4"/>
      <c r="L18" s="4"/>
      <c r="M18" s="4"/>
      <c r="AB18" s="4"/>
      <c r="AC18" s="4"/>
      <c r="AD18" s="4"/>
      <c r="AE18" s="4"/>
      <c r="AF18" s="4"/>
      <c r="AG18" s="4"/>
      <c r="AH18" s="4"/>
      <c r="AI18" s="4"/>
      <c r="AJ18" s="4"/>
      <c r="AK18" s="4"/>
      <c r="AL18" s="4"/>
      <c r="AN18" s="1"/>
    </row>
    <row r="19" spans="1:41" ht="17.399999999999999">
      <c r="A19" s="245" t="s">
        <v>336</v>
      </c>
      <c r="B19" s="246"/>
      <c r="C19" s="246"/>
      <c r="D19" s="246"/>
      <c r="E19" s="246"/>
      <c r="F19" s="246"/>
      <c r="G19" s="246"/>
      <c r="H19" s="246"/>
      <c r="I19" s="245" t="str">
        <f>D2</f>
        <v>retrieved chart</v>
      </c>
      <c r="J19" s="246"/>
      <c r="K19" s="246"/>
      <c r="L19" s="246"/>
      <c r="M19" s="249" t="s">
        <v>313</v>
      </c>
      <c r="N19" s="247"/>
      <c r="O19" s="247"/>
      <c r="P19" s="247"/>
      <c r="Q19" s="247"/>
      <c r="R19" s="247"/>
      <c r="S19" s="247"/>
      <c r="T19" s="247"/>
      <c r="U19" s="247"/>
      <c r="V19" s="247"/>
      <c r="W19" s="247"/>
      <c r="X19" s="247"/>
      <c r="Y19" s="247"/>
      <c r="Z19" s="247"/>
      <c r="AA19" s="247"/>
      <c r="AB19" s="247"/>
      <c r="AC19" s="247"/>
      <c r="AD19" s="247"/>
      <c r="AE19" s="247"/>
      <c r="AF19" s="247"/>
      <c r="AG19" s="247"/>
      <c r="AH19" s="247"/>
      <c r="AI19" s="247"/>
      <c r="AJ19" s="247"/>
      <c r="AK19" s="247"/>
      <c r="AL19" s="247"/>
      <c r="AM19" s="247"/>
      <c r="AN19" s="248"/>
      <c r="AO19" s="248"/>
    </row>
    <row r="20" spans="1:41">
      <c r="A20" s="7"/>
      <c r="B20" s="13"/>
      <c r="C20" s="5"/>
      <c r="D20" s="14"/>
      <c r="E20" s="4"/>
      <c r="F20" s="4"/>
      <c r="G20" s="4"/>
      <c r="H20" s="4"/>
      <c r="I20" s="4"/>
      <c r="J20" s="4"/>
      <c r="K20" s="4"/>
      <c r="L20" s="4"/>
      <c r="M20" s="4"/>
      <c r="AB20" s="4"/>
      <c r="AC20" s="4"/>
      <c r="AD20" s="4"/>
      <c r="AE20" s="4"/>
      <c r="AF20" s="4"/>
      <c r="AG20" s="4"/>
      <c r="AH20" s="4"/>
      <c r="AI20" s="4"/>
      <c r="AJ20" s="4"/>
      <c r="AK20" s="4"/>
      <c r="AL20" s="4"/>
      <c r="AN20" s="1"/>
    </row>
    <row r="21" spans="1:41">
      <c r="A21" s="7"/>
      <c r="B21" s="13"/>
      <c r="C21" s="5"/>
      <c r="D21" s="4"/>
      <c r="E21" s="4"/>
      <c r="F21" s="4"/>
      <c r="G21" s="4"/>
      <c r="H21" s="4"/>
      <c r="I21" s="4"/>
      <c r="J21" s="4"/>
      <c r="K21" s="4"/>
      <c r="L21" s="4"/>
      <c r="M21" s="4"/>
      <c r="AB21" s="4"/>
      <c r="AC21" s="4"/>
      <c r="AD21" s="4"/>
      <c r="AE21" s="4"/>
      <c r="AF21" s="4"/>
      <c r="AG21" s="4"/>
      <c r="AH21" s="4"/>
      <c r="AI21" s="4"/>
      <c r="AJ21" s="4"/>
      <c r="AK21" s="4"/>
      <c r="AL21" s="4"/>
      <c r="AM21" s="16"/>
      <c r="AN21" s="1"/>
    </row>
    <row r="22" spans="1:41" ht="15.6">
      <c r="A22" s="7"/>
      <c r="B22" s="3"/>
      <c r="C22" s="4"/>
      <c r="D22" s="17"/>
      <c r="E22" s="508" t="s">
        <v>12</v>
      </c>
      <c r="F22" s="508"/>
      <c r="G22" s="508"/>
      <c r="H22" s="508"/>
      <c r="I22" s="508"/>
      <c r="J22" s="508"/>
      <c r="K22" s="508"/>
      <c r="L22" s="508"/>
      <c r="M22" s="508"/>
      <c r="O22" s="508" t="s">
        <v>13</v>
      </c>
      <c r="P22" s="508"/>
      <c r="Q22" s="508"/>
      <c r="R22" s="508"/>
      <c r="S22" s="508"/>
      <c r="T22" s="508"/>
      <c r="U22" s="508"/>
      <c r="V22" s="508"/>
      <c r="W22" s="508"/>
      <c r="X22" s="508"/>
      <c r="Y22" s="508"/>
      <c r="Z22" s="508"/>
      <c r="AB22" s="508" t="s">
        <v>14</v>
      </c>
      <c r="AC22" s="508"/>
      <c r="AD22" s="508"/>
      <c r="AE22" s="508"/>
      <c r="AF22" s="508"/>
      <c r="AG22" s="508"/>
      <c r="AH22" s="508"/>
      <c r="AI22" s="508"/>
      <c r="AJ22" s="508"/>
      <c r="AK22" s="508"/>
      <c r="AL22" s="508"/>
      <c r="AM22" s="508"/>
      <c r="AN22" s="1"/>
    </row>
    <row r="23" spans="1:41" ht="69">
      <c r="A23" s="18" t="s">
        <v>15</v>
      </c>
      <c r="B23" s="3"/>
      <c r="C23" s="4"/>
      <c r="D23" s="19" t="s">
        <v>16</v>
      </c>
      <c r="E23" s="19" t="s">
        <v>17</v>
      </c>
      <c r="F23" s="19" t="s">
        <v>18</v>
      </c>
      <c r="G23" s="19" t="s">
        <v>19</v>
      </c>
      <c r="H23" s="19" t="s">
        <v>20</v>
      </c>
      <c r="I23" s="19" t="s">
        <v>21</v>
      </c>
      <c r="J23" s="19" t="s">
        <v>22</v>
      </c>
      <c r="K23" s="19" t="s">
        <v>23</v>
      </c>
      <c r="L23" s="19" t="s">
        <v>24</v>
      </c>
      <c r="M23" s="19" t="s">
        <v>25</v>
      </c>
      <c r="O23" s="19" t="s">
        <v>26</v>
      </c>
      <c r="P23" s="19" t="s">
        <v>27</v>
      </c>
      <c r="Q23" s="19" t="s">
        <v>28</v>
      </c>
      <c r="R23" s="19" t="s">
        <v>29</v>
      </c>
      <c r="S23" s="19" t="s">
        <v>30</v>
      </c>
      <c r="T23" s="19" t="s">
        <v>31</v>
      </c>
      <c r="U23" s="19" t="s">
        <v>32</v>
      </c>
      <c r="V23" s="19" t="s">
        <v>33</v>
      </c>
      <c r="W23" s="19" t="s">
        <v>34</v>
      </c>
      <c r="X23" s="19" t="s">
        <v>35</v>
      </c>
      <c r="Y23" s="19" t="s">
        <v>36</v>
      </c>
      <c r="Z23" s="19" t="s">
        <v>37</v>
      </c>
      <c r="AB23" s="20" t="s">
        <v>38</v>
      </c>
      <c r="AC23" s="20" t="s">
        <v>39</v>
      </c>
      <c r="AD23" s="20" t="s">
        <v>40</v>
      </c>
      <c r="AE23" s="20" t="s">
        <v>41</v>
      </c>
      <c r="AF23" s="20" t="s">
        <v>42</v>
      </c>
      <c r="AG23" s="20" t="s">
        <v>43</v>
      </c>
      <c r="AH23" s="20" t="s">
        <v>44</v>
      </c>
      <c r="AI23" s="20" t="s">
        <v>45</v>
      </c>
      <c r="AJ23" s="20" t="s">
        <v>46</v>
      </c>
      <c r="AK23" s="20" t="s">
        <v>47</v>
      </c>
      <c r="AL23" s="20" t="s">
        <v>48</v>
      </c>
      <c r="AM23" s="20" t="s">
        <v>49</v>
      </c>
      <c r="AN23" s="1"/>
    </row>
    <row r="24" spans="1:41" ht="15.6">
      <c r="A24" s="21" t="s">
        <v>50</v>
      </c>
      <c r="B24" s="22" t="s">
        <v>51</v>
      </c>
      <c r="C24" s="23"/>
      <c r="D24" s="23" t="s">
        <v>52</v>
      </c>
      <c r="E24" s="23" t="s">
        <v>53</v>
      </c>
      <c r="F24" s="23" t="s">
        <v>54</v>
      </c>
      <c r="G24" s="23" t="s">
        <v>55</v>
      </c>
      <c r="H24" s="23" t="s">
        <v>56</v>
      </c>
      <c r="I24" s="23" t="s">
        <v>57</v>
      </c>
      <c r="J24" s="23" t="s">
        <v>58</v>
      </c>
      <c r="K24" s="23" t="s">
        <v>59</v>
      </c>
      <c r="L24" s="23" t="s">
        <v>60</v>
      </c>
      <c r="M24" s="23" t="s">
        <v>61</v>
      </c>
      <c r="N24" s="24"/>
      <c r="O24" s="23" t="s">
        <v>62</v>
      </c>
      <c r="P24" s="23" t="s">
        <v>63</v>
      </c>
      <c r="Q24" s="23" t="s">
        <v>64</v>
      </c>
      <c r="R24" s="23" t="s">
        <v>65</v>
      </c>
      <c r="S24" s="23" t="s">
        <v>66</v>
      </c>
      <c r="T24" s="23" t="s">
        <v>67</v>
      </c>
      <c r="U24" s="23" t="s">
        <v>68</v>
      </c>
      <c r="V24" s="23" t="s">
        <v>69</v>
      </c>
      <c r="W24" s="23" t="s">
        <v>70</v>
      </c>
      <c r="X24" s="23" t="s">
        <v>71</v>
      </c>
      <c r="Y24" s="23" t="s">
        <v>72</v>
      </c>
      <c r="Z24" s="23" t="s">
        <v>73</v>
      </c>
      <c r="AA24" s="24"/>
      <c r="AB24" s="23" t="s">
        <v>74</v>
      </c>
      <c r="AC24" s="23" t="s">
        <v>75</v>
      </c>
      <c r="AD24" s="23" t="s">
        <v>76</v>
      </c>
      <c r="AE24" s="23" t="s">
        <v>77</v>
      </c>
      <c r="AF24" s="23" t="s">
        <v>76</v>
      </c>
      <c r="AG24" s="23" t="s">
        <v>78</v>
      </c>
      <c r="AH24" s="23" t="s">
        <v>79</v>
      </c>
      <c r="AI24" s="23" t="s">
        <v>80</v>
      </c>
      <c r="AJ24" s="23" t="s">
        <v>81</v>
      </c>
      <c r="AK24" s="23" t="s">
        <v>82</v>
      </c>
      <c r="AL24" s="23" t="s">
        <v>83</v>
      </c>
      <c r="AM24" s="23" t="s">
        <v>84</v>
      </c>
      <c r="AN24" s="1"/>
    </row>
    <row r="25" spans="1:41" ht="16.2" thickBot="1">
      <c r="A25" s="25"/>
      <c r="B25" s="26" t="s">
        <v>85</v>
      </c>
      <c r="C25" s="27"/>
      <c r="D25" s="28"/>
      <c r="E25" s="29"/>
      <c r="F25" s="29"/>
      <c r="G25" s="29"/>
      <c r="H25" s="29"/>
      <c r="I25" s="29"/>
      <c r="J25" s="29"/>
      <c r="K25" s="29"/>
      <c r="L25" s="29"/>
      <c r="M25" s="29"/>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1"/>
    </row>
    <row r="26" spans="1:41">
      <c r="A26" s="25" t="s">
        <v>86</v>
      </c>
      <c r="B26" s="5" t="s">
        <v>87</v>
      </c>
      <c r="C26" s="3"/>
      <c r="D26" s="32">
        <f>IF(AND(D27&gt;=0,D27&lt;30),1,IF(AND(D27&gt;=30,D27&lt;60),2,IF(AND(D27&gt;=60,D27&lt;90),3,IF(AND(D27&gt;=90,D27&lt;120),4,IF(AND(D27&gt;=120,D27&lt;150),5,IF(AND(D27&gt;=150,D27&lt;180),6,0))))))+IF(AND(D27&gt;=180,D27&lt;210),7,IF(AND(D27&gt;=210,D27&lt;240),8,IF(AND(D27&gt;=240,D27&lt;270),9,IF(AND(D27&gt;=270,D27&lt;300),10,IF(AND(D27&gt;=300,D27&lt;330),11,IF(AND(D27&gt;=330,D27&lt;360),12,0))))))</f>
        <v>1</v>
      </c>
      <c r="E26" s="32">
        <f t="shared" ref="E26:M26" si="0">IF(AND(E27&gt;=0,E27&lt;30),1,IF(AND(E27&gt;=30,E27&lt;60),2,IF(AND(E27&gt;=60,E27&lt;90),3,IF(AND(E27&gt;=90,E27&lt;120),4,IF(AND(E27&gt;=120,E27&lt;150),5,IF(AND(E27&gt;=150,E27&lt;180),6,0))))))+IF(AND(E27&gt;=180,E27&lt;210),7,IF(AND(E27&gt;=210,E27&lt;240),8,IF(AND(E27&gt;=240,E27&lt;270),9,IF(AND(E27&gt;=270,E27&lt;300),10,IF(AND(E27&gt;=300,E27&lt;330),11,IF(AND(E27&gt;=330,E27&lt;360),12,0))))))</f>
        <v>2</v>
      </c>
      <c r="F26" s="32">
        <f t="shared" si="0"/>
        <v>3</v>
      </c>
      <c r="G26" s="32">
        <f t="shared" si="0"/>
        <v>4</v>
      </c>
      <c r="H26" s="32">
        <f t="shared" si="0"/>
        <v>5</v>
      </c>
      <c r="I26" s="32">
        <f t="shared" si="0"/>
        <v>6</v>
      </c>
      <c r="J26" s="32">
        <f t="shared" si="0"/>
        <v>7</v>
      </c>
      <c r="K26" s="32">
        <f t="shared" si="0"/>
        <v>8</v>
      </c>
      <c r="L26" s="32">
        <f t="shared" si="0"/>
        <v>9</v>
      </c>
      <c r="M26" s="32">
        <f t="shared" si="0"/>
        <v>10</v>
      </c>
      <c r="N26" s="33"/>
      <c r="O26" s="34">
        <f ca="1">IF(ISBLANK(OFFSET(O26,0,-11+O$34))," ",OFFSET(O26,0,-11+O$34))</f>
        <v>6</v>
      </c>
      <c r="P26" s="34">
        <f ca="1">IF(ISBLANK(OFFSET(P26,0,-12+P$34))," ",OFFSET(P26,0,-12+P$34))</f>
        <v>5</v>
      </c>
      <c r="Q26" s="34">
        <f ca="1">IF(ISBLANK(OFFSET(Q26,0,-13+Q$34))," ",OFFSET(Q26,0,-13+Q$34))</f>
        <v>4</v>
      </c>
      <c r="R26" s="34">
        <f ca="1">IF(ISBLANK(OFFSET(R26,0,-14+R$34))," ",OFFSET(R26,0,-14+R$34))</f>
        <v>3</v>
      </c>
      <c r="S26" s="34">
        <f ca="1">IF(ISBLANK(OFFSET(S26,0,-15+S$34))," ",OFFSET(S26,0,-15+S$34))</f>
        <v>2</v>
      </c>
      <c r="T26" s="34">
        <f ca="1">IF(ISBLANK(OFFSET(T26,0,-16+T$34))," ",OFFSET(T26,0,-16+T$34))</f>
        <v>4</v>
      </c>
      <c r="U26" s="34">
        <f ca="1">IF(ISBLANK(OFFSET(U26,0,-17+U$34))," ",OFFSET(U26,0,-17+U$34))</f>
        <v>5</v>
      </c>
      <c r="V26" s="34">
        <f ca="1">IF(ISBLANK(OFFSET(V26,0,-18+V$34))," ",OFFSET(V26,0,-18+V$34))</f>
        <v>6</v>
      </c>
      <c r="W26" s="34">
        <f ca="1">IF(ISBLANK(OFFSET(W26,0,-19+W$34))," ",OFFSET(W26,0,-19+W$34))</f>
        <v>7</v>
      </c>
      <c r="X26" s="34">
        <f ca="1">IF(ISBLANK(OFFSET(X26,0,-20+X$34))," ",OFFSET(X26,0,-20+X$34))</f>
        <v>8</v>
      </c>
      <c r="Y26" s="34">
        <f ca="1">IF(ISBLANK(OFFSET(Y26,0,-21+Y$34))," ",OFFSET(Y26,0,-21+Y$34))</f>
        <v>8</v>
      </c>
      <c r="Z26" s="34">
        <f ca="1">IF(ISBLANK(OFFSET(Z26,0,-22+Z$34))," ",OFFSET(Z26,0,-22+Z$34))</f>
        <v>7</v>
      </c>
      <c r="AA26" s="35"/>
      <c r="AB26" s="36">
        <f>D26</f>
        <v>1</v>
      </c>
      <c r="AC26" s="36">
        <f>IF((MOD(AB26+1,12)&gt;0),MOD(AB26+1,12),12)</f>
        <v>2</v>
      </c>
      <c r="AD26" s="36">
        <f>IF((MOD(AC26+1,12)&gt;0),MOD(AC26+1,12),12)</f>
        <v>3</v>
      </c>
      <c r="AE26" s="36">
        <f t="shared" ref="AE26:AM26" si="1">IF((MOD(AD26+1,12)&gt;0),MOD(AD26+1,12),12)</f>
        <v>4</v>
      </c>
      <c r="AF26" s="36">
        <f t="shared" si="1"/>
        <v>5</v>
      </c>
      <c r="AG26" s="36">
        <f t="shared" si="1"/>
        <v>6</v>
      </c>
      <c r="AH26" s="36">
        <f t="shared" si="1"/>
        <v>7</v>
      </c>
      <c r="AI26" s="36">
        <f t="shared" si="1"/>
        <v>8</v>
      </c>
      <c r="AJ26" s="36">
        <f t="shared" si="1"/>
        <v>9</v>
      </c>
      <c r="AK26" s="36">
        <f t="shared" si="1"/>
        <v>10</v>
      </c>
      <c r="AL26" s="36">
        <f t="shared" si="1"/>
        <v>11</v>
      </c>
      <c r="AM26" s="36">
        <f t="shared" si="1"/>
        <v>12</v>
      </c>
      <c r="AN26" s="3"/>
    </row>
    <row r="27" spans="1:41">
      <c r="A27" s="25" t="s">
        <v>88</v>
      </c>
      <c r="B27" s="37" t="s">
        <v>89</v>
      </c>
      <c r="C27" s="1"/>
      <c r="D27" s="331">
        <v>5</v>
      </c>
      <c r="E27" s="331">
        <v>35</v>
      </c>
      <c r="F27" s="331">
        <v>65</v>
      </c>
      <c r="G27" s="331">
        <v>95</v>
      </c>
      <c r="H27" s="331">
        <v>125</v>
      </c>
      <c r="I27" s="331">
        <v>155</v>
      </c>
      <c r="J27" s="331">
        <v>185</v>
      </c>
      <c r="K27" s="331">
        <v>215</v>
      </c>
      <c r="L27" s="331">
        <v>245</v>
      </c>
      <c r="M27" s="331">
        <v>275</v>
      </c>
      <c r="N27" s="39"/>
      <c r="O27" s="40">
        <f ca="1">IF(ISBLANK(OFFSET(O27,0,-11+O$34))," ",OFFSET(O27,0,-11+O$34))</f>
        <v>155</v>
      </c>
      <c r="P27" s="40">
        <f ca="1">IF(ISBLANK(OFFSET(P27,0,-12+P$34))," ",OFFSET(P27,0,-12+P$34))</f>
        <v>125</v>
      </c>
      <c r="Q27" s="40">
        <f ca="1">IF(ISBLANK(OFFSET(Q27,0,-13+Q$34))," ",OFFSET(Q27,0,-13+Q$34))</f>
        <v>95</v>
      </c>
      <c r="R27" s="40">
        <f ca="1">IF(ISBLANK(OFFSET(R27,0,-14+R$34))," ",OFFSET(R27,0,-14+R$34))</f>
        <v>65</v>
      </c>
      <c r="S27" s="40">
        <f ca="1">IF(ISBLANK(OFFSET(S27,0,-15+S$34))," ",OFFSET(S27,0,-15+S$34))</f>
        <v>35</v>
      </c>
      <c r="T27" s="40">
        <f ca="1">IF(ISBLANK(OFFSET(T27,0,-16+T$34))," ",OFFSET(T27,0,-16+T$34))</f>
        <v>95</v>
      </c>
      <c r="U27" s="40">
        <f ca="1">IF(ISBLANK(OFFSET(U27,0,-17+U$34))," ",OFFSET(U27,0,-17+U$34))</f>
        <v>125</v>
      </c>
      <c r="V27" s="40">
        <f ca="1">IF(ISBLANK(OFFSET(V27,0,-18+V$34))," ",OFFSET(V27,0,-18+V$34))</f>
        <v>155</v>
      </c>
      <c r="W27" s="40">
        <f ca="1">IF(ISBLANK(OFFSET(W27,0,-19+W$34))," ",OFFSET(W27,0,-19+W$34))</f>
        <v>185</v>
      </c>
      <c r="X27" s="40">
        <f ca="1">IF(ISBLANK(OFFSET(X27,0,-20+X$34))," ",OFFSET(X27,0,-20+X$34))</f>
        <v>215</v>
      </c>
      <c r="Y27" s="40">
        <f ca="1">IF(ISBLANK(OFFSET(Y27,0,-21+Y$34))," ",OFFSET(Y27,0,-21+Y$34))</f>
        <v>215</v>
      </c>
      <c r="Z27" s="40">
        <f ca="1">IF(ISBLANK(OFFSET(Z27,0,-22+Z$34))," ",OFFSET(Z27,0,-22+Z$34))</f>
        <v>185</v>
      </c>
      <c r="AA27" s="39"/>
      <c r="AB27" s="39"/>
      <c r="AC27" s="39"/>
      <c r="AD27" s="39"/>
      <c r="AE27" s="39"/>
      <c r="AF27" s="39"/>
      <c r="AG27" s="39"/>
      <c r="AH27" s="39"/>
      <c r="AI27" s="39"/>
      <c r="AJ27" s="39"/>
      <c r="AK27" s="39"/>
      <c r="AL27" s="39"/>
      <c r="AM27" s="39"/>
      <c r="AN27" s="41"/>
    </row>
    <row r="28" spans="1:41">
      <c r="A28" s="25" t="s">
        <v>90</v>
      </c>
      <c r="B28" s="37" t="s">
        <v>91</v>
      </c>
      <c r="C28" s="1"/>
      <c r="D28" s="42">
        <f t="shared" ref="D28:M28" si="2">IF(D$27&lt;13.33,1,IF(D$27&lt;26.67,2,IF(D$27&lt;40,3,IF(D$27&lt;53.33,4,IF(D$27&lt;66.67,5,IF(D$27&lt;80,6,IF(D$27&lt;93.33,7,0)))))))+IF(D$27&gt;93.33,IF(D$27&lt;106.67,8,IF(D$27&lt;120,9,IF(D$27&lt;133.33,10,IF(D$27&lt;146.67,11,IF(D$27&lt;160,12,IF(D$27&lt;173.33,13,IF(D$27&lt;186.67,14,0))))))),0)+IF(D$27&gt;=186.67,IF(D$27&lt;200,15,IF(D$27&lt;213.33,16,IF(D$27&lt;226.67,17,IF(D$27&lt;240,18,IF(D$27&lt;253.33,19,IF(D$27&lt;266.67,20,IF(D$27&lt;280,21,0))))))),0)+IF(D$27&gt;=266.67,IF(D$27&lt;293.33,22,IF(D$27&lt;306.67,23,IF(D$27&lt;320,24,IF(D$27&lt;333.33,25,IF(D$27&lt;346.67,26,IF(D$27&lt;360,27,"E")))))),0)</f>
        <v>1</v>
      </c>
      <c r="E28" s="42">
        <f t="shared" si="2"/>
        <v>3</v>
      </c>
      <c r="F28" s="42">
        <f t="shared" si="2"/>
        <v>5</v>
      </c>
      <c r="G28" s="42">
        <f t="shared" si="2"/>
        <v>8</v>
      </c>
      <c r="H28" s="42">
        <f t="shared" si="2"/>
        <v>10</v>
      </c>
      <c r="I28" s="42">
        <f t="shared" si="2"/>
        <v>12</v>
      </c>
      <c r="J28" s="42">
        <f t="shared" si="2"/>
        <v>14</v>
      </c>
      <c r="K28" s="42">
        <f t="shared" si="2"/>
        <v>17</v>
      </c>
      <c r="L28" s="42">
        <f t="shared" si="2"/>
        <v>19</v>
      </c>
      <c r="M28" s="42">
        <f t="shared" si="2"/>
        <v>43</v>
      </c>
      <c r="N28" s="39"/>
      <c r="O28" s="43">
        <f ca="1">IF(ISBLANK(OFFSET(O28,0,-11+O$34))," ",OFFSET(O28,0,-11+O$34))</f>
        <v>12</v>
      </c>
      <c r="P28" s="43">
        <f ca="1">IF(ISBLANK(OFFSET(P28,0,-12+P$34))," ",OFFSET(P28,0,-12+P$34))</f>
        <v>10</v>
      </c>
      <c r="Q28" s="43">
        <f ca="1">IF(ISBLANK(OFFSET(Q28,0,-13+Q$34))," ",OFFSET(Q28,0,-13+Q$34))</f>
        <v>8</v>
      </c>
      <c r="R28" s="43">
        <f ca="1">IF(ISBLANK(OFFSET(R28,0,-14+R$34))," ",OFFSET(R28,0,-14+R$34))</f>
        <v>5</v>
      </c>
      <c r="S28" s="43">
        <f ca="1">IF(ISBLANK(OFFSET(S28,0,-15+S$34))," ",OFFSET(S28,0,-15+S$34))</f>
        <v>3</v>
      </c>
      <c r="T28" s="43">
        <f ca="1">IF(ISBLANK(OFFSET(T28,0,-16+T$34))," ",OFFSET(T28,0,-16+T$34))</f>
        <v>8</v>
      </c>
      <c r="U28" s="43">
        <f ca="1">IF(ISBLANK(OFFSET(U28,0,-17+U$34))," ",OFFSET(U28,0,-17+U$34))</f>
        <v>10</v>
      </c>
      <c r="V28" s="43">
        <f ca="1">IF(ISBLANK(OFFSET(V28,0,-18+V$34))," ",OFFSET(V28,0,-18+V$34))</f>
        <v>12</v>
      </c>
      <c r="W28" s="43">
        <f ca="1">IF(ISBLANK(OFFSET(W28,0,-19+W$34))," ",OFFSET(W28,0,-19+W$34))</f>
        <v>14</v>
      </c>
      <c r="X28" s="43">
        <f ca="1">IF(ISBLANK(OFFSET(X28,0,-20+X$34))," ",OFFSET(X28,0,-20+X$34))</f>
        <v>17</v>
      </c>
      <c r="Y28" s="43">
        <f ca="1">IF(ISBLANK(OFFSET(Y28,0,-21+Y$34))," ",OFFSET(Y28,0,-21+Y$34))</f>
        <v>17</v>
      </c>
      <c r="Z28" s="43">
        <f ca="1">IF(ISBLANK(OFFSET(Z28,0,-22+Z$34))," ",OFFSET(Z28,0,-22+Z$34))</f>
        <v>14</v>
      </c>
      <c r="AA28" s="39"/>
      <c r="AB28" s="39"/>
      <c r="AC28" s="39"/>
      <c r="AD28" s="39"/>
      <c r="AE28" s="39"/>
      <c r="AF28" s="39"/>
      <c r="AG28" s="39"/>
      <c r="AH28" s="39"/>
      <c r="AI28" s="39"/>
      <c r="AJ28" s="39"/>
      <c r="AK28" s="39"/>
      <c r="AL28" s="39"/>
      <c r="AM28" s="39"/>
      <c r="AN28" s="3"/>
    </row>
    <row r="29" spans="1:41">
      <c r="A29" s="25"/>
      <c r="B29" s="3"/>
      <c r="C29" s="6" t="s">
        <v>92</v>
      </c>
      <c r="D29" s="44" t="str">
        <f>CONCATENATE(IF(D26=1,"Ari",""),IF(D26=2,"Tau",""),IF(D26=3,"Gem",""),IF(D26=4,"Can",""),IF(D26=5,"Leo",""),IF(D26=6,"Vir",""),IF(D26=7,"Lib",""),IF(D26=8,"Sco",""),IF(D26=9,"Sag",""),IF(D26=10,"Cap",""),IF(D26=11,"Acq",""),IF(D26=12,"Pis",""))</f>
        <v>Ari</v>
      </c>
      <c r="E29" s="44" t="str">
        <f t="shared" ref="E29:M29" si="3">CONCATENATE(IF(E26=1,"Ari",""),IF(E26=2,"Tau",""),IF(E26=3,"Gem",""),IF(E26=4,"Can",""),IF(E26=5,"Leo",""),IF(E26=6,"Vir",""),IF(E26=7,"Lib",""),IF(E26=8,"Sco",""),IF(E26=9,"Sag",""),IF(E26=10,"Cap",""),IF(E26=11,"Acq",""),IF(E26=12,"Pis",""))</f>
        <v>Tau</v>
      </c>
      <c r="F29" s="44" t="str">
        <f t="shared" si="3"/>
        <v>Gem</v>
      </c>
      <c r="G29" s="44" t="str">
        <f t="shared" si="3"/>
        <v>Can</v>
      </c>
      <c r="H29" s="44" t="str">
        <f t="shared" si="3"/>
        <v>Leo</v>
      </c>
      <c r="I29" s="44" t="str">
        <f t="shared" si="3"/>
        <v>Vir</v>
      </c>
      <c r="J29" s="44" t="str">
        <f t="shared" si="3"/>
        <v>Lib</v>
      </c>
      <c r="K29" s="44" t="str">
        <f t="shared" si="3"/>
        <v>Sco</v>
      </c>
      <c r="L29" s="44" t="str">
        <f t="shared" si="3"/>
        <v>Sag</v>
      </c>
      <c r="M29" s="44" t="str">
        <f t="shared" si="3"/>
        <v>Cap</v>
      </c>
      <c r="N29" s="39"/>
      <c r="O29" s="43" t="str">
        <f ca="1">IF(ISBLANK(OFFSET(O29,0,-11+O$34))," ",OFFSET(O29,0,-11+O$34))</f>
        <v>Vir</v>
      </c>
      <c r="P29" s="43" t="str">
        <f ca="1">IF(ISBLANK(OFFSET(P29,0,-12+P$34))," ",OFFSET(P29,0,-12+P$34))</f>
        <v>Leo</v>
      </c>
      <c r="Q29" s="43" t="str">
        <f ca="1">IF(ISBLANK(OFFSET(Q29,0,-13+Q$34))," ",OFFSET(Q29,0,-13+Q$34))</f>
        <v>Can</v>
      </c>
      <c r="R29" s="43" t="str">
        <f ca="1">IF(ISBLANK(OFFSET(R29,0,-14+R$34))," ",OFFSET(R29,0,-14+R$34))</f>
        <v>Gem</v>
      </c>
      <c r="S29" s="43" t="str">
        <f ca="1">IF(ISBLANK(OFFSET(S29,0,-15+S$34))," ",OFFSET(S29,0,-15+S$34))</f>
        <v>Tau</v>
      </c>
      <c r="T29" s="43" t="str">
        <f ca="1">IF(ISBLANK(OFFSET(T29,0,-16+T$34))," ",OFFSET(T29,0,-16+T$34))</f>
        <v>Can</v>
      </c>
      <c r="U29" s="43" t="str">
        <f ca="1">IF(ISBLANK(OFFSET(U29,0,-17+U$34))," ",OFFSET(U29,0,-17+U$34))</f>
        <v>Leo</v>
      </c>
      <c r="V29" s="43" t="str">
        <f ca="1">IF(ISBLANK(OFFSET(V29,0,-18+V$34))," ",OFFSET(V29,0,-18+V$34))</f>
        <v>Vir</v>
      </c>
      <c r="W29" s="43" t="str">
        <f ca="1">IF(ISBLANK(OFFSET(W29,0,-19+W$34))," ",OFFSET(W29,0,-19+W$34))</f>
        <v>Lib</v>
      </c>
      <c r="X29" s="43" t="str">
        <f ca="1">IF(ISBLANK(OFFSET(X29,0,-20+X$34))," ",OFFSET(X29,0,-20+X$34))</f>
        <v>Sco</v>
      </c>
      <c r="Y29" s="43" t="str">
        <f ca="1">IF(ISBLANK(OFFSET(Y29,0,-21+Y$34))," ",OFFSET(Y29,0,-21+Y$34))</f>
        <v>Sco</v>
      </c>
      <c r="Z29" s="43" t="str">
        <f ca="1">IF(ISBLANK(OFFSET(Z29,0,-22+Z$34))," ",OFFSET(Z29,0,-22+Z$34))</f>
        <v>Lib</v>
      </c>
      <c r="AA29" s="39"/>
      <c r="AB29" s="44" t="str">
        <f>CONCATENATE(IF(AB26=1,"Ari",""),IF(AB26=2,"Tau",""),IF(AB26=3,"Gem",""),IF(AB26=4,"Can",""),IF(AB26=5,"Leo",""),IF(AB26=6,"Vir",""),IF(AB26=7,"Lib",""),IF(AB26=8,"Sco",""),IF(AB26=9,"Sag",""),IF(AB26=10,"Cap",""),IF(AB26=11,"Acq",""),IF(AB26=12,"Pis",""))</f>
        <v>Ari</v>
      </c>
      <c r="AC29" s="44" t="str">
        <f t="shared" ref="AC29:AM29" si="4">CONCATENATE(IF(AC26=1,"Ari",""),IF(AC26=2,"Tau",""),IF(AC26=3,"Gem",""),IF(AC26=4,"Can",""),IF(AC26=5,"Leo",""),IF(AC26=6,"Vir",""),IF(AC26=7,"Lib",""),IF(AC26=8,"Sco",""),IF(AC26=9,"Sag",""),IF(AC26=10,"Cap",""),IF(AC26=11,"Acq",""),IF(AC26=12,"Pis",""))</f>
        <v>Tau</v>
      </c>
      <c r="AD29" s="44" t="str">
        <f t="shared" si="4"/>
        <v>Gem</v>
      </c>
      <c r="AE29" s="44" t="str">
        <f t="shared" si="4"/>
        <v>Can</v>
      </c>
      <c r="AF29" s="44" t="str">
        <f t="shared" si="4"/>
        <v>Leo</v>
      </c>
      <c r="AG29" s="44" t="str">
        <f t="shared" si="4"/>
        <v>Vir</v>
      </c>
      <c r="AH29" s="44" t="str">
        <f t="shared" si="4"/>
        <v>Lib</v>
      </c>
      <c r="AI29" s="44" t="str">
        <f t="shared" si="4"/>
        <v>Sco</v>
      </c>
      <c r="AJ29" s="44" t="str">
        <f t="shared" si="4"/>
        <v>Sag</v>
      </c>
      <c r="AK29" s="44" t="str">
        <f t="shared" si="4"/>
        <v>Cap</v>
      </c>
      <c r="AL29" s="44" t="str">
        <f t="shared" si="4"/>
        <v>Acq</v>
      </c>
      <c r="AM29" s="44" t="str">
        <f t="shared" si="4"/>
        <v>Pis</v>
      </c>
      <c r="AN29" s="1"/>
    </row>
    <row r="30" spans="1:41">
      <c r="A30" s="25" t="s">
        <v>93</v>
      </c>
      <c r="B30" s="5" t="s">
        <v>94</v>
      </c>
      <c r="C30" s="3"/>
      <c r="D30" s="45"/>
      <c r="E30" s="42">
        <f t="shared" ref="E30:M30" si="5">IF((E$26 &gt;= $D$26),(E$26-$D$26+1),(E$26-$D$26+1+12))</f>
        <v>2</v>
      </c>
      <c r="F30" s="42">
        <f t="shared" si="5"/>
        <v>3</v>
      </c>
      <c r="G30" s="42">
        <f t="shared" si="5"/>
        <v>4</v>
      </c>
      <c r="H30" s="42">
        <f t="shared" si="5"/>
        <v>5</v>
      </c>
      <c r="I30" s="42">
        <f t="shared" si="5"/>
        <v>6</v>
      </c>
      <c r="J30" s="42">
        <f t="shared" si="5"/>
        <v>7</v>
      </c>
      <c r="K30" s="42">
        <f t="shared" si="5"/>
        <v>8</v>
      </c>
      <c r="L30" s="42">
        <f t="shared" si="5"/>
        <v>9</v>
      </c>
      <c r="M30" s="42">
        <f t="shared" si="5"/>
        <v>10</v>
      </c>
      <c r="N30" s="46"/>
      <c r="O30" s="43">
        <f ca="1">IF(ISBLANK(OFFSET(O30,0,-11+O$34))," ",OFFSET(O30,0,-11+O$34))</f>
        <v>6</v>
      </c>
      <c r="P30" s="43">
        <f ca="1">IF(ISBLANK(OFFSET(P30,0,-12+P$34))," ",OFFSET(P30,0,-12+P$34))</f>
        <v>5</v>
      </c>
      <c r="Q30" s="43">
        <f ca="1">IF(ISBLANK(OFFSET(Q30,0,-13+Q$34))," ",OFFSET(Q30,0,-13+Q$34))</f>
        <v>4</v>
      </c>
      <c r="R30" s="43">
        <f ca="1">IF(ISBLANK(OFFSET(R30,0,-14+R$34))," ",OFFSET(R30,0,-14+R$34))</f>
        <v>3</v>
      </c>
      <c r="S30" s="43">
        <f ca="1">IF(ISBLANK(OFFSET(S30,0,-15+S$34))," ",OFFSET(S30,0,-15+S$34))</f>
        <v>2</v>
      </c>
      <c r="T30" s="43">
        <f ca="1">IF(ISBLANK(OFFSET(T30,0,-16+T$34))," ",OFFSET(T30,0,-16+T$34))</f>
        <v>4</v>
      </c>
      <c r="U30" s="43">
        <f ca="1">IF(ISBLANK(OFFSET(U30,0,-17+U$34))," ",OFFSET(U30,0,-17+U$34))</f>
        <v>5</v>
      </c>
      <c r="V30" s="43">
        <f ca="1">IF(ISBLANK(OFFSET(V30,0,-18+V$34))," ",OFFSET(V30,0,-18+V$34))</f>
        <v>6</v>
      </c>
      <c r="W30" s="43">
        <f ca="1">IF(ISBLANK(OFFSET(W30,0,-19+W$34))," ",OFFSET(W30,0,-19+W$34))</f>
        <v>7</v>
      </c>
      <c r="X30" s="43">
        <f ca="1">IF(ISBLANK(OFFSET(X30,0,-20+X$34))," ",OFFSET(X30,0,-20+X$34))</f>
        <v>8</v>
      </c>
      <c r="Y30" s="43">
        <f ca="1">IF(ISBLANK(OFFSET(Y30,0,-21+Y$34))," ",OFFSET(Y30,0,-21+Y$34))</f>
        <v>8</v>
      </c>
      <c r="Z30" s="43">
        <f ca="1">IF(ISBLANK(OFFSET(Z30,0,-22+Z$34))," ",OFFSET(Z30,0,-22+Z$34))</f>
        <v>7</v>
      </c>
      <c r="AA30" s="35"/>
      <c r="AB30" s="35"/>
      <c r="AC30" s="35"/>
      <c r="AD30" s="35"/>
      <c r="AE30" s="35"/>
      <c r="AF30" s="35"/>
      <c r="AG30" s="35"/>
      <c r="AH30" s="35"/>
      <c r="AI30" s="35"/>
      <c r="AJ30" s="35"/>
      <c r="AK30" s="35"/>
      <c r="AL30" s="35"/>
      <c r="AM30" s="35"/>
      <c r="AN30" s="1"/>
    </row>
    <row r="31" spans="1:41">
      <c r="A31" s="25"/>
      <c r="B31" s="3"/>
      <c r="C31" s="1"/>
      <c r="N31" s="39"/>
      <c r="AA31" s="39"/>
      <c r="AB31" s="39"/>
      <c r="AC31" s="39"/>
      <c r="AD31" s="39"/>
      <c r="AE31" s="39"/>
      <c r="AF31" s="39"/>
      <c r="AG31" s="39"/>
      <c r="AH31" s="39"/>
      <c r="AI31" s="39"/>
      <c r="AJ31" s="39"/>
      <c r="AK31" s="39"/>
      <c r="AL31" s="39"/>
      <c r="AM31" s="39"/>
      <c r="AN31" s="1"/>
    </row>
    <row r="32" spans="1:41">
      <c r="A32" s="25" t="s">
        <v>95</v>
      </c>
      <c r="B32" s="5" t="s">
        <v>96</v>
      </c>
      <c r="C32" s="1"/>
      <c r="D32" s="39"/>
      <c r="E32" s="42">
        <f>MATCH(1,$O$34:$Z$34,0)</f>
        <v>5</v>
      </c>
      <c r="F32" s="42">
        <f>MATCH(2,$O$34:$Z$34,0)</f>
        <v>4</v>
      </c>
      <c r="G32" s="42">
        <f>MATCH(3,$O$34:$Z$34,0)</f>
        <v>3</v>
      </c>
      <c r="H32" s="42">
        <f>MATCH(4,$O$34:$Z$34,0)</f>
        <v>2</v>
      </c>
      <c r="I32" s="42">
        <f>MATCH(5,$O$34:$Z$34,0)</f>
        <v>1</v>
      </c>
      <c r="J32" s="42">
        <f>MATCH(6,$O$34:$Z$34,0)</f>
        <v>9</v>
      </c>
      <c r="K32" s="42">
        <f>MATCH(7,$O$34:$Z$34,0)</f>
        <v>10</v>
      </c>
      <c r="L32" s="35"/>
      <c r="M32" s="35"/>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1"/>
    </row>
    <row r="33" spans="1:40">
      <c r="A33" s="25" t="s">
        <v>97</v>
      </c>
      <c r="B33" s="5" t="s">
        <v>96</v>
      </c>
      <c r="C33" s="1"/>
      <c r="D33" s="39"/>
      <c r="E33" s="47"/>
      <c r="F33" s="47"/>
      <c r="G33" s="42">
        <f>12-MATCH(3,$O$35:$Z$35,0)+1</f>
        <v>6</v>
      </c>
      <c r="H33" s="42">
        <f>12-MATCH(4,$O$35:$Z$35,0)+1</f>
        <v>7</v>
      </c>
      <c r="I33" s="42">
        <f>12-MATCH(5,$O$35:$Z$35,0)+1</f>
        <v>8</v>
      </c>
      <c r="J33" s="42">
        <f>12-MATCH(6,$O$35:$Z$35,0)+1</f>
        <v>12</v>
      </c>
      <c r="K33" s="42">
        <f>12-MATCH(7,$O$35:$Z$35,0)+1</f>
        <v>11</v>
      </c>
      <c r="L33" s="35"/>
      <c r="M33" s="35"/>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1"/>
    </row>
    <row r="34" spans="1:40">
      <c r="A34" s="25" t="s">
        <v>98</v>
      </c>
      <c r="B34" s="5" t="s">
        <v>99</v>
      </c>
      <c r="C34" s="1"/>
      <c r="D34" s="39"/>
      <c r="E34" s="39"/>
      <c r="F34" s="39"/>
      <c r="G34" s="39"/>
      <c r="H34" s="39"/>
      <c r="I34" s="39"/>
      <c r="J34" s="39"/>
      <c r="K34" s="39"/>
      <c r="L34" s="39"/>
      <c r="M34" s="39"/>
      <c r="N34" s="39"/>
      <c r="O34" s="42">
        <f t="shared" ref="O34:Z34" si="6">IF(AB$26=5,1,IF(AB$26=4,2,IF(OR((AB$26=3),(AB$26=6)),3,IF(OR((AB$26=2),(AB$26=7)),4,IF(OR((AB$26=1),(AB$26=8)),5,IF(OR((AB$26=12),(AB$26=9)),6,IF(OR((AB$26=11),(AB$26=10)),7,"E")))))))</f>
        <v>5</v>
      </c>
      <c r="P34" s="42">
        <f t="shared" si="6"/>
        <v>4</v>
      </c>
      <c r="Q34" s="42">
        <f t="shared" si="6"/>
        <v>3</v>
      </c>
      <c r="R34" s="42">
        <f t="shared" si="6"/>
        <v>2</v>
      </c>
      <c r="S34" s="42">
        <f t="shared" si="6"/>
        <v>1</v>
      </c>
      <c r="T34" s="42">
        <f t="shared" si="6"/>
        <v>3</v>
      </c>
      <c r="U34" s="42">
        <f t="shared" si="6"/>
        <v>4</v>
      </c>
      <c r="V34" s="42">
        <f t="shared" si="6"/>
        <v>5</v>
      </c>
      <c r="W34" s="42">
        <f t="shared" si="6"/>
        <v>6</v>
      </c>
      <c r="X34" s="42">
        <f t="shared" si="6"/>
        <v>7</v>
      </c>
      <c r="Y34" s="42">
        <f t="shared" si="6"/>
        <v>7</v>
      </c>
      <c r="Z34" s="42">
        <f t="shared" si="6"/>
        <v>6</v>
      </c>
      <c r="AA34" s="39"/>
      <c r="AB34" s="39"/>
      <c r="AC34" s="39"/>
      <c r="AD34" s="39"/>
      <c r="AE34" s="39"/>
      <c r="AF34" s="39"/>
      <c r="AG34" s="39"/>
      <c r="AH34" s="39"/>
      <c r="AI34" s="39"/>
      <c r="AJ34" s="39"/>
      <c r="AK34" s="39"/>
      <c r="AL34" s="39"/>
      <c r="AM34" s="39"/>
      <c r="AN34" s="1"/>
    </row>
    <row r="35" spans="1:40">
      <c r="A35" s="48" t="s">
        <v>382</v>
      </c>
      <c r="B35" s="125" t="s">
        <v>383</v>
      </c>
      <c r="O35" s="10">
        <f>Z34</f>
        <v>6</v>
      </c>
      <c r="P35" s="10">
        <f>Y34</f>
        <v>7</v>
      </c>
      <c r="Q35" s="10">
        <f>X34</f>
        <v>7</v>
      </c>
      <c r="R35" s="10">
        <f>W34</f>
        <v>6</v>
      </c>
      <c r="S35" s="10">
        <f>V34</f>
        <v>5</v>
      </c>
      <c r="T35" s="10">
        <f>U34</f>
        <v>4</v>
      </c>
      <c r="U35" s="10">
        <f>T34</f>
        <v>3</v>
      </c>
      <c r="V35" s="10">
        <f>S34</f>
        <v>1</v>
      </c>
      <c r="W35" s="10">
        <f>R34</f>
        <v>2</v>
      </c>
      <c r="X35" s="10">
        <f>Q34</f>
        <v>3</v>
      </c>
      <c r="Y35" s="10">
        <f>P34</f>
        <v>4</v>
      </c>
      <c r="Z35" s="10">
        <f>O34</f>
        <v>5</v>
      </c>
      <c r="AB35" s="320">
        <f>IF(E113="Y",1,0)+IF(F113="Y",1,0)+IF(G113="Y",1,0)+IF(H113="Y",1,0)+IF(I113="Y",1,0)+IF(J113="Y",1,0)+IF(K113="Y",1,0)+IF(L113="Y",1,0)+IF(M113="Y",1,0)</f>
        <v>0</v>
      </c>
      <c r="AC35" s="320">
        <f>IF(E114="Y",1,0)+IF(F114="Y",1,0)+IF(G114="Y",1,0)+IF(H114="Y",1,0)+IF(I114="Y",1,0)+IF(J114="Y",1,0)+IF(K114="Y",1,0)+IF(L114="Y",1,0)+IF(M114="Y",1,0)</f>
        <v>1</v>
      </c>
      <c r="AD35" s="320">
        <f>IF(E115="Y",1,0)+IF(F115="Y",1,0)+IF(G115="Y",1,0)+IF(H115="Y",1,0)+IF(I115="Y",1,0)+IF(J115="Y",1,0)+IF(K115="Y",1,0)+IF(L115="Y",1,0)+IF(M115="Y",1,0)</f>
        <v>1</v>
      </c>
      <c r="AE35" s="320">
        <f>IF(E116="Y",1,0)+IF(F116="Y",1,0)+IF(G116="Y",1,0)+IF(H116="Y",1,0)+IF(I116="Y",1,0)+IF(J116="Y",1,0)+IF(K116="Y",1,0)+IF(L116="Y",1,0)+IF(M116="Y",1,0)</f>
        <v>1</v>
      </c>
      <c r="AF35" s="320">
        <f>IF(E117="Y",1,0)+IF(F117="Y",1,0)+IF(G117="Y",1,0)+IF(H117="Y",1,0)+IF(I117="Y",1,0)+IF(J117="Y",1,0)+IF(K117="Y",1,0)+IF(L117="Y",1,0)+IF(M117="Y",1,0)</f>
        <v>1</v>
      </c>
      <c r="AG35" s="320">
        <f>IF(E118="Y",1,0)+IF(F118="Y",1,0)+IF(G118="Y",1,0)+IF(H118="Y",1,0)+IF(I118="Y",1,0)+IF(J118="Y",1,0)+IF(K118="Y",1,0)+IF(L118="Y",1,0)+IF(M118="Y",1,0)</f>
        <v>1</v>
      </c>
      <c r="AH35" s="320">
        <f>IF(E119="Y",1,0)+IF(F119="Y",1,0)+IF(G119="Y",1,0)+IF(H119="Y",1,0)+IF(I119="Y",1,0)+IF(J119="Y",1,0)+IF(K119="Y",1,0)+IF(L119="Y",1,0)+IF(M119="Y",1,0)</f>
        <v>1</v>
      </c>
      <c r="AI35" s="320">
        <f>IF(E120="Y",1,0)+IF(F120="Y",1,0)+IF(G120="Y",1,0)+IF(H120="Y",1,0)+IF(I120="Y",1,0)+IF(J120="Y",1,0)+IF(K120="Y",1,0)+IF(L120="Y",1,0)+IF(M120="Y",1,0)</f>
        <v>1</v>
      </c>
      <c r="AJ35" s="320">
        <f>IF(E121="Y",1,0)+IF(F121="Y",1,0)+IF(G121="Y",1,0)+IF(H121="Y",1,0)+IF(I121="Y",1,0)+IF(J121="Y",1,0)+IF(K121="Y",1,0)+IF(L121="Y",1,0)+IF(M121="Y",1,0)</f>
        <v>1</v>
      </c>
      <c r="AK35" s="320">
        <f>IF(E122="Y",1,0)+IF(F122="Y",1,0)+IF(G122="Y",1,0)+IF(H122="Y",1,0)+IF(I122="Y",1,0)+IF(J122="Y",1,0)+IF(K122="Y",1,0)+IF(L122="Y",1,0)+IF(M122="Y",1,0)</f>
        <v>1</v>
      </c>
      <c r="AL35" s="320">
        <f>IF(E123="Y",1,0)+IF(F123="Y",1,0)+IF(G123="Y",1,0)+IF(H123="Y",1,0)+IF(I123="Y",1,0)+IF(J123="Y",1,0)+IF(K123="Y",1,0)+IF(L123="Y",1,0)+IF(M123="Y",1,0)</f>
        <v>0</v>
      </c>
      <c r="AM35" s="320">
        <f>IF(E124="Y",1,0)+IF(F124="Y",1,0)+IF(G124="Y",1,0)+IF(H124="Y",1,0)+IF(I124="Y",1,0)+IF(J124="Y",1,0)+IF(K124="Y",1,0)+IF(L124="Y",1,0)+IF(M124="Y",1,0)</f>
        <v>0</v>
      </c>
      <c r="AN35" s="13">
        <f>SUM(AB35:AM35)</f>
        <v>9</v>
      </c>
    </row>
    <row r="36" spans="1:40" ht="16.2" thickBot="1">
      <c r="A36" s="25"/>
      <c r="B36" s="50" t="s">
        <v>1</v>
      </c>
      <c r="C36" s="51"/>
      <c r="D36" s="52"/>
      <c r="E36" s="52"/>
      <c r="F36" s="52"/>
      <c r="G36" s="53"/>
      <c r="H36" s="53"/>
      <c r="I36" s="53"/>
      <c r="J36" s="53"/>
      <c r="K36" s="53"/>
      <c r="L36" s="53"/>
      <c r="M36" s="53"/>
      <c r="N36" s="53"/>
      <c r="O36" s="53"/>
      <c r="P36" s="53"/>
      <c r="Q36" s="53"/>
      <c r="R36" s="53"/>
      <c r="S36" s="53"/>
      <c r="T36" s="53"/>
      <c r="U36" s="53"/>
      <c r="V36" s="53"/>
      <c r="W36" s="53"/>
      <c r="X36" s="53"/>
      <c r="Y36" s="53"/>
      <c r="Z36" s="53"/>
      <c r="AA36" s="53"/>
      <c r="AB36" s="53"/>
      <c r="AC36" s="52"/>
      <c r="AD36" s="52"/>
      <c r="AE36" s="52"/>
      <c r="AF36" s="52"/>
      <c r="AG36" s="52"/>
      <c r="AH36" s="52"/>
      <c r="AI36" s="52"/>
      <c r="AJ36" s="52"/>
      <c r="AK36" s="52"/>
      <c r="AL36" s="52"/>
      <c r="AM36" s="52"/>
      <c r="AN36" s="1"/>
    </row>
    <row r="37" spans="1:40">
      <c r="A37" s="25"/>
      <c r="B37" s="3"/>
      <c r="C37" s="6"/>
      <c r="AN37" s="1"/>
    </row>
    <row r="38" spans="1:40">
      <c r="A38" s="25" t="s">
        <v>100</v>
      </c>
      <c r="B38" s="2" t="s">
        <v>101</v>
      </c>
      <c r="C38" s="5" t="s">
        <v>102</v>
      </c>
      <c r="D38" s="151"/>
      <c r="E38" s="24" t="str">
        <f>IF(AND(E$27&gt;0,E$27&lt;=30),"Y","")</f>
        <v/>
      </c>
      <c r="F38" s="24" t="str">
        <f>IF(AND(F$27&gt;30,F$27&lt;=33),"Y","")</f>
        <v/>
      </c>
      <c r="G38" s="24" t="str">
        <f>IF(AND(G$27&gt;150,G$27&lt;=165),"Y","")</f>
        <v/>
      </c>
      <c r="H38" s="24" t="str">
        <f>IF(AND(H$27&gt;330,H$27&lt;=357),"Y","")</f>
        <v/>
      </c>
      <c r="I38" s="24" t="str">
        <f>IF(AND(I$27&gt;270,I$27&lt;=298),"Y","")</f>
        <v/>
      </c>
      <c r="J38" s="24" t="str">
        <f>IF(AND(J$27&gt;90,J$27&lt;=95),"Y","")</f>
        <v/>
      </c>
      <c r="K38" s="24" t="str">
        <f>IF(AND(K$27&gt;180,K$27&lt;=200),"Y","")</f>
        <v/>
      </c>
      <c r="L38" s="251"/>
      <c r="M38" s="251"/>
      <c r="O38" s="252" t="str">
        <f t="shared" ref="O38:O47" ca="1" si="7">IF(ISBLANK(OFFSET(O38,0,-11+O$34))," ",OFFSET(O38,0,-11+O$34))</f>
        <v/>
      </c>
      <c r="P38" s="252" t="str">
        <f t="shared" ref="P38:P47" ca="1" si="8">IF(ISBLANK(OFFSET(P38,0,-12+P$34))," ",OFFSET(P38,0,-12+P$34))</f>
        <v/>
      </c>
      <c r="Q38" s="252" t="str">
        <f t="shared" ref="Q38:Q47" ca="1" si="9">IF(ISBLANK(OFFSET(Q38,0,-13+Q$34))," ",OFFSET(Q38,0,-13+Q$34))</f>
        <v/>
      </c>
      <c r="R38" s="252" t="str">
        <f t="shared" ref="R38:R47" ca="1" si="10">IF(ISBLANK(OFFSET(R38,0,-14+R$34))," ",OFFSET(R38,0,-14+R$34))</f>
        <v/>
      </c>
      <c r="S38" s="252" t="str">
        <f t="shared" ref="S38:S47" ca="1" si="11">IF(ISBLANK(OFFSET(S38,0,-15+S$34))," ",OFFSET(S38,0,-15+S$34))</f>
        <v/>
      </c>
      <c r="T38" s="252" t="str">
        <f t="shared" ref="T38:T47" ca="1" si="12">IF(ISBLANK(OFFSET(T38,0,-16+T$34))," ",OFFSET(T38,0,-16+T$34))</f>
        <v/>
      </c>
      <c r="U38" s="252" t="str">
        <f t="shared" ref="U38:U47" ca="1" si="13">IF(ISBLANK(OFFSET(U38,0,-17+U$34))," ",OFFSET(U38,0,-17+U$34))</f>
        <v/>
      </c>
      <c r="V38" s="252" t="str">
        <f t="shared" ref="V38:V47" ca="1" si="14">IF(ISBLANK(OFFSET(V38,0,-18+V$34))," ",OFFSET(V38,0,-18+V$34))</f>
        <v/>
      </c>
      <c r="W38" s="252" t="str">
        <f t="shared" ref="W38:W47" ca="1" si="15">IF(ISBLANK(OFFSET(W38,0,-19+W$34))," ",OFFSET(W38,0,-19+W$34))</f>
        <v/>
      </c>
      <c r="X38" s="252" t="str">
        <f t="shared" ref="X38:X47" ca="1" si="16">IF(ISBLANK(OFFSET(X38,0,-20+X$34))," ",OFFSET(X38,0,-20+X$34))</f>
        <v/>
      </c>
      <c r="Y38" s="252" t="str">
        <f t="shared" ref="Y38:Y47" ca="1" si="17">IF(ISBLANK(OFFSET(Y38,0,-21+Y$34))," ",OFFSET(Y38,0,-21+Y$34))</f>
        <v/>
      </c>
      <c r="Z38" s="252" t="str">
        <f t="shared" ref="Z38:Z47" ca="1" si="18">IF(ISBLANK(OFFSET(Z38,0,-22+Z$34))," ",OFFSET(Z38,0,-22+Z$34))</f>
        <v/>
      </c>
      <c r="AB38" s="151"/>
      <c r="AC38" s="151"/>
      <c r="AD38" s="151"/>
      <c r="AE38" s="151"/>
      <c r="AF38" s="151"/>
      <c r="AG38" s="151"/>
      <c r="AH38" s="151"/>
      <c r="AI38" s="151"/>
      <c r="AJ38" s="151"/>
      <c r="AK38" s="151"/>
      <c r="AL38" s="151"/>
      <c r="AM38" s="151"/>
      <c r="AN38" s="1"/>
    </row>
    <row r="39" spans="1:40">
      <c r="A39" s="25" t="s">
        <v>103</v>
      </c>
      <c r="B39" s="2" t="s">
        <v>101</v>
      </c>
      <c r="C39" s="5" t="s">
        <v>104</v>
      </c>
      <c r="D39" s="151"/>
      <c r="E39" s="24" t="str">
        <f>IF(AND(E$27&gt;180,E$27&lt;=190),"Y","")</f>
        <v/>
      </c>
      <c r="F39" s="24" t="str">
        <f>IF(AND(F$27&gt;210,F$27&lt;=213),"Y","")</f>
        <v/>
      </c>
      <c r="G39" s="24" t="str">
        <f>IF(AND(G$27&gt;330,G$27&lt;=345),"Y","")</f>
        <v/>
      </c>
      <c r="H39" s="24" t="str">
        <f>IF(AND(H$27&gt;150,H$27&lt;=177),"Y","")</f>
        <v/>
      </c>
      <c r="I39" s="24" t="str">
        <f>IF(AND(I$27&gt;90,I$27&lt;=118),"Y","")</f>
        <v/>
      </c>
      <c r="J39" s="24" t="str">
        <f>IF(AND(J$27&gt;270,J$27&lt;=275),"Y","")</f>
        <v/>
      </c>
      <c r="K39" s="24" t="str">
        <f>IF(AND(K$27&gt;0,K$27&lt;=20),"Y","")</f>
        <v/>
      </c>
      <c r="L39" s="251"/>
      <c r="M39" s="251"/>
      <c r="O39" s="252" t="str">
        <f t="shared" ca="1" si="7"/>
        <v/>
      </c>
      <c r="P39" s="252" t="str">
        <f t="shared" ca="1" si="8"/>
        <v/>
      </c>
      <c r="Q39" s="252" t="str">
        <f t="shared" ca="1" si="9"/>
        <v/>
      </c>
      <c r="R39" s="252" t="str">
        <f t="shared" ca="1" si="10"/>
        <v/>
      </c>
      <c r="S39" s="252" t="str">
        <f t="shared" ca="1" si="11"/>
        <v/>
      </c>
      <c r="T39" s="252" t="str">
        <f t="shared" ca="1" si="12"/>
        <v/>
      </c>
      <c r="U39" s="252" t="str">
        <f t="shared" ca="1" si="13"/>
        <v/>
      </c>
      <c r="V39" s="252" t="str">
        <f t="shared" ca="1" si="14"/>
        <v/>
      </c>
      <c r="W39" s="252" t="str">
        <f t="shared" ca="1" si="15"/>
        <v/>
      </c>
      <c r="X39" s="252" t="str">
        <f t="shared" ca="1" si="16"/>
        <v/>
      </c>
      <c r="Y39" s="252" t="str">
        <f t="shared" ca="1" si="17"/>
        <v/>
      </c>
      <c r="Z39" s="252" t="str">
        <f t="shared" ca="1" si="18"/>
        <v/>
      </c>
      <c r="AB39" s="151"/>
      <c r="AC39" s="151"/>
      <c r="AD39" s="151"/>
      <c r="AE39" s="151"/>
      <c r="AF39" s="151"/>
      <c r="AG39" s="151"/>
      <c r="AH39" s="151"/>
      <c r="AI39" s="151"/>
      <c r="AJ39" s="151"/>
      <c r="AK39" s="151"/>
      <c r="AL39" s="151"/>
      <c r="AM39" s="151"/>
      <c r="AN39" s="1"/>
    </row>
    <row r="40" spans="1:40">
      <c r="A40" s="25" t="s">
        <v>105</v>
      </c>
      <c r="B40" s="2" t="s">
        <v>101</v>
      </c>
      <c r="C40" s="5" t="s">
        <v>106</v>
      </c>
      <c r="D40" s="151"/>
      <c r="E40" s="24" t="str">
        <f>IF(AND(E$27&gt;120,E$27&lt;=140),"Y","")</f>
        <v/>
      </c>
      <c r="F40" s="24" t="str">
        <f>IF(AND(F$27&gt;30,F$27&lt;=57),"Y","")</f>
        <v/>
      </c>
      <c r="G40" s="24" t="str">
        <f>IF(AND(G$27&gt;150,G$27&lt;=170),"Y","")</f>
        <v/>
      </c>
      <c r="H40" s="24" t="str">
        <f>IF(AND(H$27&gt;180,H$27&lt;=195),"Y","")</f>
        <v/>
      </c>
      <c r="I40" s="24" t="str">
        <f>IF(AND(I$27&gt;0,I$27&lt;=12),"Y","")</f>
        <v/>
      </c>
      <c r="J40" s="24" t="str">
        <f>IF(AND(J$27&gt;240,J$27&lt;=250),"Y","")</f>
        <v/>
      </c>
      <c r="K40" s="24" t="str">
        <f>IF(AND(K$27&gt;300,K$27&lt;=320),"Y","")</f>
        <v/>
      </c>
      <c r="L40" s="251"/>
      <c r="M40" s="251"/>
      <c r="O40" s="252" t="str">
        <f t="shared" ca="1" si="7"/>
        <v/>
      </c>
      <c r="P40" s="252" t="str">
        <f t="shared" ca="1" si="8"/>
        <v/>
      </c>
      <c r="Q40" s="252" t="str">
        <f t="shared" ca="1" si="9"/>
        <v/>
      </c>
      <c r="R40" s="252" t="str">
        <f t="shared" ca="1" si="10"/>
        <v/>
      </c>
      <c r="S40" s="252" t="str">
        <f t="shared" ca="1" si="11"/>
        <v/>
      </c>
      <c r="T40" s="252" t="str">
        <f t="shared" ca="1" si="12"/>
        <v/>
      </c>
      <c r="U40" s="252" t="str">
        <f t="shared" ca="1" si="13"/>
        <v/>
      </c>
      <c r="V40" s="252" t="str">
        <f t="shared" ca="1" si="14"/>
        <v/>
      </c>
      <c r="W40" s="252" t="str">
        <f t="shared" ca="1" si="15"/>
        <v/>
      </c>
      <c r="X40" s="252" t="str">
        <f t="shared" ca="1" si="16"/>
        <v/>
      </c>
      <c r="Y40" s="252" t="str">
        <f t="shared" ca="1" si="17"/>
        <v/>
      </c>
      <c r="Z40" s="252" t="str">
        <f t="shared" ca="1" si="18"/>
        <v/>
      </c>
      <c r="AB40" s="151"/>
      <c r="AC40" s="151"/>
      <c r="AD40" s="151"/>
      <c r="AE40" s="151"/>
      <c r="AF40" s="151"/>
      <c r="AG40" s="151"/>
      <c r="AH40" s="151"/>
      <c r="AI40" s="151"/>
      <c r="AJ40" s="151"/>
      <c r="AK40" s="151"/>
      <c r="AL40" s="151"/>
      <c r="AM40" s="151"/>
      <c r="AN40" s="1"/>
    </row>
    <row r="41" spans="1:40">
      <c r="A41" s="25" t="s">
        <v>107</v>
      </c>
      <c r="B41" s="2" t="s">
        <v>101</v>
      </c>
      <c r="C41" s="5" t="s">
        <v>108</v>
      </c>
      <c r="D41" s="151"/>
      <c r="E41" s="24" t="str">
        <f>IF(AND(E$27&gt;140,E$27&lt;=150),"Y","")</f>
        <v/>
      </c>
      <c r="F41" s="24" t="str">
        <f>IF(AND(F$27&gt;90,F$27&lt;=120),"Y","")</f>
        <v/>
      </c>
      <c r="G41" s="24" t="str">
        <f>IF(OR(AND(G$27&gt;=80,G$27&lt;=90),AND(G$27&gt;=170,G$27&lt;=180)),"Y","")</f>
        <v/>
      </c>
      <c r="H41" s="24" t="str">
        <f>IF(OR(AND(H$27&gt;=45,H$27&lt;=60),AND(H$27&gt;=195,H$27&lt;=210)),"Y","")</f>
        <v/>
      </c>
      <c r="I41" s="24" t="str">
        <f>IF(OR(AND(I$27&gt;=222,I$27&lt;=240),AND(I$27&gt;12,I$27&lt;=30)),"Y","")</f>
        <v/>
      </c>
      <c r="J41" s="24" t="str">
        <f>IF(OR(AND(J$27&gt;=340,J$27&lt;=360),AND(J$27&gt;=250,J$27&lt;=270)),"Y","")</f>
        <v/>
      </c>
      <c r="K41" s="24" t="str">
        <f>IF(OR(AND(K$27&gt;=290,K$27&lt;=300),AND(K$27&gt;320,K$27&lt;=330)),"Y","")</f>
        <v/>
      </c>
      <c r="L41" s="251"/>
      <c r="M41" s="251"/>
      <c r="O41" s="252" t="str">
        <f t="shared" ca="1" si="7"/>
        <v/>
      </c>
      <c r="P41" s="252" t="str">
        <f t="shared" ca="1" si="8"/>
        <v/>
      </c>
      <c r="Q41" s="252" t="str">
        <f t="shared" ca="1" si="9"/>
        <v/>
      </c>
      <c r="R41" s="252" t="str">
        <f t="shared" ca="1" si="10"/>
        <v/>
      </c>
      <c r="S41" s="252" t="str">
        <f t="shared" ca="1" si="11"/>
        <v/>
      </c>
      <c r="T41" s="252" t="str">
        <f t="shared" ca="1" si="12"/>
        <v/>
      </c>
      <c r="U41" s="252" t="str">
        <f t="shared" ca="1" si="13"/>
        <v/>
      </c>
      <c r="V41" s="252" t="str">
        <f t="shared" ca="1" si="14"/>
        <v/>
      </c>
      <c r="W41" s="252" t="str">
        <f t="shared" ca="1" si="15"/>
        <v/>
      </c>
      <c r="X41" s="252" t="str">
        <f t="shared" ca="1" si="16"/>
        <v/>
      </c>
      <c r="Y41" s="252" t="str">
        <f t="shared" ca="1" si="17"/>
        <v/>
      </c>
      <c r="Z41" s="252" t="str">
        <f t="shared" ca="1" si="18"/>
        <v/>
      </c>
      <c r="AB41" s="151"/>
      <c r="AC41" s="151"/>
      <c r="AD41" s="151"/>
      <c r="AE41" s="151"/>
      <c r="AF41" s="151"/>
      <c r="AG41" s="151"/>
      <c r="AH41" s="151"/>
      <c r="AI41" s="151"/>
      <c r="AJ41" s="151"/>
      <c r="AK41" s="151"/>
      <c r="AL41" s="151"/>
      <c r="AM41" s="151"/>
      <c r="AN41" s="1"/>
    </row>
    <row r="42" spans="1:40">
      <c r="A42" s="25" t="s">
        <v>109</v>
      </c>
      <c r="B42" s="2" t="s">
        <v>101</v>
      </c>
      <c r="C42" s="5" t="s">
        <v>110</v>
      </c>
      <c r="D42" s="151"/>
      <c r="E42" s="24" t="str">
        <f>IF(OR(E$26=4,E$26=1,E$26=8,E$26=9,E$26=12),"Y","")</f>
        <v/>
      </c>
      <c r="F42" s="24" t="str">
        <f>IF(OR(F$26=5,F$26=3,F$26=6),"Y","")</f>
        <v>Y</v>
      </c>
      <c r="G42" s="24" t="str">
        <f>IF(OR(G$26=5,G$26=2,G$26=7),"Y","")</f>
        <v/>
      </c>
      <c r="H42" s="24" t="str">
        <f>IF(OR(H$26=3,H$26=6),"Y","")</f>
        <v/>
      </c>
      <c r="I42" s="24" t="str">
        <f>IF(OR(I$26=5,I$26=4,I$26=9,I$26=12),"Y","")</f>
        <v/>
      </c>
      <c r="J42" s="24" t="str">
        <f>IF(OR(J$26=5,J$26=4,J$26=1,J$26=8),"Y","")</f>
        <v/>
      </c>
      <c r="K42" s="24" t="str">
        <f>IF(OR(K$26=3,K$26=6),"Y","")</f>
        <v/>
      </c>
      <c r="L42" s="251"/>
      <c r="M42" s="251"/>
      <c r="O42" s="252" t="str">
        <f t="shared" ca="1" si="7"/>
        <v/>
      </c>
      <c r="P42" s="252" t="str">
        <f t="shared" ca="1" si="8"/>
        <v/>
      </c>
      <c r="Q42" s="252" t="str">
        <f t="shared" ca="1" si="9"/>
        <v/>
      </c>
      <c r="R42" s="252" t="str">
        <f t="shared" ca="1" si="10"/>
        <v>Y</v>
      </c>
      <c r="S42" s="252" t="str">
        <f t="shared" ca="1" si="11"/>
        <v/>
      </c>
      <c r="T42" s="252" t="str">
        <f t="shared" ca="1" si="12"/>
        <v/>
      </c>
      <c r="U42" s="252" t="str">
        <f t="shared" ca="1" si="13"/>
        <v/>
      </c>
      <c r="V42" s="252" t="str">
        <f t="shared" ca="1" si="14"/>
        <v/>
      </c>
      <c r="W42" s="252" t="str">
        <f t="shared" ca="1" si="15"/>
        <v/>
      </c>
      <c r="X42" s="252" t="str">
        <f t="shared" ca="1" si="16"/>
        <v/>
      </c>
      <c r="Y42" s="252" t="str">
        <f t="shared" ca="1" si="17"/>
        <v/>
      </c>
      <c r="Z42" s="252" t="str">
        <f t="shared" ca="1" si="18"/>
        <v/>
      </c>
      <c r="AB42" s="151"/>
      <c r="AC42" s="151"/>
      <c r="AD42" s="151"/>
      <c r="AE42" s="151"/>
      <c r="AF42" s="151"/>
      <c r="AG42" s="151"/>
      <c r="AH42" s="151"/>
      <c r="AI42" s="151"/>
      <c r="AJ42" s="151"/>
      <c r="AK42" s="151"/>
      <c r="AL42" s="151"/>
      <c r="AM42" s="151"/>
      <c r="AN42" s="1"/>
    </row>
    <row r="43" spans="1:40">
      <c r="A43" s="25" t="s">
        <v>111</v>
      </c>
      <c r="B43" s="2" t="s">
        <v>101</v>
      </c>
      <c r="C43" s="5" t="s">
        <v>112</v>
      </c>
      <c r="D43" s="151"/>
      <c r="E43" s="24" t="str">
        <f>IF(OR(E$26=2,E$26=7,E$26=10,E$26=11),"Y","")</f>
        <v>Y</v>
      </c>
      <c r="F43" s="24"/>
      <c r="G43" s="24" t="str">
        <f>IF(OR(G$26=4),"Y","")</f>
        <v>Y</v>
      </c>
      <c r="H43" s="24" t="str">
        <f>IF(OR(H$26=5,H$26=4,H$26=1,H$26=8),"Y","")</f>
        <v>Y</v>
      </c>
      <c r="I43" s="24" t="str">
        <f>IF(OR(I$26=3,I$26=6),"Y","")</f>
        <v>Y</v>
      </c>
      <c r="J43" s="24" t="str">
        <f>IF(OR(J$26=3,J$26=6,J$26=2,J$26=7),"Y","")</f>
        <v>Y</v>
      </c>
      <c r="K43" s="24" t="str">
        <f>IF(OR(K$26=5,K$26=4),"Y","")</f>
        <v/>
      </c>
      <c r="L43" s="251"/>
      <c r="M43" s="251"/>
      <c r="O43" s="252" t="str">
        <f t="shared" ca="1" si="7"/>
        <v>Y</v>
      </c>
      <c r="P43" s="252" t="str">
        <f t="shared" ca="1" si="8"/>
        <v>Y</v>
      </c>
      <c r="Q43" s="252" t="str">
        <f t="shared" ca="1" si="9"/>
        <v>Y</v>
      </c>
      <c r="R43" s="252" t="str">
        <f t="shared" ca="1" si="10"/>
        <v xml:space="preserve"> </v>
      </c>
      <c r="S43" s="252" t="str">
        <f t="shared" ca="1" si="11"/>
        <v>Y</v>
      </c>
      <c r="T43" s="252" t="str">
        <f t="shared" ca="1" si="12"/>
        <v>Y</v>
      </c>
      <c r="U43" s="252" t="str">
        <f t="shared" ca="1" si="13"/>
        <v>Y</v>
      </c>
      <c r="V43" s="252" t="str">
        <f t="shared" ca="1" si="14"/>
        <v>Y</v>
      </c>
      <c r="W43" s="252" t="str">
        <f t="shared" ca="1" si="15"/>
        <v>Y</v>
      </c>
      <c r="X43" s="252" t="str">
        <f t="shared" ca="1" si="16"/>
        <v/>
      </c>
      <c r="Y43" s="252" t="str">
        <f t="shared" ca="1" si="17"/>
        <v/>
      </c>
      <c r="Z43" s="252" t="str">
        <f t="shared" ca="1" si="18"/>
        <v>Y</v>
      </c>
      <c r="AB43" s="151"/>
      <c r="AC43" s="151"/>
      <c r="AD43" s="151"/>
      <c r="AE43" s="151"/>
      <c r="AF43" s="151"/>
      <c r="AG43" s="151"/>
      <c r="AH43" s="151"/>
      <c r="AI43" s="151"/>
      <c r="AJ43" s="151"/>
      <c r="AK43" s="151"/>
      <c r="AL43" s="151"/>
      <c r="AM43" s="151"/>
      <c r="AN43" s="1"/>
    </row>
    <row r="44" spans="1:40">
      <c r="A44" s="25" t="s">
        <v>113</v>
      </c>
      <c r="B44" s="2" t="s">
        <v>101</v>
      </c>
      <c r="C44" s="5" t="s">
        <v>114</v>
      </c>
      <c r="D44" s="151"/>
      <c r="E44" s="24" t="str">
        <f>IF(OR(E$26=3,E$26=6),"Y","")</f>
        <v/>
      </c>
      <c r="F44" s="24" t="str">
        <f>IF(OR(F$26=1,F$26=8,F$26=9,F$26=12,F$26=2,F$26=7,F$26=10,F$26=11),"Y","")</f>
        <v/>
      </c>
      <c r="G44" s="24" t="str">
        <f>IF(OR(G$26=10,G$26=11,G$26=1,G$26=8,G$26=9,G$26=12),"Y","")</f>
        <v/>
      </c>
      <c r="H44" s="24" t="str">
        <f>IF(OR(H$26=9,H$26=12),"Y","")</f>
        <v/>
      </c>
      <c r="I44" s="24" t="str">
        <f>IF(OR(I$26=10,I$26=11,I$26=2,I$26=7),"Y","")</f>
        <v/>
      </c>
      <c r="J44" s="24" t="str">
        <f>IF(OR(J$26=10,J$26=11),"Y","")</f>
        <v/>
      </c>
      <c r="K44" s="24" t="str">
        <f>IF(OR(K$26=1,K$26=8,K$26=9,K$26=12),"Y","")</f>
        <v>Y</v>
      </c>
      <c r="L44" s="251"/>
      <c r="M44" s="251"/>
      <c r="O44" s="252" t="str">
        <f t="shared" ca="1" si="7"/>
        <v/>
      </c>
      <c r="P44" s="252" t="str">
        <f t="shared" ca="1" si="8"/>
        <v/>
      </c>
      <c r="Q44" s="252" t="str">
        <f t="shared" ca="1" si="9"/>
        <v/>
      </c>
      <c r="R44" s="252" t="str">
        <f t="shared" ca="1" si="10"/>
        <v/>
      </c>
      <c r="S44" s="252" t="str">
        <f t="shared" ca="1" si="11"/>
        <v/>
      </c>
      <c r="T44" s="252" t="str">
        <f t="shared" ca="1" si="12"/>
        <v/>
      </c>
      <c r="U44" s="252" t="str">
        <f t="shared" ca="1" si="13"/>
        <v/>
      </c>
      <c r="V44" s="252" t="str">
        <f t="shared" ca="1" si="14"/>
        <v/>
      </c>
      <c r="W44" s="252" t="str">
        <f t="shared" ca="1" si="15"/>
        <v/>
      </c>
      <c r="X44" s="252" t="str">
        <f t="shared" ca="1" si="16"/>
        <v>Y</v>
      </c>
      <c r="Y44" s="252" t="str">
        <f t="shared" ca="1" si="17"/>
        <v>Y</v>
      </c>
      <c r="Z44" s="252" t="str">
        <f t="shared" ca="1" si="18"/>
        <v/>
      </c>
      <c r="AB44" s="151"/>
      <c r="AC44" s="151"/>
      <c r="AD44" s="151"/>
      <c r="AE44" s="151"/>
      <c r="AF44" s="151"/>
      <c r="AG44" s="151"/>
      <c r="AH44" s="151"/>
      <c r="AI44" s="151"/>
      <c r="AJ44" s="151"/>
      <c r="AK44" s="151"/>
      <c r="AL44" s="151"/>
      <c r="AM44" s="151"/>
      <c r="AN44" s="1"/>
    </row>
    <row r="45" spans="1:40">
      <c r="A45" s="25" t="s">
        <v>115</v>
      </c>
      <c r="B45" s="2" t="s">
        <v>101</v>
      </c>
      <c r="C45" s="5" t="s">
        <v>116</v>
      </c>
      <c r="D45" s="151"/>
      <c r="E45" s="256"/>
      <c r="F45" s="256"/>
      <c r="G45" s="332"/>
      <c r="H45" s="332"/>
      <c r="I45" s="332"/>
      <c r="J45" s="332"/>
      <c r="K45" s="332"/>
      <c r="L45" s="257"/>
      <c r="M45" s="257"/>
      <c r="O45" s="252" t="str">
        <f t="shared" ca="1" si="7"/>
        <v xml:space="preserve"> </v>
      </c>
      <c r="P45" s="252" t="str">
        <f t="shared" ca="1" si="8"/>
        <v xml:space="preserve"> </v>
      </c>
      <c r="Q45" s="252" t="str">
        <f t="shared" ca="1" si="9"/>
        <v xml:space="preserve"> </v>
      </c>
      <c r="R45" s="252" t="str">
        <f t="shared" ca="1" si="10"/>
        <v xml:space="preserve"> </v>
      </c>
      <c r="S45" s="252" t="str">
        <f t="shared" ca="1" si="11"/>
        <v xml:space="preserve"> </v>
      </c>
      <c r="T45" s="252" t="str">
        <f t="shared" ca="1" si="12"/>
        <v xml:space="preserve"> </v>
      </c>
      <c r="U45" s="252" t="str">
        <f t="shared" ca="1" si="13"/>
        <v xml:space="preserve"> </v>
      </c>
      <c r="V45" s="252" t="str">
        <f t="shared" ca="1" si="14"/>
        <v xml:space="preserve"> </v>
      </c>
      <c r="W45" s="252" t="str">
        <f t="shared" ca="1" si="15"/>
        <v xml:space="preserve"> </v>
      </c>
      <c r="X45" s="252" t="str">
        <f t="shared" ca="1" si="16"/>
        <v xml:space="preserve"> </v>
      </c>
      <c r="Y45" s="252" t="str">
        <f t="shared" ca="1" si="17"/>
        <v xml:space="preserve"> </v>
      </c>
      <c r="Z45" s="252" t="str">
        <f t="shared" ca="1" si="18"/>
        <v xml:space="preserve"> </v>
      </c>
      <c r="AB45" s="151"/>
      <c r="AC45" s="151"/>
      <c r="AD45" s="151"/>
      <c r="AE45" s="151"/>
      <c r="AF45" s="151"/>
      <c r="AG45" s="151"/>
      <c r="AH45" s="151"/>
      <c r="AI45" s="151"/>
      <c r="AJ45" s="151"/>
      <c r="AK45" s="151"/>
      <c r="AL45" s="151"/>
      <c r="AM45" s="151"/>
      <c r="AN45" s="1"/>
    </row>
    <row r="46" spans="1:40">
      <c r="A46" s="48" t="s">
        <v>299</v>
      </c>
      <c r="B46" s="164" t="s">
        <v>101</v>
      </c>
      <c r="C46" s="125" t="s">
        <v>301</v>
      </c>
      <c r="D46" s="151"/>
      <c r="E46" s="124" t="s">
        <v>303</v>
      </c>
      <c r="F46" s="55"/>
      <c r="G46" s="55"/>
      <c r="H46" s="55"/>
      <c r="I46" s="124" t="s">
        <v>303</v>
      </c>
      <c r="J46" s="55"/>
      <c r="K46" s="124" t="s">
        <v>303</v>
      </c>
      <c r="L46" s="123" t="s">
        <v>303</v>
      </c>
      <c r="M46" s="123" t="s">
        <v>303</v>
      </c>
      <c r="O46" s="253" t="str">
        <f t="shared" ca="1" si="7"/>
        <v>Y</v>
      </c>
      <c r="P46" s="253" t="str">
        <f t="shared" ca="1" si="8"/>
        <v xml:space="preserve"> </v>
      </c>
      <c r="Q46" s="253" t="str">
        <f t="shared" ca="1" si="9"/>
        <v xml:space="preserve"> </v>
      </c>
      <c r="R46" s="253" t="str">
        <f t="shared" ca="1" si="10"/>
        <v xml:space="preserve"> </v>
      </c>
      <c r="S46" s="253" t="str">
        <f t="shared" ca="1" si="11"/>
        <v>Y</v>
      </c>
      <c r="T46" s="253" t="str">
        <f t="shared" ca="1" si="12"/>
        <v xml:space="preserve"> </v>
      </c>
      <c r="U46" s="253" t="str">
        <f t="shared" ca="1" si="13"/>
        <v xml:space="preserve"> </v>
      </c>
      <c r="V46" s="253" t="str">
        <f t="shared" ca="1" si="14"/>
        <v>Y</v>
      </c>
      <c r="W46" s="253" t="str">
        <f t="shared" ca="1" si="15"/>
        <v xml:space="preserve"> </v>
      </c>
      <c r="X46" s="253" t="str">
        <f t="shared" ca="1" si="16"/>
        <v>Y</v>
      </c>
      <c r="Y46" s="253" t="str">
        <f t="shared" ca="1" si="17"/>
        <v>Y</v>
      </c>
      <c r="Z46" s="253" t="str">
        <f t="shared" ca="1" si="18"/>
        <v xml:space="preserve"> </v>
      </c>
      <c r="AB46" s="151"/>
      <c r="AC46" s="151"/>
      <c r="AD46" s="151"/>
      <c r="AE46" s="151"/>
      <c r="AF46" s="151"/>
      <c r="AG46" s="151"/>
      <c r="AH46" s="151"/>
      <c r="AI46" s="151"/>
      <c r="AJ46" s="151"/>
      <c r="AK46" s="151"/>
      <c r="AL46" s="151"/>
      <c r="AM46" s="151"/>
    </row>
    <row r="47" spans="1:40" ht="13.8" thickBot="1">
      <c r="A47" s="166" t="s">
        <v>300</v>
      </c>
      <c r="B47" s="165" t="s">
        <v>101</v>
      </c>
      <c r="C47" s="167" t="s">
        <v>302</v>
      </c>
      <c r="D47" s="172"/>
      <c r="E47" s="172"/>
      <c r="F47" s="168" t="str">
        <f>IF(OR(F74="Y",F78="Y",F80="Y",F81="Y",F82="Y"),"","Y")</f>
        <v>Y</v>
      </c>
      <c r="G47" s="168" t="str">
        <f>IF(OR(G74="Y",G78="Y",G80="Y",G81="Y",G82="Y",G45="Y"),"","Y")</f>
        <v>Y</v>
      </c>
      <c r="H47" s="168" t="str">
        <f>IF(OR(H74="Y",H78="Y",H80="Y",H81="Y",H82="Y",H45="Y"),"","Y")</f>
        <v>Y</v>
      </c>
      <c r="I47" s="172"/>
      <c r="J47" s="168" t="str">
        <f>IF(OR(J74="Y",J78="Y",J80="Y",J81="Y",J82="Y",J45="Y"),"","Y")</f>
        <v>Y</v>
      </c>
      <c r="K47" s="168"/>
      <c r="L47" s="172"/>
      <c r="M47" s="172"/>
      <c r="N47" s="168"/>
      <c r="O47" s="253" t="str">
        <f t="shared" ca="1" si="7"/>
        <v xml:space="preserve"> </v>
      </c>
      <c r="P47" s="253" t="str">
        <f t="shared" ca="1" si="8"/>
        <v>Y</v>
      </c>
      <c r="Q47" s="253" t="str">
        <f t="shared" ca="1" si="9"/>
        <v>Y</v>
      </c>
      <c r="R47" s="253" t="str">
        <f t="shared" ca="1" si="10"/>
        <v>Y</v>
      </c>
      <c r="S47" s="253" t="str">
        <f t="shared" ca="1" si="11"/>
        <v xml:space="preserve"> </v>
      </c>
      <c r="T47" s="253" t="str">
        <f t="shared" ca="1" si="12"/>
        <v>Y</v>
      </c>
      <c r="U47" s="253" t="str">
        <f t="shared" ca="1" si="13"/>
        <v>Y</v>
      </c>
      <c r="V47" s="253" t="str">
        <f t="shared" ca="1" si="14"/>
        <v xml:space="preserve"> </v>
      </c>
      <c r="W47" s="253" t="str">
        <f t="shared" ca="1" si="15"/>
        <v>Y</v>
      </c>
      <c r="X47" s="253" t="str">
        <f t="shared" ca="1" si="16"/>
        <v xml:space="preserve"> </v>
      </c>
      <c r="Y47" s="253" t="str">
        <f t="shared" ca="1" si="17"/>
        <v xml:space="preserve"> </v>
      </c>
      <c r="Z47" s="253" t="str">
        <f t="shared" ca="1" si="18"/>
        <v>Y</v>
      </c>
      <c r="AA47" s="168"/>
      <c r="AB47" s="172"/>
      <c r="AC47" s="172"/>
      <c r="AD47" s="172"/>
      <c r="AE47" s="172"/>
      <c r="AF47" s="172"/>
      <c r="AG47" s="172"/>
      <c r="AH47" s="172"/>
      <c r="AI47" s="172"/>
      <c r="AJ47" s="172"/>
      <c r="AK47" s="172"/>
      <c r="AL47" s="172"/>
      <c r="AM47" s="172"/>
      <c r="AN47" s="169"/>
    </row>
    <row r="48" spans="1:40" ht="16.2" thickBot="1">
      <c r="A48" s="25"/>
      <c r="B48" s="56" t="s">
        <v>117</v>
      </c>
      <c r="C48" s="51"/>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1"/>
    </row>
    <row r="49" spans="1:40">
      <c r="A49" s="25" t="s">
        <v>118</v>
      </c>
      <c r="B49" s="2" t="s">
        <v>119</v>
      </c>
      <c r="C49" s="5" t="s">
        <v>17</v>
      </c>
      <c r="D49" s="254" t="str">
        <f>IF(IF((MOD($E$26+6,12)&gt;0),MOD($E$26+6,12),12)=D$26,"Y","")</f>
        <v/>
      </c>
      <c r="E49" s="254"/>
      <c r="F49" s="254" t="str">
        <f t="shared" ref="F49:M49" si="19">IF(IF((MOD($E$26+6,12)&gt;0),MOD($E$26+6,12),12)=F$26,"Y","")</f>
        <v/>
      </c>
      <c r="G49" s="254" t="str">
        <f t="shared" si="19"/>
        <v/>
      </c>
      <c r="H49" s="254" t="str">
        <f t="shared" si="19"/>
        <v/>
      </c>
      <c r="I49" s="254" t="str">
        <f t="shared" si="19"/>
        <v/>
      </c>
      <c r="J49" s="254" t="str">
        <f t="shared" si="19"/>
        <v/>
      </c>
      <c r="K49" s="254" t="str">
        <f t="shared" si="19"/>
        <v>Y</v>
      </c>
      <c r="L49" s="254" t="str">
        <f t="shared" si="19"/>
        <v/>
      </c>
      <c r="M49" s="254" t="str">
        <f t="shared" si="19"/>
        <v/>
      </c>
      <c r="O49" s="252" t="str">
        <f t="shared" ref="O49:O57" ca="1" si="20">IF(ISBLANK(OFFSET(O49,0,-11+O$34))," ",OFFSET(O49,0,-11+O$34))</f>
        <v/>
      </c>
      <c r="P49" s="252" t="str">
        <f t="shared" ref="P49:P57" ca="1" si="21">IF(ISBLANK(OFFSET(P49,0,-12+P$34))," ",OFFSET(P49,0,-12+P$34))</f>
        <v/>
      </c>
      <c r="Q49" s="252" t="str">
        <f t="shared" ref="Q49:Q57" ca="1" si="22">IF(ISBLANK(OFFSET(Q49,0,-13+Q$34))," ",OFFSET(Q49,0,-13+Q$34))</f>
        <v/>
      </c>
      <c r="R49" s="252" t="str">
        <f t="shared" ref="R49:R57" ca="1" si="23">IF(ISBLANK(OFFSET(R49,0,-14+R$34))," ",OFFSET(R49,0,-14+R$34))</f>
        <v/>
      </c>
      <c r="S49" s="252" t="str">
        <f t="shared" ref="S49:S57" ca="1" si="24">IF(ISBLANK(OFFSET(S49,0,-15+S$34))," ",OFFSET(S49,0,-15+S$34))</f>
        <v xml:space="preserve"> </v>
      </c>
      <c r="T49" s="252" t="str">
        <f t="shared" ref="T49:T57" ca="1" si="25">IF(ISBLANK(OFFSET(T49,0,-16+T$34))," ",OFFSET(T49,0,-16+T$34))</f>
        <v/>
      </c>
      <c r="U49" s="252" t="str">
        <f t="shared" ref="U49:U57" ca="1" si="26">IF(ISBLANK(OFFSET(U49,0,-17+U$34))," ",OFFSET(U49,0,-17+U$34))</f>
        <v/>
      </c>
      <c r="V49" s="252" t="str">
        <f t="shared" ref="V49:V57" ca="1" si="27">IF(ISBLANK(OFFSET(V49,0,-18+V$34))," ",OFFSET(V49,0,-18+V$34))</f>
        <v/>
      </c>
      <c r="W49" s="252" t="str">
        <f t="shared" ref="W49:W57" ca="1" si="28">IF(ISBLANK(OFFSET(W49,0,-19+W$34))," ",OFFSET(W49,0,-19+W$34))</f>
        <v/>
      </c>
      <c r="X49" s="252" t="str">
        <f t="shared" ref="X49:X57" ca="1" si="29">IF(ISBLANK(OFFSET(X49,0,-20+X$34))," ",OFFSET(X49,0,-20+X$34))</f>
        <v>Y</v>
      </c>
      <c r="Y49" s="252" t="str">
        <f t="shared" ref="Y49:Y57" ca="1" si="30">IF(ISBLANK(OFFSET(Y49,0,-21+Y$34))," ",OFFSET(Y49,0,-21+Y$34))</f>
        <v>Y</v>
      </c>
      <c r="Z49" s="252" t="str">
        <f t="shared" ref="Z49:Z57" ca="1" si="31">IF(ISBLANK(OFFSET(Z49,0,-22+Z$34))," ",OFFSET(Z49,0,-22+Z$34))</f>
        <v/>
      </c>
      <c r="AB49" s="254" t="str">
        <f t="shared" ref="AB49:AM49" si="32">IF(IF((MOD($E$26+6,12)&gt;0),MOD($E$26+6,12),12)=AB$26,"Y","")</f>
        <v/>
      </c>
      <c r="AC49" s="254" t="str">
        <f t="shared" si="32"/>
        <v/>
      </c>
      <c r="AD49" s="254" t="str">
        <f t="shared" si="32"/>
        <v/>
      </c>
      <c r="AE49" s="254" t="str">
        <f t="shared" si="32"/>
        <v/>
      </c>
      <c r="AF49" s="254" t="str">
        <f t="shared" si="32"/>
        <v/>
      </c>
      <c r="AG49" s="254" t="str">
        <f t="shared" si="32"/>
        <v/>
      </c>
      <c r="AH49" s="254" t="str">
        <f t="shared" si="32"/>
        <v/>
      </c>
      <c r="AI49" s="254" t="str">
        <f t="shared" si="32"/>
        <v>Y</v>
      </c>
      <c r="AJ49" s="254" t="str">
        <f t="shared" si="32"/>
        <v/>
      </c>
      <c r="AK49" s="254" t="str">
        <f t="shared" si="32"/>
        <v/>
      </c>
      <c r="AL49" s="254" t="str">
        <f t="shared" si="32"/>
        <v/>
      </c>
      <c r="AM49" s="254" t="str">
        <f t="shared" si="32"/>
        <v/>
      </c>
      <c r="AN49" s="1"/>
    </row>
    <row r="50" spans="1:40">
      <c r="A50" s="25" t="s">
        <v>120</v>
      </c>
      <c r="B50" s="2" t="s">
        <v>119</v>
      </c>
      <c r="C50" s="5" t="s">
        <v>18</v>
      </c>
      <c r="D50" s="254" t="str">
        <f>IF(IF((MOD($F$26+6,12)&gt;0),MOD($F$26+6,12),12)=D$26,"Y","")</f>
        <v/>
      </c>
      <c r="E50" s="254" t="str">
        <f>IF(IF((MOD($F$26+6,12)&gt;0),MOD($F$26+6,12),12)=E$26,"Y","")</f>
        <v/>
      </c>
      <c r="F50" s="254"/>
      <c r="G50" s="254" t="str">
        <f t="shared" ref="G50:M50" si="33">IF(IF((MOD($F$26+6,12)&gt;0),MOD($F$26+6,12),12)=G$26,"Y","")</f>
        <v/>
      </c>
      <c r="H50" s="254" t="str">
        <f t="shared" si="33"/>
        <v/>
      </c>
      <c r="I50" s="254" t="str">
        <f t="shared" si="33"/>
        <v/>
      </c>
      <c r="J50" s="254" t="str">
        <f t="shared" si="33"/>
        <v/>
      </c>
      <c r="K50" s="254" t="str">
        <f t="shared" si="33"/>
        <v/>
      </c>
      <c r="L50" s="254" t="str">
        <f t="shared" si="33"/>
        <v>Y</v>
      </c>
      <c r="M50" s="254" t="str">
        <f t="shared" si="33"/>
        <v/>
      </c>
      <c r="O50" s="252" t="str">
        <f t="shared" ca="1" si="20"/>
        <v/>
      </c>
      <c r="P50" s="252" t="str">
        <f t="shared" ca="1" si="21"/>
        <v/>
      </c>
      <c r="Q50" s="252" t="str">
        <f t="shared" ca="1" si="22"/>
        <v/>
      </c>
      <c r="R50" s="252" t="str">
        <f t="shared" ca="1" si="23"/>
        <v xml:space="preserve"> </v>
      </c>
      <c r="S50" s="252" t="str">
        <f t="shared" ca="1" si="24"/>
        <v/>
      </c>
      <c r="T50" s="252" t="str">
        <f t="shared" ca="1" si="25"/>
        <v/>
      </c>
      <c r="U50" s="252" t="str">
        <f t="shared" ca="1" si="26"/>
        <v/>
      </c>
      <c r="V50" s="252" t="str">
        <f t="shared" ca="1" si="27"/>
        <v/>
      </c>
      <c r="W50" s="252" t="str">
        <f t="shared" ca="1" si="28"/>
        <v/>
      </c>
      <c r="X50" s="252" t="str">
        <f t="shared" ca="1" si="29"/>
        <v/>
      </c>
      <c r="Y50" s="252" t="str">
        <f t="shared" ca="1" si="30"/>
        <v/>
      </c>
      <c r="Z50" s="252" t="str">
        <f t="shared" ca="1" si="31"/>
        <v/>
      </c>
      <c r="AB50" s="254" t="str">
        <f t="shared" ref="AB50:AM50" si="34">IF(IF((MOD($F$26+6,12)&gt;0),MOD($F$26+6,12),12)=AB$26,"Y","")</f>
        <v/>
      </c>
      <c r="AC50" s="254" t="str">
        <f t="shared" si="34"/>
        <v/>
      </c>
      <c r="AD50" s="254" t="str">
        <f t="shared" si="34"/>
        <v/>
      </c>
      <c r="AE50" s="254" t="str">
        <f t="shared" si="34"/>
        <v/>
      </c>
      <c r="AF50" s="254" t="str">
        <f t="shared" si="34"/>
        <v/>
      </c>
      <c r="AG50" s="254" t="str">
        <f t="shared" si="34"/>
        <v/>
      </c>
      <c r="AH50" s="254" t="str">
        <f t="shared" si="34"/>
        <v/>
      </c>
      <c r="AI50" s="254" t="str">
        <f t="shared" si="34"/>
        <v/>
      </c>
      <c r="AJ50" s="254" t="str">
        <f t="shared" si="34"/>
        <v>Y</v>
      </c>
      <c r="AK50" s="254" t="str">
        <f t="shared" si="34"/>
        <v/>
      </c>
      <c r="AL50" s="254" t="str">
        <f t="shared" si="34"/>
        <v/>
      </c>
      <c r="AM50" s="254" t="str">
        <f t="shared" si="34"/>
        <v/>
      </c>
      <c r="AN50" s="1"/>
    </row>
    <row r="51" spans="1:40">
      <c r="A51" s="25" t="s">
        <v>121</v>
      </c>
      <c r="B51" s="2" t="s">
        <v>119</v>
      </c>
      <c r="C51" s="5" t="s">
        <v>19</v>
      </c>
      <c r="D51" s="254" t="str">
        <f>IF(IF((MOD($G$26+6,12)&gt;0),MOD($G$26+6,12),12)=D$26,"Y","")</f>
        <v/>
      </c>
      <c r="E51" s="254" t="str">
        <f>IF(IF((MOD($G$26+6,12)&gt;0),MOD($G$26+6,12),12)=E$26,"Y","")</f>
        <v/>
      </c>
      <c r="F51" s="254" t="str">
        <f>IF(IF((MOD($G$26+6,12)&gt;0),MOD($G$26+6,12),12)=F$26,"Y","")</f>
        <v/>
      </c>
      <c r="G51" s="254"/>
      <c r="H51" s="254" t="str">
        <f t="shared" ref="H51:M51" si="35">IF(IF((MOD($G$26+6,12)&gt;0),MOD($G$26+6,12),12)=H$26,"Y","")</f>
        <v/>
      </c>
      <c r="I51" s="254" t="str">
        <f t="shared" si="35"/>
        <v/>
      </c>
      <c r="J51" s="254" t="str">
        <f t="shared" si="35"/>
        <v/>
      </c>
      <c r="K51" s="254" t="str">
        <f t="shared" si="35"/>
        <v/>
      </c>
      <c r="L51" s="254" t="str">
        <f t="shared" si="35"/>
        <v/>
      </c>
      <c r="M51" s="254" t="str">
        <f t="shared" si="35"/>
        <v>Y</v>
      </c>
      <c r="O51" s="252" t="str">
        <f t="shared" ca="1" si="20"/>
        <v/>
      </c>
      <c r="P51" s="252" t="str">
        <f t="shared" ca="1" si="21"/>
        <v/>
      </c>
      <c r="Q51" s="252" t="str">
        <f t="shared" ca="1" si="22"/>
        <v xml:space="preserve"> </v>
      </c>
      <c r="R51" s="252" t="str">
        <f t="shared" ca="1" si="23"/>
        <v/>
      </c>
      <c r="S51" s="252" t="str">
        <f t="shared" ca="1" si="24"/>
        <v/>
      </c>
      <c r="T51" s="252" t="str">
        <f t="shared" ca="1" si="25"/>
        <v xml:space="preserve"> </v>
      </c>
      <c r="U51" s="252" t="str">
        <f t="shared" ca="1" si="26"/>
        <v/>
      </c>
      <c r="V51" s="252" t="str">
        <f t="shared" ca="1" si="27"/>
        <v/>
      </c>
      <c r="W51" s="252" t="str">
        <f t="shared" ca="1" si="28"/>
        <v/>
      </c>
      <c r="X51" s="252" t="str">
        <f t="shared" ca="1" si="29"/>
        <v/>
      </c>
      <c r="Y51" s="252" t="str">
        <f t="shared" ca="1" si="30"/>
        <v/>
      </c>
      <c r="Z51" s="252" t="str">
        <f t="shared" ca="1" si="31"/>
        <v/>
      </c>
      <c r="AB51" s="254" t="str">
        <f t="shared" ref="AB51:AM51" si="36">IF(IF((MOD($G$26+6,12)&gt;0),MOD($G$26+6,12),12)=AB$26,"Y","")</f>
        <v/>
      </c>
      <c r="AC51" s="254" t="str">
        <f t="shared" si="36"/>
        <v/>
      </c>
      <c r="AD51" s="254" t="str">
        <f t="shared" si="36"/>
        <v/>
      </c>
      <c r="AE51" s="254" t="str">
        <f t="shared" si="36"/>
        <v/>
      </c>
      <c r="AF51" s="254" t="str">
        <f t="shared" si="36"/>
        <v/>
      </c>
      <c r="AG51" s="254" t="str">
        <f t="shared" si="36"/>
        <v/>
      </c>
      <c r="AH51" s="254" t="str">
        <f t="shared" si="36"/>
        <v/>
      </c>
      <c r="AI51" s="254" t="str">
        <f t="shared" si="36"/>
        <v/>
      </c>
      <c r="AJ51" s="254" t="str">
        <f t="shared" si="36"/>
        <v/>
      </c>
      <c r="AK51" s="254" t="str">
        <f t="shared" si="36"/>
        <v>Y</v>
      </c>
      <c r="AL51" s="254" t="str">
        <f t="shared" si="36"/>
        <v/>
      </c>
      <c r="AM51" s="254" t="str">
        <f t="shared" si="36"/>
        <v/>
      </c>
      <c r="AN51" s="1"/>
    </row>
    <row r="52" spans="1:40">
      <c r="A52" s="25" t="s">
        <v>122</v>
      </c>
      <c r="B52" s="2" t="s">
        <v>119</v>
      </c>
      <c r="C52" s="5" t="s">
        <v>20</v>
      </c>
      <c r="D52" s="254" t="str">
        <f>IF(IF((MOD($H$26+6,12)&gt;0),MOD($H$26+6,12),12)=D$26,"Y","")</f>
        <v/>
      </c>
      <c r="E52" s="254" t="str">
        <f>IF(IF((MOD($H$26+6,12)&gt;0),MOD($H$26+6,12),12)=E$26,"Y","")</f>
        <v/>
      </c>
      <c r="F52" s="254" t="str">
        <f>IF(IF((MOD($H$26+6,12)&gt;0),MOD($H$26+6,12),12)=F$26,"Y","")</f>
        <v/>
      </c>
      <c r="G52" s="254" t="str">
        <f>IF(IF((MOD($H$26+6,12)&gt;0),MOD($H$26+6,12),12)=G$26,"Y","")</f>
        <v/>
      </c>
      <c r="H52" s="254"/>
      <c r="I52" s="254" t="str">
        <f>IF(IF((MOD($H$26+6,12)&gt;0),MOD($H$26+6,12),12)=I$26,"Y","")</f>
        <v/>
      </c>
      <c r="J52" s="254" t="str">
        <f>IF(IF((MOD($H$26+6,12)&gt;0),MOD($H$26+6,12),12)=J$26,"Y","")</f>
        <v/>
      </c>
      <c r="K52" s="254" t="str">
        <f>IF(IF((MOD($H$26+6,12)&gt;0),MOD($H$26+6,12),12)=K$26,"Y","")</f>
        <v/>
      </c>
      <c r="L52" s="254" t="str">
        <f>IF(IF((MOD($H$26+6,12)&gt;0),MOD($H$26+6,12),12)=L$26,"Y","")</f>
        <v/>
      </c>
      <c r="M52" s="254" t="str">
        <f>IF(IF((MOD($H$26+6,12)&gt;0),MOD($H$26+6,12),12)=M$26,"Y","")</f>
        <v/>
      </c>
      <c r="O52" s="252" t="str">
        <f t="shared" ca="1" si="20"/>
        <v/>
      </c>
      <c r="P52" s="252" t="str">
        <f t="shared" ca="1" si="21"/>
        <v xml:space="preserve"> </v>
      </c>
      <c r="Q52" s="252" t="str">
        <f t="shared" ca="1" si="22"/>
        <v/>
      </c>
      <c r="R52" s="252" t="str">
        <f t="shared" ca="1" si="23"/>
        <v/>
      </c>
      <c r="S52" s="252" t="str">
        <f t="shared" ca="1" si="24"/>
        <v/>
      </c>
      <c r="T52" s="252" t="str">
        <f t="shared" ca="1" si="25"/>
        <v/>
      </c>
      <c r="U52" s="252" t="str">
        <f t="shared" ca="1" si="26"/>
        <v xml:space="preserve"> </v>
      </c>
      <c r="V52" s="252" t="str">
        <f t="shared" ca="1" si="27"/>
        <v/>
      </c>
      <c r="W52" s="252" t="str">
        <f t="shared" ca="1" si="28"/>
        <v/>
      </c>
      <c r="X52" s="252" t="str">
        <f t="shared" ca="1" si="29"/>
        <v/>
      </c>
      <c r="Y52" s="252" t="str">
        <f t="shared" ca="1" si="30"/>
        <v/>
      </c>
      <c r="Z52" s="252" t="str">
        <f t="shared" ca="1" si="31"/>
        <v/>
      </c>
      <c r="AB52" s="254" t="str">
        <f t="shared" ref="AB52:AM52" si="37">IF(IF((MOD($H$26+6,12)&gt;0),MOD($H$26+6,12),12)=AB$26,"Y","")</f>
        <v/>
      </c>
      <c r="AC52" s="254" t="str">
        <f t="shared" si="37"/>
        <v/>
      </c>
      <c r="AD52" s="254" t="str">
        <f t="shared" si="37"/>
        <v/>
      </c>
      <c r="AE52" s="254" t="str">
        <f t="shared" si="37"/>
        <v/>
      </c>
      <c r="AF52" s="254" t="str">
        <f t="shared" si="37"/>
        <v/>
      </c>
      <c r="AG52" s="254" t="str">
        <f t="shared" si="37"/>
        <v/>
      </c>
      <c r="AH52" s="254" t="str">
        <f t="shared" si="37"/>
        <v/>
      </c>
      <c r="AI52" s="254" t="str">
        <f t="shared" si="37"/>
        <v/>
      </c>
      <c r="AJ52" s="254" t="str">
        <f t="shared" si="37"/>
        <v/>
      </c>
      <c r="AK52" s="254" t="str">
        <f t="shared" si="37"/>
        <v/>
      </c>
      <c r="AL52" s="254" t="str">
        <f t="shared" si="37"/>
        <v>Y</v>
      </c>
      <c r="AM52" s="254" t="str">
        <f t="shared" si="37"/>
        <v/>
      </c>
      <c r="AN52" s="1"/>
    </row>
    <row r="53" spans="1:40">
      <c r="A53" s="25" t="s">
        <v>123</v>
      </c>
      <c r="B53" s="2" t="s">
        <v>119</v>
      </c>
      <c r="C53" s="5" t="s">
        <v>21</v>
      </c>
      <c r="D53" s="254" t="str">
        <f>CONCATENATE(IF(IF((MOD($I$26+6,12)&gt;0),MOD($I$26+6,12),12)=D$26,"Y",""),IF(IF((MOD($I$26+3,12)&gt;0),MOD($I$26+3,12),12)=D$26,"Y",""),IF(IF((MOD($I$26+7,12)&gt;0),MOD($I$26+7,12),12)=D$26,"Y",""))</f>
        <v>Y</v>
      </c>
      <c r="E53" s="254" t="str">
        <f>CONCATENATE(IF(IF((MOD($I$26+6,12)&gt;0),MOD($I$26+6,12),12)=E$26,"Y",""),IF(IF((MOD($I$26+3,12)&gt;0),MOD($I$26+3,12),12)=E$26,"Y",""),IF(IF((MOD($I$26+7,12)&gt;0),MOD($I$26+7,12),12)=E$26,"Y",""))</f>
        <v/>
      </c>
      <c r="F53" s="254" t="str">
        <f>CONCATENATE(IF(IF((MOD($I$26+6,12)&gt;0),MOD($I$26+6,12),12)=F$26,"Y",""),IF(IF((MOD($I$26+3,12)&gt;0),MOD($I$26+3,12),12)=F$26,"Y",""),IF(IF((MOD($I$26+7,12)&gt;0),MOD($I$26+7,12),12)=F$26,"Y",""))</f>
        <v/>
      </c>
      <c r="G53" s="254" t="str">
        <f>CONCATENATE(IF(IF((MOD($I$26+6,12)&gt;0),MOD($I$26+6,12),12)=G$26,"Y",""),IF(IF((MOD($I$26+3,12)&gt;0),MOD($I$26+3,12),12)=G$26,"Y",""),IF(IF((MOD($I$26+7,12)&gt;0),MOD($I$26+7,12),12)=G$26,"Y",""))</f>
        <v/>
      </c>
      <c r="H53" s="254" t="str">
        <f>CONCATENATE(IF(IF((MOD($I$26+6,12)&gt;0),MOD($I$26+6,12),12)=H$26,"Y",""),IF(IF((MOD($I$26+3,12)&gt;0),MOD($I$26+3,12),12)=H$26,"Y",""),IF(IF((MOD($I$26+7,12)&gt;0),MOD($I$26+7,12),12)=H$26,"Y",""))</f>
        <v/>
      </c>
      <c r="I53" s="254"/>
      <c r="J53" s="254" t="str">
        <f>CONCATENATE(IF(IF((MOD($I$26+6,12)&gt;0),MOD($I$26+6,12),12)=J$26,"Y",""),IF(IF((MOD($I$26+3,12)&gt;0),MOD($I$26+3,12),12)=J$26,"Y",""),IF(IF((MOD($I$26+7,12)&gt;0),MOD($I$26+7,12),12)=J$26,"Y",""))</f>
        <v/>
      </c>
      <c r="K53" s="254" t="str">
        <f>CONCATENATE(IF(IF((MOD($I$26+6,12)&gt;0),MOD($I$26+6,12),12)=K$26,"Y",""),IF(IF((MOD($I$26+3,12)&gt;0),MOD($I$26+3,12),12)=K$26,"Y",""),IF(IF((MOD($I$26+7,12)&gt;0),MOD($I$26+7,12),12)=K$26,"Y",""))</f>
        <v/>
      </c>
      <c r="L53" s="254" t="str">
        <f>CONCATENATE(IF(IF((MOD($I$26+6,12)&gt;0),MOD($I$26+6,12),12)=L$26,"Y",""),IF(IF((MOD($I$26+3,12)&gt;0),MOD($I$26+3,12),12)=L$26,"Y",""),IF(IF((MOD($I$26+7,12)&gt;0),MOD($I$26+7,12),12)=L$26,"Y",""))</f>
        <v>Y</v>
      </c>
      <c r="M53" s="254" t="str">
        <f>CONCATENATE(IF(IF((MOD($I$26+6,12)&gt;0),MOD($I$26+6,12),12)=M$26,"Y",""),IF(IF((MOD($I$26+3,12)&gt;0),MOD($I$26+3,12),12)=M$26,"Y",""),IF(IF((MOD($I$26+7,12)&gt;0),MOD($I$26+7,12),12)=M$26,"Y",""))</f>
        <v/>
      </c>
      <c r="O53" s="252" t="str">
        <f t="shared" ca="1" si="20"/>
        <v xml:space="preserve"> </v>
      </c>
      <c r="P53" s="252" t="str">
        <f t="shared" ca="1" si="21"/>
        <v/>
      </c>
      <c r="Q53" s="252" t="str">
        <f t="shared" ca="1" si="22"/>
        <v/>
      </c>
      <c r="R53" s="252" t="str">
        <f t="shared" ca="1" si="23"/>
        <v/>
      </c>
      <c r="S53" s="252" t="str">
        <f t="shared" ca="1" si="24"/>
        <v/>
      </c>
      <c r="T53" s="252" t="str">
        <f t="shared" ca="1" si="25"/>
        <v/>
      </c>
      <c r="U53" s="252" t="str">
        <f t="shared" ca="1" si="26"/>
        <v/>
      </c>
      <c r="V53" s="252" t="str">
        <f t="shared" ca="1" si="27"/>
        <v xml:space="preserve"> </v>
      </c>
      <c r="W53" s="252" t="str">
        <f t="shared" ca="1" si="28"/>
        <v/>
      </c>
      <c r="X53" s="252" t="str">
        <f t="shared" ca="1" si="29"/>
        <v/>
      </c>
      <c r="Y53" s="252" t="str">
        <f t="shared" ca="1" si="30"/>
        <v/>
      </c>
      <c r="Z53" s="252" t="str">
        <f t="shared" ca="1" si="31"/>
        <v/>
      </c>
      <c r="AB53" s="254" t="str">
        <f t="shared" ref="AB53:AM53" si="38">CONCATENATE(IF(IF((MOD($I$26+6,12)&gt;0),MOD($I$26+6,12),12)=AB$26,"Y",""),IF(IF((MOD($I$26+3,12)&gt;0),MOD($I$26+3,12),12)=AB$26,"Y",""),IF(IF((MOD($I$26+7,12)&gt;0),MOD($I$26+7,12),12)=AB$26,"Y",""))</f>
        <v>Y</v>
      </c>
      <c r="AC53" s="254" t="str">
        <f t="shared" si="38"/>
        <v/>
      </c>
      <c r="AD53" s="254" t="str">
        <f t="shared" si="38"/>
        <v/>
      </c>
      <c r="AE53" s="254" t="str">
        <f t="shared" si="38"/>
        <v/>
      </c>
      <c r="AF53" s="254" t="str">
        <f t="shared" si="38"/>
        <v/>
      </c>
      <c r="AG53" s="254" t="str">
        <f t="shared" si="38"/>
        <v/>
      </c>
      <c r="AH53" s="254" t="str">
        <f t="shared" si="38"/>
        <v/>
      </c>
      <c r="AI53" s="254" t="str">
        <f t="shared" si="38"/>
        <v/>
      </c>
      <c r="AJ53" s="254" t="str">
        <f t="shared" si="38"/>
        <v>Y</v>
      </c>
      <c r="AK53" s="254" t="str">
        <f t="shared" si="38"/>
        <v/>
      </c>
      <c r="AL53" s="254" t="str">
        <f t="shared" si="38"/>
        <v/>
      </c>
      <c r="AM53" s="254" t="str">
        <f t="shared" si="38"/>
        <v>Y</v>
      </c>
      <c r="AN53" s="1"/>
    </row>
    <row r="54" spans="1:40">
      <c r="A54" s="25" t="s">
        <v>124</v>
      </c>
      <c r="B54" s="2" t="s">
        <v>119</v>
      </c>
      <c r="C54" s="5" t="s">
        <v>22</v>
      </c>
      <c r="D54" s="254" t="str">
        <f t="shared" ref="D54:I54" si="39">CONCATENATE(IF(IF((MOD($J$26+6,12)&gt;0),MOD($J$26+6,12),12)=D$26,"Y",""),IF(IF((MOD($J$26+4,12)&gt;0),MOD($J$26+4,12),12)=D$26,"Y",""),IF(IF((MOD($J$26+8,12)&gt;0),MOD($J$26+8,12),12)=D$26,"Y",""))</f>
        <v>Y</v>
      </c>
      <c r="E54" s="254" t="str">
        <f t="shared" si="39"/>
        <v/>
      </c>
      <c r="F54" s="254" t="str">
        <f t="shared" si="39"/>
        <v>Y</v>
      </c>
      <c r="G54" s="254" t="str">
        <f t="shared" si="39"/>
        <v/>
      </c>
      <c r="H54" s="254" t="str">
        <f t="shared" si="39"/>
        <v/>
      </c>
      <c r="I54" s="254" t="str">
        <f t="shared" si="39"/>
        <v/>
      </c>
      <c r="J54" s="254"/>
      <c r="K54" s="254" t="str">
        <f>CONCATENATE(IF(IF((MOD($J$26+6,12)&gt;0),MOD($J$26+6,12),12)=K$26,"Y",""),IF(IF((MOD($J$26+4,12)&gt;0),MOD($J$26+4,12),12)=K$26,"Y",""),IF(IF((MOD($J$26+8,12)&gt;0),MOD($J$26+8,12),12)=K$26,"Y",""))</f>
        <v/>
      </c>
      <c r="L54" s="254" t="str">
        <f>CONCATENATE(IF(IF((MOD($J$26+6,12)&gt;0),MOD($J$26+6,12),12)=L$26,"Y",""),IF(IF((MOD($J$26+4,12)&gt;0),MOD($J$26+4,12),12)=L$26,"Y",""),IF(IF((MOD($J$26+8,12)&gt;0),MOD($J$26+8,12),12)=L$26,"Y",""))</f>
        <v/>
      </c>
      <c r="M54" s="254" t="str">
        <f>CONCATENATE(IF(IF((MOD($J$26+6,12)&gt;0),MOD($J$26+6,12),12)=M$26,"Y",""),IF(IF((MOD($J$26+4,12)&gt;0),MOD($J$26+4,12),12)=M$26,"Y",""),IF(IF((MOD($J$26+8,12)&gt;0),MOD($J$26+8,12),12)=M$26,"Y",""))</f>
        <v/>
      </c>
      <c r="O54" s="252" t="str">
        <f t="shared" ca="1" si="20"/>
        <v/>
      </c>
      <c r="P54" s="252" t="str">
        <f t="shared" ca="1" si="21"/>
        <v/>
      </c>
      <c r="Q54" s="252" t="str">
        <f t="shared" ca="1" si="22"/>
        <v/>
      </c>
      <c r="R54" s="252" t="str">
        <f t="shared" ca="1" si="23"/>
        <v>Y</v>
      </c>
      <c r="S54" s="252" t="str">
        <f t="shared" ca="1" si="24"/>
        <v/>
      </c>
      <c r="T54" s="252" t="str">
        <f t="shared" ca="1" si="25"/>
        <v/>
      </c>
      <c r="U54" s="252" t="str">
        <f t="shared" ca="1" si="26"/>
        <v/>
      </c>
      <c r="V54" s="252" t="str">
        <f t="shared" ca="1" si="27"/>
        <v/>
      </c>
      <c r="W54" s="252" t="str">
        <f t="shared" ca="1" si="28"/>
        <v xml:space="preserve"> </v>
      </c>
      <c r="X54" s="252" t="str">
        <f t="shared" ca="1" si="29"/>
        <v/>
      </c>
      <c r="Y54" s="252" t="str">
        <f t="shared" ca="1" si="30"/>
        <v/>
      </c>
      <c r="Z54" s="252" t="str">
        <f t="shared" ca="1" si="31"/>
        <v xml:space="preserve"> </v>
      </c>
      <c r="AB54" s="254" t="str">
        <f t="shared" ref="AB54:AM54" si="40">CONCATENATE(IF(IF((MOD($J$26+6,12)&gt;0),MOD($J$26+6,12),12)=AB$26,"Y",""),IF(IF((MOD($J$26+4,12)&gt;0),MOD($J$26+4,12),12)=AB$26,"Y",""),IF(IF((MOD($J$26+8,12)&gt;0),MOD($J$26+8,12),12)=AB$26,"Y",""))</f>
        <v>Y</v>
      </c>
      <c r="AC54" s="254" t="str">
        <f t="shared" si="40"/>
        <v/>
      </c>
      <c r="AD54" s="254" t="str">
        <f t="shared" si="40"/>
        <v>Y</v>
      </c>
      <c r="AE54" s="254" t="str">
        <f t="shared" si="40"/>
        <v/>
      </c>
      <c r="AF54" s="254" t="str">
        <f t="shared" si="40"/>
        <v/>
      </c>
      <c r="AG54" s="254" t="str">
        <f t="shared" si="40"/>
        <v/>
      </c>
      <c r="AH54" s="254" t="str">
        <f t="shared" si="40"/>
        <v/>
      </c>
      <c r="AI54" s="254" t="str">
        <f t="shared" si="40"/>
        <v/>
      </c>
      <c r="AJ54" s="254" t="str">
        <f t="shared" si="40"/>
        <v/>
      </c>
      <c r="AK54" s="254" t="str">
        <f t="shared" si="40"/>
        <v/>
      </c>
      <c r="AL54" s="254" t="str">
        <f t="shared" si="40"/>
        <v>Y</v>
      </c>
      <c r="AM54" s="254" t="str">
        <f t="shared" si="40"/>
        <v/>
      </c>
      <c r="AN54" s="1"/>
    </row>
    <row r="55" spans="1:40">
      <c r="A55" s="25" t="s">
        <v>125</v>
      </c>
      <c r="B55" s="2" t="s">
        <v>119</v>
      </c>
      <c r="C55" s="5" t="s">
        <v>23</v>
      </c>
      <c r="D55" s="254" t="str">
        <f t="shared" ref="D55:J55" si="41">CONCATENATE(IF(IF((MOD($K$26+6,12)&gt;0),MOD($K$26+6,12),12)=D$26,"Y",""),IF(IF((MOD($K$26+2,12)&gt;0),MOD($K$26+2,12),12)=D$26,"Y",""),IF(IF((MOD($K$26+9,12)&gt;0),MOD($K$26+9,12),12)=D$26,"Y",""))</f>
        <v/>
      </c>
      <c r="E55" s="254" t="str">
        <f t="shared" si="41"/>
        <v>Y</v>
      </c>
      <c r="F55" s="254" t="str">
        <f t="shared" si="41"/>
        <v/>
      </c>
      <c r="G55" s="254" t="str">
        <f t="shared" si="41"/>
        <v/>
      </c>
      <c r="H55" s="254" t="str">
        <f t="shared" si="41"/>
        <v>Y</v>
      </c>
      <c r="I55" s="254" t="str">
        <f t="shared" si="41"/>
        <v/>
      </c>
      <c r="J55" s="254" t="str">
        <f t="shared" si="41"/>
        <v/>
      </c>
      <c r="K55" s="254"/>
      <c r="L55" s="254" t="str">
        <f>CONCATENATE(IF(IF((MOD($K$26+6,12)&gt;0),MOD($K$26+6,12),12)=L$26,"Y",""),IF(IF((MOD($K$26+2,12)&gt;0),MOD($K$26+2,12),12)=L$26,"Y",""),IF(IF((MOD($K$26+9,12)&gt;0),MOD($K$26+9,12),12)=L$26,"Y",""))</f>
        <v/>
      </c>
      <c r="M55" s="254" t="str">
        <f>CONCATENATE(IF(IF((MOD($K$26+6,12)&gt;0),MOD($K$26+6,12),12)=M$26,"Y",""),IF(IF((MOD($K$26+2,12)&gt;0),MOD($K$26+2,12),12)=M$26,"Y",""),IF(IF((MOD($K$26+9,12)&gt;0),MOD($K$26+9,12),12)=M$26,"Y",""))</f>
        <v>Y</v>
      </c>
      <c r="O55" s="252" t="str">
        <f t="shared" ca="1" si="20"/>
        <v/>
      </c>
      <c r="P55" s="252" t="str">
        <f t="shared" ca="1" si="21"/>
        <v>Y</v>
      </c>
      <c r="Q55" s="252" t="str">
        <f t="shared" ca="1" si="22"/>
        <v/>
      </c>
      <c r="R55" s="252" t="str">
        <f t="shared" ca="1" si="23"/>
        <v/>
      </c>
      <c r="S55" s="252" t="str">
        <f t="shared" ca="1" si="24"/>
        <v>Y</v>
      </c>
      <c r="T55" s="252" t="str">
        <f t="shared" ca="1" si="25"/>
        <v/>
      </c>
      <c r="U55" s="252" t="str">
        <f t="shared" ca="1" si="26"/>
        <v>Y</v>
      </c>
      <c r="V55" s="252" t="str">
        <f t="shared" ca="1" si="27"/>
        <v/>
      </c>
      <c r="W55" s="252" t="str">
        <f t="shared" ca="1" si="28"/>
        <v/>
      </c>
      <c r="X55" s="252" t="str">
        <f t="shared" ca="1" si="29"/>
        <v xml:space="preserve"> </v>
      </c>
      <c r="Y55" s="252" t="str">
        <f t="shared" ca="1" si="30"/>
        <v xml:space="preserve"> </v>
      </c>
      <c r="Z55" s="252" t="str">
        <f t="shared" ca="1" si="31"/>
        <v/>
      </c>
      <c r="AB55" s="254" t="str">
        <f t="shared" ref="AB55:AM55" si="42">CONCATENATE(IF(IF((MOD($K$26+6,12)&gt;0),MOD($K$26+6,12),12)=AB$26,"Y",""),IF(IF((MOD($K$26+2,12)&gt;0),MOD($K$26+2,12),12)=AB$26,"Y",""),IF(IF((MOD($K$26+9,12)&gt;0),MOD($K$26+9,12),12)=AB$26,"Y",""))</f>
        <v/>
      </c>
      <c r="AC55" s="254" t="str">
        <f t="shared" si="42"/>
        <v>Y</v>
      </c>
      <c r="AD55" s="254" t="str">
        <f t="shared" si="42"/>
        <v/>
      </c>
      <c r="AE55" s="254" t="str">
        <f t="shared" si="42"/>
        <v/>
      </c>
      <c r="AF55" s="254" t="str">
        <f t="shared" si="42"/>
        <v>Y</v>
      </c>
      <c r="AG55" s="254" t="str">
        <f t="shared" si="42"/>
        <v/>
      </c>
      <c r="AH55" s="254" t="str">
        <f t="shared" si="42"/>
        <v/>
      </c>
      <c r="AI55" s="254" t="str">
        <f t="shared" si="42"/>
        <v/>
      </c>
      <c r="AJ55" s="254" t="str">
        <f t="shared" si="42"/>
        <v/>
      </c>
      <c r="AK55" s="254" t="str">
        <f t="shared" si="42"/>
        <v>Y</v>
      </c>
      <c r="AL55" s="254" t="str">
        <f t="shared" si="42"/>
        <v/>
      </c>
      <c r="AM55" s="254" t="str">
        <f t="shared" si="42"/>
        <v/>
      </c>
      <c r="AN55" s="1"/>
    </row>
    <row r="56" spans="1:40">
      <c r="A56" s="25" t="s">
        <v>126</v>
      </c>
      <c r="B56" s="2" t="s">
        <v>119</v>
      </c>
      <c r="C56" s="5" t="s">
        <v>24</v>
      </c>
      <c r="D56" s="254" t="str">
        <f t="shared" ref="D56:K56" si="43">IF(IF((MOD($L$26+6,12)&gt;0),MOD($L$26+6,12),12)=D$26,"Y","")</f>
        <v/>
      </c>
      <c r="E56" s="254" t="str">
        <f t="shared" si="43"/>
        <v/>
      </c>
      <c r="F56" s="254" t="str">
        <f t="shared" si="43"/>
        <v>Y</v>
      </c>
      <c r="G56" s="254" t="str">
        <f t="shared" si="43"/>
        <v/>
      </c>
      <c r="H56" s="254" t="str">
        <f t="shared" si="43"/>
        <v/>
      </c>
      <c r="I56" s="254" t="str">
        <f t="shared" si="43"/>
        <v/>
      </c>
      <c r="J56" s="254" t="str">
        <f t="shared" si="43"/>
        <v/>
      </c>
      <c r="K56" s="254" t="str">
        <f t="shared" si="43"/>
        <v/>
      </c>
      <c r="L56" s="254"/>
      <c r="M56" s="254"/>
      <c r="O56" s="252" t="str">
        <f t="shared" ca="1" si="20"/>
        <v/>
      </c>
      <c r="P56" s="252" t="str">
        <f t="shared" ca="1" si="21"/>
        <v/>
      </c>
      <c r="Q56" s="252" t="str">
        <f t="shared" ca="1" si="22"/>
        <v/>
      </c>
      <c r="R56" s="252" t="str">
        <f t="shared" ca="1" si="23"/>
        <v>Y</v>
      </c>
      <c r="S56" s="252" t="str">
        <f t="shared" ca="1" si="24"/>
        <v/>
      </c>
      <c r="T56" s="252" t="str">
        <f t="shared" ca="1" si="25"/>
        <v/>
      </c>
      <c r="U56" s="252" t="str">
        <f t="shared" ca="1" si="26"/>
        <v/>
      </c>
      <c r="V56" s="252" t="str">
        <f t="shared" ca="1" si="27"/>
        <v/>
      </c>
      <c r="W56" s="252" t="str">
        <f t="shared" ca="1" si="28"/>
        <v/>
      </c>
      <c r="X56" s="252" t="str">
        <f t="shared" ca="1" si="29"/>
        <v/>
      </c>
      <c r="Y56" s="252" t="str">
        <f t="shared" ca="1" si="30"/>
        <v/>
      </c>
      <c r="Z56" s="252" t="str">
        <f t="shared" ca="1" si="31"/>
        <v/>
      </c>
      <c r="AB56" s="254" t="str">
        <f t="shared" ref="AB56:AM56" si="44">IF(IF((MOD($L$26+6,12)&gt;0),MOD($L$26+6,12),12)=AB$26,"Y","")</f>
        <v/>
      </c>
      <c r="AC56" s="254" t="str">
        <f t="shared" si="44"/>
        <v/>
      </c>
      <c r="AD56" s="254" t="str">
        <f t="shared" si="44"/>
        <v>Y</v>
      </c>
      <c r="AE56" s="254" t="str">
        <f t="shared" si="44"/>
        <v/>
      </c>
      <c r="AF56" s="254" t="str">
        <f t="shared" si="44"/>
        <v/>
      </c>
      <c r="AG56" s="254" t="str">
        <f t="shared" si="44"/>
        <v/>
      </c>
      <c r="AH56" s="254" t="str">
        <f t="shared" si="44"/>
        <v/>
      </c>
      <c r="AI56" s="254" t="str">
        <f t="shared" si="44"/>
        <v/>
      </c>
      <c r="AJ56" s="254" t="str">
        <f t="shared" si="44"/>
        <v/>
      </c>
      <c r="AK56" s="254" t="str">
        <f t="shared" si="44"/>
        <v/>
      </c>
      <c r="AL56" s="254" t="str">
        <f t="shared" si="44"/>
        <v/>
      </c>
      <c r="AM56" s="254" t="str">
        <f t="shared" si="44"/>
        <v/>
      </c>
      <c r="AN56" s="1"/>
    </row>
    <row r="57" spans="1:40">
      <c r="A57" s="25" t="s">
        <v>127</v>
      </c>
      <c r="B57" s="2" t="s">
        <v>119</v>
      </c>
      <c r="C57" s="5" t="s">
        <v>25</v>
      </c>
      <c r="D57" s="254" t="str">
        <f t="shared" ref="D57:K57" si="45">IF(IF((MOD($M$26+6,12)&gt;0),MOD($M$26+6,12),12)=D$26,"Y","")</f>
        <v/>
      </c>
      <c r="E57" s="254" t="str">
        <f t="shared" si="45"/>
        <v/>
      </c>
      <c r="F57" s="254" t="str">
        <f t="shared" si="45"/>
        <v/>
      </c>
      <c r="G57" s="254" t="str">
        <f t="shared" si="45"/>
        <v>Y</v>
      </c>
      <c r="H57" s="254" t="str">
        <f t="shared" si="45"/>
        <v/>
      </c>
      <c r="I57" s="254" t="str">
        <f t="shared" si="45"/>
        <v/>
      </c>
      <c r="J57" s="254" t="str">
        <f t="shared" si="45"/>
        <v/>
      </c>
      <c r="K57" s="254" t="str">
        <f t="shared" si="45"/>
        <v/>
      </c>
      <c r="L57" s="254"/>
      <c r="M57" s="254"/>
      <c r="O57" s="252" t="str">
        <f t="shared" ca="1" si="20"/>
        <v/>
      </c>
      <c r="P57" s="252" t="str">
        <f t="shared" ca="1" si="21"/>
        <v/>
      </c>
      <c r="Q57" s="252" t="str">
        <f t="shared" ca="1" si="22"/>
        <v>Y</v>
      </c>
      <c r="R57" s="252" t="str">
        <f t="shared" ca="1" si="23"/>
        <v/>
      </c>
      <c r="S57" s="252" t="str">
        <f t="shared" ca="1" si="24"/>
        <v/>
      </c>
      <c r="T57" s="252" t="str">
        <f t="shared" ca="1" si="25"/>
        <v>Y</v>
      </c>
      <c r="U57" s="252" t="str">
        <f t="shared" ca="1" si="26"/>
        <v/>
      </c>
      <c r="V57" s="252" t="str">
        <f t="shared" ca="1" si="27"/>
        <v/>
      </c>
      <c r="W57" s="252" t="str">
        <f t="shared" ca="1" si="28"/>
        <v/>
      </c>
      <c r="X57" s="252" t="str">
        <f t="shared" ca="1" si="29"/>
        <v/>
      </c>
      <c r="Y57" s="252" t="str">
        <f t="shared" ca="1" si="30"/>
        <v/>
      </c>
      <c r="Z57" s="252" t="str">
        <f t="shared" ca="1" si="31"/>
        <v/>
      </c>
      <c r="AB57" s="254" t="str">
        <f t="shared" ref="AB57:AM57" si="46">IF(IF((MOD($M$26+6,12)&gt;0),MOD($M$26+6,12),12)=AB$26,"Y","")</f>
        <v/>
      </c>
      <c r="AC57" s="254" t="str">
        <f t="shared" si="46"/>
        <v/>
      </c>
      <c r="AD57" s="254" t="str">
        <f t="shared" si="46"/>
        <v/>
      </c>
      <c r="AE57" s="254" t="str">
        <f t="shared" si="46"/>
        <v>Y</v>
      </c>
      <c r="AF57" s="254" t="str">
        <f t="shared" si="46"/>
        <v/>
      </c>
      <c r="AG57" s="254" t="str">
        <f t="shared" si="46"/>
        <v/>
      </c>
      <c r="AH57" s="254" t="str">
        <f t="shared" si="46"/>
        <v/>
      </c>
      <c r="AI57" s="254" t="str">
        <f t="shared" si="46"/>
        <v/>
      </c>
      <c r="AJ57" s="254" t="str">
        <f t="shared" si="46"/>
        <v/>
      </c>
      <c r="AK57" s="254" t="str">
        <f t="shared" si="46"/>
        <v/>
      </c>
      <c r="AL57" s="254" t="str">
        <f t="shared" si="46"/>
        <v/>
      </c>
      <c r="AM57" s="254" t="str">
        <f t="shared" si="46"/>
        <v/>
      </c>
      <c r="AN57" s="1"/>
    </row>
    <row r="58" spans="1:40">
      <c r="A58" s="25"/>
      <c r="B58" s="3"/>
      <c r="C58" s="6"/>
      <c r="O58" s="57"/>
      <c r="P58" s="57"/>
      <c r="Q58" s="57"/>
      <c r="R58" s="57"/>
      <c r="S58" s="57"/>
      <c r="T58" s="57"/>
      <c r="U58" s="57"/>
      <c r="V58" s="57"/>
      <c r="W58" s="57"/>
      <c r="X58" s="57"/>
      <c r="Y58" s="57"/>
      <c r="Z58" s="57"/>
      <c r="AN58" s="1"/>
    </row>
    <row r="59" spans="1:40">
      <c r="A59" s="25" t="s">
        <v>128</v>
      </c>
      <c r="B59" s="2" t="s">
        <v>119</v>
      </c>
      <c r="C59" s="5" t="s">
        <v>26</v>
      </c>
      <c r="D59" s="254" t="str">
        <f t="shared" ref="D59:M59" ca="1" si="47">IF(ISBLANK(OFFSET(D$48,$O$34,0)),"",OFFSET(D$48,$O$34,0))</f>
        <v>Y</v>
      </c>
      <c r="E59" s="254" t="str">
        <f t="shared" ca="1" si="47"/>
        <v/>
      </c>
      <c r="F59" s="254" t="str">
        <f t="shared" ca="1" si="47"/>
        <v/>
      </c>
      <c r="G59" s="254" t="str">
        <f t="shared" ca="1" si="47"/>
        <v/>
      </c>
      <c r="H59" s="254" t="str">
        <f t="shared" ca="1" si="47"/>
        <v/>
      </c>
      <c r="I59" s="254" t="str">
        <f t="shared" ca="1" si="47"/>
        <v/>
      </c>
      <c r="J59" s="254" t="str">
        <f t="shared" ca="1" si="47"/>
        <v/>
      </c>
      <c r="K59" s="254" t="str">
        <f t="shared" ca="1" si="47"/>
        <v/>
      </c>
      <c r="L59" s="254" t="str">
        <f t="shared" ca="1" si="47"/>
        <v>Y</v>
      </c>
      <c r="M59" s="254" t="str">
        <f t="shared" ca="1" si="47"/>
        <v/>
      </c>
      <c r="O59" s="252" t="str">
        <f t="shared" ref="O59:O70" ca="1" si="48">IF(ISBLANK(OFFSET(O59,0,-11+O$34))," ",OFFSET(O59,0,-11+O$34))</f>
        <v/>
      </c>
      <c r="P59" s="252" t="str">
        <f t="shared" ref="P59:P70" ca="1" si="49">IF(ISBLANK(OFFSET(P59,0,-12+P$34))," ",OFFSET(P59,0,-12+P$34))</f>
        <v/>
      </c>
      <c r="Q59" s="252" t="str">
        <f t="shared" ref="Q59:Q70" ca="1" si="50">IF(ISBLANK(OFFSET(Q59,0,-13+Q$34))," ",OFFSET(Q59,0,-13+Q$34))</f>
        <v/>
      </c>
      <c r="R59" s="252" t="str">
        <f t="shared" ref="R59:R70" ca="1" si="51">IF(ISBLANK(OFFSET(R59,0,-14+R$34))," ",OFFSET(R59,0,-14+R$34))</f>
        <v/>
      </c>
      <c r="S59" s="252" t="str">
        <f t="shared" ref="S59:S70" ca="1" si="52">IF(ISBLANK(OFFSET(S59,0,-15+S$34))," ",OFFSET(S59,0,-15+S$34))</f>
        <v/>
      </c>
      <c r="T59" s="252" t="str">
        <f t="shared" ref="T59:T70" ca="1" si="53">IF(ISBLANK(OFFSET(T59,0,-16+T$34))," ",OFFSET(T59,0,-16+T$34))</f>
        <v/>
      </c>
      <c r="U59" s="252" t="str">
        <f t="shared" ref="U59:U70" ca="1" si="54">IF(ISBLANK(OFFSET(U59,0,-17+U$34))," ",OFFSET(U59,0,-17+U$34))</f>
        <v/>
      </c>
      <c r="V59" s="252" t="str">
        <f t="shared" ref="V59:V70" ca="1" si="55">IF(ISBLANK(OFFSET(V59,0,-18+V$34))," ",OFFSET(V59,0,-18+V$34))</f>
        <v/>
      </c>
      <c r="W59" s="252" t="str">
        <f t="shared" ref="W59:W70" ca="1" si="56">IF(ISBLANK(OFFSET(W59,0,-19+W$34))," ",OFFSET(W59,0,-19+W$34))</f>
        <v/>
      </c>
      <c r="X59" s="252" t="str">
        <f t="shared" ref="X59:X70" ca="1" si="57">IF(ISBLANK(OFFSET(X59,0,-20+X$34))," ",OFFSET(X59,0,-20+X$34))</f>
        <v/>
      </c>
      <c r="Y59" s="252" t="str">
        <f t="shared" ref="Y59:Y70" ca="1" si="58">IF(ISBLANK(OFFSET(Y59,0,-21+Y$34))," ",OFFSET(Y59,0,-21+Y$34))</f>
        <v/>
      </c>
      <c r="Z59" s="252" t="str">
        <f t="shared" ref="Z59:Z70" ca="1" si="59">IF(ISBLANK(OFFSET(Z59,0,-22+Z$34))," ",OFFSET(Z59,0,-22+Z$34))</f>
        <v/>
      </c>
      <c r="AB59" s="254" t="str">
        <f t="shared" ref="AB59:AM59" ca="1" si="60">IF(ISBLANK(OFFSET(AB$48,$O$34,0)),"",OFFSET(AB$48,$O$34,0))</f>
        <v>Y</v>
      </c>
      <c r="AC59" s="254" t="str">
        <f t="shared" ca="1" si="60"/>
        <v/>
      </c>
      <c r="AD59" s="254" t="str">
        <f t="shared" ca="1" si="60"/>
        <v/>
      </c>
      <c r="AE59" s="254" t="str">
        <f t="shared" ca="1" si="60"/>
        <v/>
      </c>
      <c r="AF59" s="254" t="str">
        <f t="shared" ca="1" si="60"/>
        <v/>
      </c>
      <c r="AG59" s="254" t="str">
        <f t="shared" ca="1" si="60"/>
        <v/>
      </c>
      <c r="AH59" s="254" t="str">
        <f t="shared" ca="1" si="60"/>
        <v/>
      </c>
      <c r="AI59" s="254" t="str">
        <f t="shared" ca="1" si="60"/>
        <v/>
      </c>
      <c r="AJ59" s="254" t="str">
        <f t="shared" ca="1" si="60"/>
        <v>Y</v>
      </c>
      <c r="AK59" s="254" t="str">
        <f t="shared" ca="1" si="60"/>
        <v/>
      </c>
      <c r="AL59" s="254" t="str">
        <f t="shared" ca="1" si="60"/>
        <v/>
      </c>
      <c r="AM59" s="254" t="str">
        <f t="shared" ca="1" si="60"/>
        <v>Y</v>
      </c>
      <c r="AN59" s="1"/>
    </row>
    <row r="60" spans="1:40">
      <c r="A60" s="25" t="s">
        <v>129</v>
      </c>
      <c r="B60" s="2" t="s">
        <v>119</v>
      </c>
      <c r="C60" s="5" t="s">
        <v>27</v>
      </c>
      <c r="D60" s="254" t="str">
        <f t="shared" ref="D60:M60" ca="1" si="61">IF(ISBLANK(OFFSET(D$48,$P$34,0)),"",OFFSET(D$48,$P$34,0))</f>
        <v/>
      </c>
      <c r="E60" s="254" t="str">
        <f t="shared" ca="1" si="61"/>
        <v/>
      </c>
      <c r="F60" s="254" t="str">
        <f t="shared" ca="1" si="61"/>
        <v/>
      </c>
      <c r="G60" s="254" t="str">
        <f t="shared" ca="1" si="61"/>
        <v/>
      </c>
      <c r="H60" s="254" t="str">
        <f t="shared" ca="1" si="61"/>
        <v/>
      </c>
      <c r="I60" s="254" t="str">
        <f t="shared" ca="1" si="61"/>
        <v/>
      </c>
      <c r="J60" s="254" t="str">
        <f t="shared" ca="1" si="61"/>
        <v/>
      </c>
      <c r="K60" s="254" t="str">
        <f t="shared" ca="1" si="61"/>
        <v/>
      </c>
      <c r="L60" s="254" t="str">
        <f t="shared" ca="1" si="61"/>
        <v/>
      </c>
      <c r="M60" s="254" t="str">
        <f t="shared" ca="1" si="61"/>
        <v/>
      </c>
      <c r="O60" s="252" t="str">
        <f t="shared" ca="1" si="48"/>
        <v/>
      </c>
      <c r="P60" s="252" t="str">
        <f t="shared" ca="1" si="49"/>
        <v/>
      </c>
      <c r="Q60" s="252" t="str">
        <f t="shared" ca="1" si="50"/>
        <v/>
      </c>
      <c r="R60" s="252" t="str">
        <f t="shared" ca="1" si="51"/>
        <v/>
      </c>
      <c r="S60" s="252" t="str">
        <f t="shared" ca="1" si="52"/>
        <v/>
      </c>
      <c r="T60" s="252" t="str">
        <f t="shared" ca="1" si="53"/>
        <v/>
      </c>
      <c r="U60" s="252" t="str">
        <f t="shared" ca="1" si="54"/>
        <v/>
      </c>
      <c r="V60" s="252" t="str">
        <f t="shared" ca="1" si="55"/>
        <v/>
      </c>
      <c r="W60" s="252" t="str">
        <f t="shared" ca="1" si="56"/>
        <v/>
      </c>
      <c r="X60" s="252" t="str">
        <f t="shared" ca="1" si="57"/>
        <v/>
      </c>
      <c r="Y60" s="252" t="str">
        <f t="shared" ca="1" si="58"/>
        <v/>
      </c>
      <c r="Z60" s="252" t="str">
        <f t="shared" ca="1" si="59"/>
        <v/>
      </c>
      <c r="AB60" s="254" t="str">
        <f t="shared" ref="AB60:AM60" ca="1" si="62">IF(ISBLANK(OFFSET(AB$48,$P$34,0)),"",OFFSET(AB$48,$P$34,0))</f>
        <v/>
      </c>
      <c r="AC60" s="254" t="str">
        <f t="shared" ca="1" si="62"/>
        <v/>
      </c>
      <c r="AD60" s="254" t="str">
        <f t="shared" ca="1" si="62"/>
        <v/>
      </c>
      <c r="AE60" s="254" t="str">
        <f t="shared" ca="1" si="62"/>
        <v/>
      </c>
      <c r="AF60" s="254" t="str">
        <f t="shared" ca="1" si="62"/>
        <v/>
      </c>
      <c r="AG60" s="254" t="str">
        <f t="shared" ca="1" si="62"/>
        <v/>
      </c>
      <c r="AH60" s="254" t="str">
        <f t="shared" ca="1" si="62"/>
        <v/>
      </c>
      <c r="AI60" s="254" t="str">
        <f t="shared" ca="1" si="62"/>
        <v/>
      </c>
      <c r="AJ60" s="254" t="str">
        <f t="shared" ca="1" si="62"/>
        <v/>
      </c>
      <c r="AK60" s="254" t="str">
        <f t="shared" ca="1" si="62"/>
        <v/>
      </c>
      <c r="AL60" s="254" t="str">
        <f t="shared" ca="1" si="62"/>
        <v>Y</v>
      </c>
      <c r="AM60" s="254" t="str">
        <f t="shared" ca="1" si="62"/>
        <v/>
      </c>
      <c r="AN60" s="1"/>
    </row>
    <row r="61" spans="1:40">
      <c r="A61" s="25" t="s">
        <v>130</v>
      </c>
      <c r="B61" s="2" t="s">
        <v>119</v>
      </c>
      <c r="C61" s="5" t="s">
        <v>28</v>
      </c>
      <c r="D61" s="254" t="str">
        <f t="shared" ref="D61:M61" ca="1" si="63">IF(ISBLANK(OFFSET(D$48,$Q$34,0)),"",OFFSET(D$48,$Q$34,0))</f>
        <v/>
      </c>
      <c r="E61" s="254" t="str">
        <f t="shared" ca="1" si="63"/>
        <v/>
      </c>
      <c r="F61" s="254" t="str">
        <f t="shared" ca="1" si="63"/>
        <v/>
      </c>
      <c r="G61" s="254" t="str">
        <f t="shared" ca="1" si="63"/>
        <v/>
      </c>
      <c r="H61" s="254" t="str">
        <f t="shared" ca="1" si="63"/>
        <v/>
      </c>
      <c r="I61" s="254" t="str">
        <f t="shared" ca="1" si="63"/>
        <v/>
      </c>
      <c r="J61" s="254" t="str">
        <f t="shared" ca="1" si="63"/>
        <v/>
      </c>
      <c r="K61" s="254" t="str">
        <f t="shared" ca="1" si="63"/>
        <v/>
      </c>
      <c r="L61" s="254" t="str">
        <f t="shared" ca="1" si="63"/>
        <v/>
      </c>
      <c r="M61" s="254" t="str">
        <f t="shared" ca="1" si="63"/>
        <v>Y</v>
      </c>
      <c r="O61" s="252" t="str">
        <f t="shared" ca="1" si="48"/>
        <v/>
      </c>
      <c r="P61" s="252" t="str">
        <f t="shared" ca="1" si="49"/>
        <v/>
      </c>
      <c r="Q61" s="252" t="str">
        <f t="shared" ca="1" si="50"/>
        <v/>
      </c>
      <c r="R61" s="252" t="str">
        <f t="shared" ca="1" si="51"/>
        <v/>
      </c>
      <c r="S61" s="252" t="str">
        <f t="shared" ca="1" si="52"/>
        <v/>
      </c>
      <c r="T61" s="252" t="str">
        <f t="shared" ca="1" si="53"/>
        <v/>
      </c>
      <c r="U61" s="252" t="str">
        <f t="shared" ca="1" si="54"/>
        <v/>
      </c>
      <c r="V61" s="252" t="str">
        <f t="shared" ca="1" si="55"/>
        <v/>
      </c>
      <c r="W61" s="252" t="str">
        <f t="shared" ca="1" si="56"/>
        <v/>
      </c>
      <c r="X61" s="252" t="str">
        <f t="shared" ca="1" si="57"/>
        <v/>
      </c>
      <c r="Y61" s="252" t="str">
        <f t="shared" ca="1" si="58"/>
        <v/>
      </c>
      <c r="Z61" s="252" t="str">
        <f t="shared" ca="1" si="59"/>
        <v/>
      </c>
      <c r="AB61" s="254" t="str">
        <f t="shared" ref="AB61:AM61" ca="1" si="64">IF(ISBLANK(OFFSET(AB$48,$Q$34,0)),"",OFFSET(AB$48,$Q$34,0))</f>
        <v/>
      </c>
      <c r="AC61" s="254" t="str">
        <f t="shared" ca="1" si="64"/>
        <v/>
      </c>
      <c r="AD61" s="254" t="str">
        <f t="shared" ca="1" si="64"/>
        <v/>
      </c>
      <c r="AE61" s="254" t="str">
        <f t="shared" ca="1" si="64"/>
        <v/>
      </c>
      <c r="AF61" s="254" t="str">
        <f t="shared" ca="1" si="64"/>
        <v/>
      </c>
      <c r="AG61" s="254" t="str">
        <f t="shared" ca="1" si="64"/>
        <v/>
      </c>
      <c r="AH61" s="254" t="str">
        <f t="shared" ca="1" si="64"/>
        <v/>
      </c>
      <c r="AI61" s="254" t="str">
        <f t="shared" ca="1" si="64"/>
        <v/>
      </c>
      <c r="AJ61" s="254" t="str">
        <f t="shared" ca="1" si="64"/>
        <v/>
      </c>
      <c r="AK61" s="254" t="str">
        <f t="shared" ca="1" si="64"/>
        <v>Y</v>
      </c>
      <c r="AL61" s="254" t="str">
        <f t="shared" ca="1" si="64"/>
        <v/>
      </c>
      <c r="AM61" s="254" t="str">
        <f t="shared" ca="1" si="64"/>
        <v/>
      </c>
      <c r="AN61" s="1"/>
    </row>
    <row r="62" spans="1:40">
      <c r="A62" s="25" t="s">
        <v>131</v>
      </c>
      <c r="B62" s="2" t="s">
        <v>119</v>
      </c>
      <c r="C62" s="5" t="s">
        <v>29</v>
      </c>
      <c r="D62" s="254" t="str">
        <f t="shared" ref="D62:M62" ca="1" si="65">IF(ISBLANK(OFFSET(D$48,$R$34,0)),"",OFFSET(D$48,$R$34,0))</f>
        <v/>
      </c>
      <c r="E62" s="254" t="str">
        <f t="shared" ca="1" si="65"/>
        <v/>
      </c>
      <c r="F62" s="254" t="str">
        <f t="shared" ca="1" si="65"/>
        <v/>
      </c>
      <c r="G62" s="254" t="str">
        <f t="shared" ca="1" si="65"/>
        <v/>
      </c>
      <c r="H62" s="254" t="str">
        <f t="shared" ca="1" si="65"/>
        <v/>
      </c>
      <c r="I62" s="254" t="str">
        <f t="shared" ca="1" si="65"/>
        <v/>
      </c>
      <c r="J62" s="254" t="str">
        <f t="shared" ca="1" si="65"/>
        <v/>
      </c>
      <c r="K62" s="254" t="str">
        <f t="shared" ca="1" si="65"/>
        <v/>
      </c>
      <c r="L62" s="254" t="str">
        <f t="shared" ca="1" si="65"/>
        <v>Y</v>
      </c>
      <c r="M62" s="254" t="str">
        <f t="shared" ca="1" si="65"/>
        <v/>
      </c>
      <c r="O62" s="252" t="str">
        <f t="shared" ca="1" si="48"/>
        <v/>
      </c>
      <c r="P62" s="252" t="str">
        <f t="shared" ca="1" si="49"/>
        <v/>
      </c>
      <c r="Q62" s="252" t="str">
        <f t="shared" ca="1" si="50"/>
        <v/>
      </c>
      <c r="R62" s="252" t="str">
        <f t="shared" ca="1" si="51"/>
        <v/>
      </c>
      <c r="S62" s="252" t="str">
        <f t="shared" ca="1" si="52"/>
        <v/>
      </c>
      <c r="T62" s="252" t="str">
        <f t="shared" ca="1" si="53"/>
        <v/>
      </c>
      <c r="U62" s="252" t="str">
        <f t="shared" ca="1" si="54"/>
        <v/>
      </c>
      <c r="V62" s="252" t="str">
        <f t="shared" ca="1" si="55"/>
        <v/>
      </c>
      <c r="W62" s="252" t="str">
        <f t="shared" ca="1" si="56"/>
        <v/>
      </c>
      <c r="X62" s="252" t="str">
        <f t="shared" ca="1" si="57"/>
        <v/>
      </c>
      <c r="Y62" s="252" t="str">
        <f t="shared" ca="1" si="58"/>
        <v/>
      </c>
      <c r="Z62" s="252" t="str">
        <f t="shared" ca="1" si="59"/>
        <v/>
      </c>
      <c r="AB62" s="254" t="str">
        <f t="shared" ref="AB62:AM62" ca="1" si="66">IF(ISBLANK(OFFSET(AB$48,$R$34,0)),"",OFFSET(AB$48,$R$34,0))</f>
        <v/>
      </c>
      <c r="AC62" s="254" t="str">
        <f t="shared" ca="1" si="66"/>
        <v/>
      </c>
      <c r="AD62" s="254" t="str">
        <f t="shared" ca="1" si="66"/>
        <v/>
      </c>
      <c r="AE62" s="254" t="str">
        <f t="shared" ca="1" si="66"/>
        <v/>
      </c>
      <c r="AF62" s="254" t="str">
        <f t="shared" ca="1" si="66"/>
        <v/>
      </c>
      <c r="AG62" s="254" t="str">
        <f t="shared" ca="1" si="66"/>
        <v/>
      </c>
      <c r="AH62" s="254" t="str">
        <f t="shared" ca="1" si="66"/>
        <v/>
      </c>
      <c r="AI62" s="254" t="str">
        <f t="shared" ca="1" si="66"/>
        <v/>
      </c>
      <c r="AJ62" s="254" t="str">
        <f t="shared" ca="1" si="66"/>
        <v>Y</v>
      </c>
      <c r="AK62" s="254" t="str">
        <f t="shared" ca="1" si="66"/>
        <v/>
      </c>
      <c r="AL62" s="254" t="str">
        <f t="shared" ca="1" si="66"/>
        <v/>
      </c>
      <c r="AM62" s="254" t="str">
        <f t="shared" ca="1" si="66"/>
        <v/>
      </c>
      <c r="AN62" s="1"/>
    </row>
    <row r="63" spans="1:40">
      <c r="A63" s="25" t="s">
        <v>132</v>
      </c>
      <c r="B63" s="2" t="s">
        <v>119</v>
      </c>
      <c r="C63" s="5" t="s">
        <v>30</v>
      </c>
      <c r="D63" s="254" t="str">
        <f t="shared" ref="D63:M63" ca="1" si="67">IF(ISBLANK(OFFSET(D$48,$S$34,0)),"",OFFSET(D$48,$S$34,0))</f>
        <v/>
      </c>
      <c r="E63" s="254" t="str">
        <f t="shared" ca="1" si="67"/>
        <v/>
      </c>
      <c r="F63" s="254" t="str">
        <f t="shared" ca="1" si="67"/>
        <v/>
      </c>
      <c r="G63" s="254" t="str">
        <f t="shared" ca="1" si="67"/>
        <v/>
      </c>
      <c r="H63" s="254" t="str">
        <f t="shared" ca="1" si="67"/>
        <v/>
      </c>
      <c r="I63" s="254" t="str">
        <f t="shared" ca="1" si="67"/>
        <v/>
      </c>
      <c r="J63" s="254" t="str">
        <f t="shared" ca="1" si="67"/>
        <v/>
      </c>
      <c r="K63" s="254" t="str">
        <f t="shared" ca="1" si="67"/>
        <v>Y</v>
      </c>
      <c r="L63" s="254" t="str">
        <f t="shared" ca="1" si="67"/>
        <v/>
      </c>
      <c r="M63" s="254" t="str">
        <f t="shared" ca="1" si="67"/>
        <v/>
      </c>
      <c r="O63" s="252" t="str">
        <f t="shared" ca="1" si="48"/>
        <v/>
      </c>
      <c r="P63" s="252" t="str">
        <f t="shared" ca="1" si="49"/>
        <v/>
      </c>
      <c r="Q63" s="252" t="str">
        <f t="shared" ca="1" si="50"/>
        <v/>
      </c>
      <c r="R63" s="252" t="str">
        <f t="shared" ca="1" si="51"/>
        <v/>
      </c>
      <c r="S63" s="252" t="str">
        <f t="shared" ca="1" si="52"/>
        <v/>
      </c>
      <c r="T63" s="252" t="str">
        <f t="shared" ca="1" si="53"/>
        <v/>
      </c>
      <c r="U63" s="252" t="str">
        <f t="shared" ca="1" si="54"/>
        <v/>
      </c>
      <c r="V63" s="252" t="str">
        <f t="shared" ca="1" si="55"/>
        <v/>
      </c>
      <c r="W63" s="252" t="str">
        <f t="shared" ca="1" si="56"/>
        <v/>
      </c>
      <c r="X63" s="252" t="str">
        <f t="shared" ca="1" si="57"/>
        <v>Y</v>
      </c>
      <c r="Y63" s="252" t="str">
        <f t="shared" ca="1" si="58"/>
        <v>Y</v>
      </c>
      <c r="Z63" s="252" t="str">
        <f t="shared" ca="1" si="59"/>
        <v/>
      </c>
      <c r="AB63" s="254" t="str">
        <f t="shared" ref="AB63:AM63" ca="1" si="68">IF(ISBLANK(OFFSET(AB$48,$S$34,0)),"",OFFSET(AB$48,$S$34,0))</f>
        <v/>
      </c>
      <c r="AC63" s="254" t="str">
        <f t="shared" ca="1" si="68"/>
        <v/>
      </c>
      <c r="AD63" s="254" t="str">
        <f t="shared" ca="1" si="68"/>
        <v/>
      </c>
      <c r="AE63" s="254" t="str">
        <f t="shared" ca="1" si="68"/>
        <v/>
      </c>
      <c r="AF63" s="254" t="str">
        <f t="shared" ca="1" si="68"/>
        <v/>
      </c>
      <c r="AG63" s="254" t="str">
        <f t="shared" ca="1" si="68"/>
        <v/>
      </c>
      <c r="AH63" s="254" t="str">
        <f t="shared" ca="1" si="68"/>
        <v/>
      </c>
      <c r="AI63" s="254" t="str">
        <f t="shared" ca="1" si="68"/>
        <v>Y</v>
      </c>
      <c r="AJ63" s="254" t="str">
        <f t="shared" ca="1" si="68"/>
        <v/>
      </c>
      <c r="AK63" s="254" t="str">
        <f t="shared" ca="1" si="68"/>
        <v/>
      </c>
      <c r="AL63" s="254" t="str">
        <f t="shared" ca="1" si="68"/>
        <v/>
      </c>
      <c r="AM63" s="254" t="str">
        <f t="shared" ca="1" si="68"/>
        <v/>
      </c>
      <c r="AN63" s="1"/>
    </row>
    <row r="64" spans="1:40">
      <c r="A64" s="25" t="s">
        <v>133</v>
      </c>
      <c r="B64" s="2" t="s">
        <v>119</v>
      </c>
      <c r="C64" s="5" t="s">
        <v>31</v>
      </c>
      <c r="D64" s="254" t="str">
        <f t="shared" ref="D64:M64" ca="1" si="69">IF(ISBLANK(OFFSET(D$48,$T$34,0)),"",OFFSET(D$48,$T$34,0))</f>
        <v/>
      </c>
      <c r="E64" s="254" t="str">
        <f t="shared" ca="1" si="69"/>
        <v/>
      </c>
      <c r="F64" s="254" t="str">
        <f t="shared" ca="1" si="69"/>
        <v/>
      </c>
      <c r="G64" s="254" t="str">
        <f t="shared" ca="1" si="69"/>
        <v/>
      </c>
      <c r="H64" s="254" t="str">
        <f t="shared" ca="1" si="69"/>
        <v/>
      </c>
      <c r="I64" s="254" t="str">
        <f t="shared" ca="1" si="69"/>
        <v/>
      </c>
      <c r="J64" s="254" t="str">
        <f t="shared" ca="1" si="69"/>
        <v/>
      </c>
      <c r="K64" s="254" t="str">
        <f t="shared" ca="1" si="69"/>
        <v/>
      </c>
      <c r="L64" s="254" t="str">
        <f t="shared" ca="1" si="69"/>
        <v/>
      </c>
      <c r="M64" s="254" t="str">
        <f t="shared" ca="1" si="69"/>
        <v>Y</v>
      </c>
      <c r="O64" s="252" t="str">
        <f t="shared" ca="1" si="48"/>
        <v/>
      </c>
      <c r="P64" s="252" t="str">
        <f t="shared" ca="1" si="49"/>
        <v/>
      </c>
      <c r="Q64" s="252" t="str">
        <f t="shared" ca="1" si="50"/>
        <v/>
      </c>
      <c r="R64" s="252" t="str">
        <f t="shared" ca="1" si="51"/>
        <v/>
      </c>
      <c r="S64" s="252" t="str">
        <f t="shared" ca="1" si="52"/>
        <v/>
      </c>
      <c r="T64" s="252" t="str">
        <f t="shared" ca="1" si="53"/>
        <v/>
      </c>
      <c r="U64" s="252" t="str">
        <f t="shared" ca="1" si="54"/>
        <v/>
      </c>
      <c r="V64" s="252" t="str">
        <f t="shared" ca="1" si="55"/>
        <v/>
      </c>
      <c r="W64" s="252" t="str">
        <f t="shared" ca="1" si="56"/>
        <v/>
      </c>
      <c r="X64" s="252" t="str">
        <f t="shared" ca="1" si="57"/>
        <v/>
      </c>
      <c r="Y64" s="252" t="str">
        <f t="shared" ca="1" si="58"/>
        <v/>
      </c>
      <c r="Z64" s="252" t="str">
        <f t="shared" ca="1" si="59"/>
        <v/>
      </c>
      <c r="AB64" s="254" t="str">
        <f t="shared" ref="AB64:AM64" ca="1" si="70">IF(ISBLANK(OFFSET(AB$48,$T$34,0)),"",OFFSET(AB$48,$T$34,0))</f>
        <v/>
      </c>
      <c r="AC64" s="254" t="str">
        <f t="shared" ca="1" si="70"/>
        <v/>
      </c>
      <c r="AD64" s="254" t="str">
        <f t="shared" ca="1" si="70"/>
        <v/>
      </c>
      <c r="AE64" s="254" t="str">
        <f t="shared" ca="1" si="70"/>
        <v/>
      </c>
      <c r="AF64" s="254" t="str">
        <f t="shared" ca="1" si="70"/>
        <v/>
      </c>
      <c r="AG64" s="254" t="str">
        <f t="shared" ca="1" si="70"/>
        <v/>
      </c>
      <c r="AH64" s="254" t="str">
        <f t="shared" ca="1" si="70"/>
        <v/>
      </c>
      <c r="AI64" s="254" t="str">
        <f t="shared" ca="1" si="70"/>
        <v/>
      </c>
      <c r="AJ64" s="254" t="str">
        <f t="shared" ca="1" si="70"/>
        <v/>
      </c>
      <c r="AK64" s="254" t="str">
        <f t="shared" ca="1" si="70"/>
        <v>Y</v>
      </c>
      <c r="AL64" s="254" t="str">
        <f t="shared" ca="1" si="70"/>
        <v/>
      </c>
      <c r="AM64" s="254" t="str">
        <f t="shared" ca="1" si="70"/>
        <v/>
      </c>
      <c r="AN64" s="1"/>
    </row>
    <row r="65" spans="1:40">
      <c r="A65" s="25" t="s">
        <v>134</v>
      </c>
      <c r="B65" s="2" t="s">
        <v>119</v>
      </c>
      <c r="C65" s="5" t="s">
        <v>32</v>
      </c>
      <c r="D65" s="254" t="str">
        <f t="shared" ref="D65:M65" ca="1" si="71">IF(ISBLANK(OFFSET(D$48,$U$34,0)),"",OFFSET(D$48,$U$34,0))</f>
        <v/>
      </c>
      <c r="E65" s="254" t="str">
        <f t="shared" ca="1" si="71"/>
        <v/>
      </c>
      <c r="F65" s="254" t="str">
        <f t="shared" ca="1" si="71"/>
        <v/>
      </c>
      <c r="G65" s="254" t="str">
        <f t="shared" ca="1" si="71"/>
        <v/>
      </c>
      <c r="H65" s="254" t="str">
        <f t="shared" ca="1" si="71"/>
        <v/>
      </c>
      <c r="I65" s="254" t="str">
        <f t="shared" ca="1" si="71"/>
        <v/>
      </c>
      <c r="J65" s="254" t="str">
        <f t="shared" ca="1" si="71"/>
        <v/>
      </c>
      <c r="K65" s="254" t="str">
        <f t="shared" ca="1" si="71"/>
        <v/>
      </c>
      <c r="L65" s="254" t="str">
        <f t="shared" ca="1" si="71"/>
        <v/>
      </c>
      <c r="M65" s="254" t="str">
        <f t="shared" ca="1" si="71"/>
        <v/>
      </c>
      <c r="O65" s="252" t="str">
        <f t="shared" ca="1" si="48"/>
        <v/>
      </c>
      <c r="P65" s="252" t="str">
        <f t="shared" ca="1" si="49"/>
        <v/>
      </c>
      <c r="Q65" s="252" t="str">
        <f t="shared" ca="1" si="50"/>
        <v/>
      </c>
      <c r="R65" s="252" t="str">
        <f t="shared" ca="1" si="51"/>
        <v/>
      </c>
      <c r="S65" s="252" t="str">
        <f t="shared" ca="1" si="52"/>
        <v/>
      </c>
      <c r="T65" s="252" t="str">
        <f t="shared" ca="1" si="53"/>
        <v/>
      </c>
      <c r="U65" s="252" t="str">
        <f t="shared" ca="1" si="54"/>
        <v/>
      </c>
      <c r="V65" s="252" t="str">
        <f t="shared" ca="1" si="55"/>
        <v/>
      </c>
      <c r="W65" s="252" t="str">
        <f t="shared" ca="1" si="56"/>
        <v/>
      </c>
      <c r="X65" s="252" t="str">
        <f t="shared" ca="1" si="57"/>
        <v/>
      </c>
      <c r="Y65" s="252" t="str">
        <f t="shared" ca="1" si="58"/>
        <v/>
      </c>
      <c r="Z65" s="252" t="str">
        <f t="shared" ca="1" si="59"/>
        <v/>
      </c>
      <c r="AB65" s="254" t="str">
        <f t="shared" ref="AB65:AM65" ca="1" si="72">IF(ISBLANK(OFFSET(AB$48,$U$34,0)),"",OFFSET(AB$48,$U$34,0))</f>
        <v/>
      </c>
      <c r="AC65" s="254" t="str">
        <f t="shared" ca="1" si="72"/>
        <v/>
      </c>
      <c r="AD65" s="254" t="str">
        <f t="shared" ca="1" si="72"/>
        <v/>
      </c>
      <c r="AE65" s="254" t="str">
        <f t="shared" ca="1" si="72"/>
        <v/>
      </c>
      <c r="AF65" s="254" t="str">
        <f t="shared" ca="1" si="72"/>
        <v/>
      </c>
      <c r="AG65" s="254" t="str">
        <f t="shared" ca="1" si="72"/>
        <v/>
      </c>
      <c r="AH65" s="254" t="str">
        <f t="shared" ca="1" si="72"/>
        <v/>
      </c>
      <c r="AI65" s="254" t="str">
        <f t="shared" ca="1" si="72"/>
        <v/>
      </c>
      <c r="AJ65" s="254" t="str">
        <f t="shared" ca="1" si="72"/>
        <v/>
      </c>
      <c r="AK65" s="254" t="str">
        <f t="shared" ca="1" si="72"/>
        <v/>
      </c>
      <c r="AL65" s="254" t="str">
        <f t="shared" ca="1" si="72"/>
        <v>Y</v>
      </c>
      <c r="AM65" s="254" t="str">
        <f t="shared" ca="1" si="72"/>
        <v/>
      </c>
      <c r="AN65" s="1"/>
    </row>
    <row r="66" spans="1:40">
      <c r="A66" s="25" t="s">
        <v>135</v>
      </c>
      <c r="B66" s="2" t="s">
        <v>119</v>
      </c>
      <c r="C66" s="5" t="s">
        <v>33</v>
      </c>
      <c r="D66" s="254" t="str">
        <f t="shared" ref="D66:M66" ca="1" si="73">IF(ISBLANK(OFFSET(D$48,$V$34,0)),"",OFFSET(D$48,$V$34,0))</f>
        <v>Y</v>
      </c>
      <c r="E66" s="254" t="str">
        <f t="shared" ca="1" si="73"/>
        <v/>
      </c>
      <c r="F66" s="254" t="str">
        <f t="shared" ca="1" si="73"/>
        <v/>
      </c>
      <c r="G66" s="254" t="str">
        <f t="shared" ca="1" si="73"/>
        <v/>
      </c>
      <c r="H66" s="254" t="str">
        <f t="shared" ca="1" si="73"/>
        <v/>
      </c>
      <c r="I66" s="254" t="str">
        <f t="shared" ca="1" si="73"/>
        <v/>
      </c>
      <c r="J66" s="254" t="str">
        <f t="shared" ca="1" si="73"/>
        <v/>
      </c>
      <c r="K66" s="254" t="str">
        <f t="shared" ca="1" si="73"/>
        <v/>
      </c>
      <c r="L66" s="254" t="str">
        <f t="shared" ca="1" si="73"/>
        <v>Y</v>
      </c>
      <c r="M66" s="254" t="str">
        <f t="shared" ca="1" si="73"/>
        <v/>
      </c>
      <c r="O66" s="252" t="str">
        <f t="shared" ca="1" si="48"/>
        <v/>
      </c>
      <c r="P66" s="252" t="str">
        <f t="shared" ca="1" si="49"/>
        <v/>
      </c>
      <c r="Q66" s="252" t="str">
        <f t="shared" ca="1" si="50"/>
        <v/>
      </c>
      <c r="R66" s="252" t="str">
        <f t="shared" ca="1" si="51"/>
        <v/>
      </c>
      <c r="S66" s="252" t="str">
        <f t="shared" ca="1" si="52"/>
        <v/>
      </c>
      <c r="T66" s="252" t="str">
        <f t="shared" ca="1" si="53"/>
        <v/>
      </c>
      <c r="U66" s="252" t="str">
        <f t="shared" ca="1" si="54"/>
        <v/>
      </c>
      <c r="V66" s="252" t="str">
        <f t="shared" ca="1" si="55"/>
        <v/>
      </c>
      <c r="W66" s="252" t="str">
        <f t="shared" ca="1" si="56"/>
        <v/>
      </c>
      <c r="X66" s="252" t="str">
        <f t="shared" ca="1" si="57"/>
        <v/>
      </c>
      <c r="Y66" s="252" t="str">
        <f t="shared" ca="1" si="58"/>
        <v/>
      </c>
      <c r="Z66" s="252" t="str">
        <f t="shared" ca="1" si="59"/>
        <v/>
      </c>
      <c r="AB66" s="254" t="str">
        <f t="shared" ref="AB66:AM66" ca="1" si="74">IF(ISBLANK(OFFSET(AB$48,$V$34,0)),"",OFFSET(AB$48,$V$34,0))</f>
        <v>Y</v>
      </c>
      <c r="AC66" s="254" t="str">
        <f t="shared" ca="1" si="74"/>
        <v/>
      </c>
      <c r="AD66" s="254" t="str">
        <f t="shared" ca="1" si="74"/>
        <v/>
      </c>
      <c r="AE66" s="254" t="str">
        <f t="shared" ca="1" si="74"/>
        <v/>
      </c>
      <c r="AF66" s="254" t="str">
        <f t="shared" ca="1" si="74"/>
        <v/>
      </c>
      <c r="AG66" s="254" t="str">
        <f t="shared" ca="1" si="74"/>
        <v/>
      </c>
      <c r="AH66" s="254" t="str">
        <f t="shared" ca="1" si="74"/>
        <v/>
      </c>
      <c r="AI66" s="254" t="str">
        <f t="shared" ca="1" si="74"/>
        <v/>
      </c>
      <c r="AJ66" s="254" t="str">
        <f t="shared" ca="1" si="74"/>
        <v>Y</v>
      </c>
      <c r="AK66" s="254" t="str">
        <f t="shared" ca="1" si="74"/>
        <v/>
      </c>
      <c r="AL66" s="254" t="str">
        <f t="shared" ca="1" si="74"/>
        <v/>
      </c>
      <c r="AM66" s="254" t="str">
        <f t="shared" ca="1" si="74"/>
        <v>Y</v>
      </c>
      <c r="AN66" s="1"/>
    </row>
    <row r="67" spans="1:40">
      <c r="A67" s="25" t="s">
        <v>136</v>
      </c>
      <c r="B67" s="2" t="s">
        <v>119</v>
      </c>
      <c r="C67" s="5" t="s">
        <v>34</v>
      </c>
      <c r="D67" s="254" t="str">
        <f t="shared" ref="D67:M67" ca="1" si="75">IF(ISBLANK(OFFSET(D$48,$W$34,0)),"",OFFSET(D$48,$W$34,0))</f>
        <v>Y</v>
      </c>
      <c r="E67" s="254" t="str">
        <f t="shared" ca="1" si="75"/>
        <v/>
      </c>
      <c r="F67" s="254" t="str">
        <f t="shared" ca="1" si="75"/>
        <v>Y</v>
      </c>
      <c r="G67" s="254" t="str">
        <f t="shared" ca="1" si="75"/>
        <v/>
      </c>
      <c r="H67" s="254" t="str">
        <f t="shared" ca="1" si="75"/>
        <v/>
      </c>
      <c r="I67" s="254" t="str">
        <f t="shared" ca="1" si="75"/>
        <v/>
      </c>
      <c r="J67" s="254" t="str">
        <f t="shared" ca="1" si="75"/>
        <v/>
      </c>
      <c r="K67" s="254" t="str">
        <f t="shared" ca="1" si="75"/>
        <v/>
      </c>
      <c r="L67" s="254" t="str">
        <f t="shared" ca="1" si="75"/>
        <v/>
      </c>
      <c r="M67" s="254" t="str">
        <f t="shared" ca="1" si="75"/>
        <v/>
      </c>
      <c r="O67" s="252" t="str">
        <f t="shared" ca="1" si="48"/>
        <v/>
      </c>
      <c r="P67" s="252" t="str">
        <f t="shared" ca="1" si="49"/>
        <v/>
      </c>
      <c r="Q67" s="252" t="str">
        <f t="shared" ca="1" si="50"/>
        <v/>
      </c>
      <c r="R67" s="252" t="str">
        <f t="shared" ca="1" si="51"/>
        <v>Y</v>
      </c>
      <c r="S67" s="252" t="str">
        <f t="shared" ca="1" si="52"/>
        <v/>
      </c>
      <c r="T67" s="252" t="str">
        <f t="shared" ca="1" si="53"/>
        <v/>
      </c>
      <c r="U67" s="252" t="str">
        <f t="shared" ca="1" si="54"/>
        <v/>
      </c>
      <c r="V67" s="252" t="str">
        <f t="shared" ca="1" si="55"/>
        <v/>
      </c>
      <c r="W67" s="252" t="str">
        <f t="shared" ca="1" si="56"/>
        <v/>
      </c>
      <c r="X67" s="252" t="str">
        <f t="shared" ca="1" si="57"/>
        <v/>
      </c>
      <c r="Y67" s="252" t="str">
        <f t="shared" ca="1" si="58"/>
        <v/>
      </c>
      <c r="Z67" s="252" t="str">
        <f t="shared" ca="1" si="59"/>
        <v/>
      </c>
      <c r="AB67" s="254" t="str">
        <f t="shared" ref="AB67:AM67" ca="1" si="76">IF(ISBLANK(OFFSET(AB$48,$W$34,0)),"",OFFSET(AB$48,$W$34,0))</f>
        <v>Y</v>
      </c>
      <c r="AC67" s="254" t="str">
        <f t="shared" ca="1" si="76"/>
        <v/>
      </c>
      <c r="AD67" s="254" t="str">
        <f t="shared" ca="1" si="76"/>
        <v>Y</v>
      </c>
      <c r="AE67" s="254" t="str">
        <f t="shared" ca="1" si="76"/>
        <v/>
      </c>
      <c r="AF67" s="254" t="str">
        <f t="shared" ca="1" si="76"/>
        <v/>
      </c>
      <c r="AG67" s="254" t="str">
        <f t="shared" ca="1" si="76"/>
        <v/>
      </c>
      <c r="AH67" s="254" t="str">
        <f t="shared" ca="1" si="76"/>
        <v/>
      </c>
      <c r="AI67" s="254" t="str">
        <f t="shared" ca="1" si="76"/>
        <v/>
      </c>
      <c r="AJ67" s="254" t="str">
        <f t="shared" ca="1" si="76"/>
        <v/>
      </c>
      <c r="AK67" s="254" t="str">
        <f t="shared" ca="1" si="76"/>
        <v/>
      </c>
      <c r="AL67" s="254" t="str">
        <f t="shared" ca="1" si="76"/>
        <v>Y</v>
      </c>
      <c r="AM67" s="254" t="str">
        <f t="shared" ca="1" si="76"/>
        <v/>
      </c>
      <c r="AN67" s="1"/>
    </row>
    <row r="68" spans="1:40">
      <c r="A68" s="25" t="s">
        <v>137</v>
      </c>
      <c r="B68" s="2" t="s">
        <v>119</v>
      </c>
      <c r="C68" s="5" t="s">
        <v>35</v>
      </c>
      <c r="D68" s="254" t="str">
        <f t="shared" ref="D68:M68" ca="1" si="77">IF(ISBLANK(OFFSET(D$48,$X$34,0)),"",OFFSET(D$48,$X$34,0))</f>
        <v/>
      </c>
      <c r="E68" s="254" t="str">
        <f t="shared" ca="1" si="77"/>
        <v>Y</v>
      </c>
      <c r="F68" s="254" t="str">
        <f t="shared" ca="1" si="77"/>
        <v/>
      </c>
      <c r="G68" s="254" t="str">
        <f t="shared" ca="1" si="77"/>
        <v/>
      </c>
      <c r="H68" s="254" t="str">
        <f t="shared" ca="1" si="77"/>
        <v>Y</v>
      </c>
      <c r="I68" s="254" t="str">
        <f t="shared" ca="1" si="77"/>
        <v/>
      </c>
      <c r="J68" s="254" t="str">
        <f t="shared" ca="1" si="77"/>
        <v/>
      </c>
      <c r="K68" s="254" t="str">
        <f t="shared" ca="1" si="77"/>
        <v/>
      </c>
      <c r="L68" s="254" t="str">
        <f t="shared" ca="1" si="77"/>
        <v/>
      </c>
      <c r="M68" s="254" t="str">
        <f t="shared" ca="1" si="77"/>
        <v>Y</v>
      </c>
      <c r="O68" s="252" t="str">
        <f t="shared" ca="1" si="48"/>
        <v/>
      </c>
      <c r="P68" s="252" t="str">
        <f t="shared" ca="1" si="49"/>
        <v>Y</v>
      </c>
      <c r="Q68" s="252" t="str">
        <f t="shared" ca="1" si="50"/>
        <v/>
      </c>
      <c r="R68" s="252" t="str">
        <f t="shared" ca="1" si="51"/>
        <v/>
      </c>
      <c r="S68" s="252" t="str">
        <f t="shared" ca="1" si="52"/>
        <v>Y</v>
      </c>
      <c r="T68" s="252" t="str">
        <f t="shared" ca="1" si="53"/>
        <v/>
      </c>
      <c r="U68" s="252" t="str">
        <f t="shared" ca="1" si="54"/>
        <v>Y</v>
      </c>
      <c r="V68" s="252" t="str">
        <f t="shared" ca="1" si="55"/>
        <v/>
      </c>
      <c r="W68" s="252" t="str">
        <f t="shared" ca="1" si="56"/>
        <v/>
      </c>
      <c r="X68" s="252" t="str">
        <f t="shared" ca="1" si="57"/>
        <v/>
      </c>
      <c r="Y68" s="252" t="str">
        <f t="shared" ca="1" si="58"/>
        <v/>
      </c>
      <c r="Z68" s="252" t="str">
        <f t="shared" ca="1" si="59"/>
        <v/>
      </c>
      <c r="AB68" s="254" t="str">
        <f t="shared" ref="AB68:AM68" ca="1" si="78">IF(ISBLANK(OFFSET(AB$48,$X$34,0)),"",OFFSET(AB$48,$X$34,0))</f>
        <v/>
      </c>
      <c r="AC68" s="254" t="str">
        <f t="shared" ca="1" si="78"/>
        <v>Y</v>
      </c>
      <c r="AD68" s="254" t="str">
        <f t="shared" ca="1" si="78"/>
        <v/>
      </c>
      <c r="AE68" s="254" t="str">
        <f t="shared" ca="1" si="78"/>
        <v/>
      </c>
      <c r="AF68" s="254" t="str">
        <f t="shared" ca="1" si="78"/>
        <v>Y</v>
      </c>
      <c r="AG68" s="254" t="str">
        <f t="shared" ca="1" si="78"/>
        <v/>
      </c>
      <c r="AH68" s="254" t="str">
        <f t="shared" ca="1" si="78"/>
        <v/>
      </c>
      <c r="AI68" s="254" t="str">
        <f t="shared" ca="1" si="78"/>
        <v/>
      </c>
      <c r="AJ68" s="254" t="str">
        <f t="shared" ca="1" si="78"/>
        <v/>
      </c>
      <c r="AK68" s="254" t="str">
        <f t="shared" ca="1" si="78"/>
        <v>Y</v>
      </c>
      <c r="AL68" s="254" t="str">
        <f t="shared" ca="1" si="78"/>
        <v/>
      </c>
      <c r="AM68" s="254" t="str">
        <f t="shared" ca="1" si="78"/>
        <v/>
      </c>
      <c r="AN68" s="1"/>
    </row>
    <row r="69" spans="1:40">
      <c r="A69" s="25" t="s">
        <v>138</v>
      </c>
      <c r="B69" s="2" t="s">
        <v>119</v>
      </c>
      <c r="C69" s="5" t="s">
        <v>36</v>
      </c>
      <c r="D69" s="254" t="str">
        <f t="shared" ref="D69:M69" ca="1" si="79">IF(ISBLANK(OFFSET(D$48,$Y$34,0)),"",OFFSET(D$48,$Y$34,0))</f>
        <v/>
      </c>
      <c r="E69" s="254" t="str">
        <f t="shared" ca="1" si="79"/>
        <v>Y</v>
      </c>
      <c r="F69" s="254" t="str">
        <f t="shared" ca="1" si="79"/>
        <v/>
      </c>
      <c r="G69" s="254" t="str">
        <f t="shared" ca="1" si="79"/>
        <v/>
      </c>
      <c r="H69" s="254" t="str">
        <f t="shared" ca="1" si="79"/>
        <v>Y</v>
      </c>
      <c r="I69" s="254" t="str">
        <f t="shared" ca="1" si="79"/>
        <v/>
      </c>
      <c r="J69" s="254" t="str">
        <f t="shared" ca="1" si="79"/>
        <v/>
      </c>
      <c r="K69" s="254" t="str">
        <f t="shared" ca="1" si="79"/>
        <v/>
      </c>
      <c r="L69" s="254" t="str">
        <f t="shared" ca="1" si="79"/>
        <v/>
      </c>
      <c r="M69" s="254" t="str">
        <f t="shared" ca="1" si="79"/>
        <v>Y</v>
      </c>
      <c r="O69" s="252" t="str">
        <f t="shared" ca="1" si="48"/>
        <v/>
      </c>
      <c r="P69" s="252" t="str">
        <f t="shared" ca="1" si="49"/>
        <v>Y</v>
      </c>
      <c r="Q69" s="252" t="str">
        <f t="shared" ca="1" si="50"/>
        <v/>
      </c>
      <c r="R69" s="252" t="str">
        <f t="shared" ca="1" si="51"/>
        <v/>
      </c>
      <c r="S69" s="252" t="str">
        <f t="shared" ca="1" si="52"/>
        <v>Y</v>
      </c>
      <c r="T69" s="252" t="str">
        <f t="shared" ca="1" si="53"/>
        <v/>
      </c>
      <c r="U69" s="252" t="str">
        <f t="shared" ca="1" si="54"/>
        <v>Y</v>
      </c>
      <c r="V69" s="252" t="str">
        <f t="shared" ca="1" si="55"/>
        <v/>
      </c>
      <c r="W69" s="252" t="str">
        <f t="shared" ca="1" si="56"/>
        <v/>
      </c>
      <c r="X69" s="252" t="str">
        <f t="shared" ca="1" si="57"/>
        <v/>
      </c>
      <c r="Y69" s="252" t="str">
        <f t="shared" ca="1" si="58"/>
        <v/>
      </c>
      <c r="Z69" s="252" t="str">
        <f t="shared" ca="1" si="59"/>
        <v/>
      </c>
      <c r="AB69" s="254" t="str">
        <f t="shared" ref="AB69:AM69" ca="1" si="80">IF(ISBLANK(OFFSET(AB$48,$Y$34,0)),"",OFFSET(AB$48,$Y$34,0))</f>
        <v/>
      </c>
      <c r="AC69" s="254" t="str">
        <f t="shared" ca="1" si="80"/>
        <v>Y</v>
      </c>
      <c r="AD69" s="254" t="str">
        <f t="shared" ca="1" si="80"/>
        <v/>
      </c>
      <c r="AE69" s="254" t="str">
        <f t="shared" ca="1" si="80"/>
        <v/>
      </c>
      <c r="AF69" s="254" t="str">
        <f t="shared" ca="1" si="80"/>
        <v>Y</v>
      </c>
      <c r="AG69" s="254" t="str">
        <f t="shared" ca="1" si="80"/>
        <v/>
      </c>
      <c r="AH69" s="254" t="str">
        <f t="shared" ca="1" si="80"/>
        <v/>
      </c>
      <c r="AI69" s="254" t="str">
        <f t="shared" ca="1" si="80"/>
        <v/>
      </c>
      <c r="AJ69" s="254" t="str">
        <f t="shared" ca="1" si="80"/>
        <v/>
      </c>
      <c r="AK69" s="254" t="str">
        <f t="shared" ca="1" si="80"/>
        <v>Y</v>
      </c>
      <c r="AL69" s="254" t="str">
        <f t="shared" ca="1" si="80"/>
        <v/>
      </c>
      <c r="AM69" s="254" t="str">
        <f t="shared" ca="1" si="80"/>
        <v/>
      </c>
      <c r="AN69" s="1"/>
    </row>
    <row r="70" spans="1:40">
      <c r="A70" s="25" t="s">
        <v>139</v>
      </c>
      <c r="B70" s="2" t="s">
        <v>119</v>
      </c>
      <c r="C70" s="5" t="s">
        <v>37</v>
      </c>
      <c r="D70" s="254" t="str">
        <f t="shared" ref="D70:M70" ca="1" si="81">IF(ISBLANK(OFFSET(D$48,$Z$34,0)),"",OFFSET(D$48,$Z$34,0))</f>
        <v>Y</v>
      </c>
      <c r="E70" s="254" t="str">
        <f t="shared" ca="1" si="81"/>
        <v/>
      </c>
      <c r="F70" s="254" t="str">
        <f t="shared" ca="1" si="81"/>
        <v>Y</v>
      </c>
      <c r="G70" s="254" t="str">
        <f t="shared" ca="1" si="81"/>
        <v/>
      </c>
      <c r="H70" s="254" t="str">
        <f t="shared" ca="1" si="81"/>
        <v/>
      </c>
      <c r="I70" s="254" t="str">
        <f t="shared" ca="1" si="81"/>
        <v/>
      </c>
      <c r="J70" s="254" t="str">
        <f t="shared" ca="1" si="81"/>
        <v/>
      </c>
      <c r="K70" s="254" t="str">
        <f t="shared" ca="1" si="81"/>
        <v/>
      </c>
      <c r="L70" s="254" t="str">
        <f t="shared" ca="1" si="81"/>
        <v/>
      </c>
      <c r="M70" s="254" t="str">
        <f t="shared" ca="1" si="81"/>
        <v/>
      </c>
      <c r="O70" s="252" t="str">
        <f t="shared" ca="1" si="48"/>
        <v/>
      </c>
      <c r="P70" s="252" t="str">
        <f t="shared" ca="1" si="49"/>
        <v/>
      </c>
      <c r="Q70" s="252" t="str">
        <f t="shared" ca="1" si="50"/>
        <v/>
      </c>
      <c r="R70" s="252" t="str">
        <f t="shared" ca="1" si="51"/>
        <v>Y</v>
      </c>
      <c r="S70" s="252" t="str">
        <f t="shared" ca="1" si="52"/>
        <v/>
      </c>
      <c r="T70" s="252" t="str">
        <f t="shared" ca="1" si="53"/>
        <v/>
      </c>
      <c r="U70" s="252" t="str">
        <f t="shared" ca="1" si="54"/>
        <v/>
      </c>
      <c r="V70" s="252" t="str">
        <f t="shared" ca="1" si="55"/>
        <v/>
      </c>
      <c r="W70" s="252" t="str">
        <f t="shared" ca="1" si="56"/>
        <v/>
      </c>
      <c r="X70" s="252" t="str">
        <f t="shared" ca="1" si="57"/>
        <v/>
      </c>
      <c r="Y70" s="252" t="str">
        <f t="shared" ca="1" si="58"/>
        <v/>
      </c>
      <c r="Z70" s="252" t="str">
        <f t="shared" ca="1" si="59"/>
        <v/>
      </c>
      <c r="AB70" s="254" t="str">
        <f t="shared" ref="AB70:AM70" ca="1" si="82">IF(ISBLANK(OFFSET(AB$48,$Z$34,0)),"",OFFSET(AB$48,$Z$34,0))</f>
        <v>Y</v>
      </c>
      <c r="AC70" s="254" t="str">
        <f t="shared" ca="1" si="82"/>
        <v/>
      </c>
      <c r="AD70" s="254" t="str">
        <f t="shared" ca="1" si="82"/>
        <v>Y</v>
      </c>
      <c r="AE70" s="254" t="str">
        <f t="shared" ca="1" si="82"/>
        <v/>
      </c>
      <c r="AF70" s="254" t="str">
        <f t="shared" ca="1" si="82"/>
        <v/>
      </c>
      <c r="AG70" s="254" t="str">
        <f t="shared" ca="1" si="82"/>
        <v/>
      </c>
      <c r="AH70" s="254" t="str">
        <f t="shared" ca="1" si="82"/>
        <v/>
      </c>
      <c r="AI70" s="254" t="str">
        <f t="shared" ca="1" si="82"/>
        <v/>
      </c>
      <c r="AJ70" s="254" t="str">
        <f t="shared" ca="1" si="82"/>
        <v/>
      </c>
      <c r="AK70" s="254" t="str">
        <f t="shared" ca="1" si="82"/>
        <v/>
      </c>
      <c r="AL70" s="254" t="str">
        <f t="shared" ca="1" si="82"/>
        <v>Y</v>
      </c>
      <c r="AM70" s="254" t="str">
        <f t="shared" ca="1" si="82"/>
        <v/>
      </c>
      <c r="AN70" s="1"/>
    </row>
    <row r="71" spans="1:40">
      <c r="A71" s="25"/>
      <c r="C71" s="15"/>
    </row>
    <row r="72" spans="1:40" ht="16.2" thickBot="1">
      <c r="A72" s="25"/>
      <c r="B72" s="56" t="s">
        <v>140</v>
      </c>
      <c r="C72" s="51"/>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1"/>
    </row>
    <row r="73" spans="1:40">
      <c r="A73" s="25"/>
      <c r="B73" s="3"/>
      <c r="C73" s="4"/>
      <c r="AN73" s="1"/>
    </row>
    <row r="74" spans="1:40">
      <c r="A74" s="25" t="s">
        <v>141</v>
      </c>
      <c r="B74" s="2" t="s">
        <v>142</v>
      </c>
      <c r="C74" s="5" t="s">
        <v>17</v>
      </c>
      <c r="D74" s="254" t="str">
        <f>IF((D$26=$E$26),"Y","")</f>
        <v/>
      </c>
      <c r="E74" s="254"/>
      <c r="F74" s="254" t="str">
        <f t="shared" ref="F74:M74" si="83">IF((F$26=$E$26),"Y","")</f>
        <v/>
      </c>
      <c r="G74" s="254" t="str">
        <f t="shared" si="83"/>
        <v/>
      </c>
      <c r="H74" s="254" t="str">
        <f t="shared" si="83"/>
        <v/>
      </c>
      <c r="I74" s="254" t="str">
        <f t="shared" si="83"/>
        <v/>
      </c>
      <c r="J74" s="254" t="str">
        <f t="shared" si="83"/>
        <v/>
      </c>
      <c r="K74" s="254" t="str">
        <f t="shared" si="83"/>
        <v/>
      </c>
      <c r="L74" s="254" t="str">
        <f t="shared" si="83"/>
        <v/>
      </c>
      <c r="M74" s="254" t="str">
        <f t="shared" si="83"/>
        <v/>
      </c>
      <c r="O74" s="252" t="str">
        <f t="shared" ref="O74:O82" ca="1" si="84">IF(ISBLANK(OFFSET(O74,0,-11+O$34))," ",OFFSET(O74,0,-11+O$34))</f>
        <v/>
      </c>
      <c r="P74" s="252" t="str">
        <f t="shared" ref="P74:P82" ca="1" si="85">IF(ISBLANK(OFFSET(P74,0,-12+P$34))," ",OFFSET(P74,0,-12+P$34))</f>
        <v/>
      </c>
      <c r="Q74" s="252" t="str">
        <f t="shared" ref="Q74:Q82" ca="1" si="86">IF(ISBLANK(OFFSET(Q74,0,-13+Q$34))," ",OFFSET(Q74,0,-13+Q$34))</f>
        <v/>
      </c>
      <c r="R74" s="252" t="str">
        <f t="shared" ref="R74:R82" ca="1" si="87">IF(ISBLANK(OFFSET(R74,0,-14+R$34))," ",OFFSET(R74,0,-14+R$34))</f>
        <v/>
      </c>
      <c r="S74" s="252" t="str">
        <f t="shared" ref="S74:S82" ca="1" si="88">IF(ISBLANK(OFFSET(S74,0,-15+S$34))," ",OFFSET(S74,0,-15+S$34))</f>
        <v xml:space="preserve"> </v>
      </c>
      <c r="T74" s="252" t="str">
        <f t="shared" ref="T74:T82" ca="1" si="89">IF(ISBLANK(OFFSET(T74,0,-16+T$34))," ",OFFSET(T74,0,-16+T$34))</f>
        <v/>
      </c>
      <c r="U74" s="252" t="str">
        <f t="shared" ref="U74:U82" ca="1" si="90">IF(ISBLANK(OFFSET(U74,0,-17+U$34))," ",OFFSET(U74,0,-17+U$34))</f>
        <v/>
      </c>
      <c r="V74" s="252" t="str">
        <f t="shared" ref="V74:V82" ca="1" si="91">IF(ISBLANK(OFFSET(V74,0,-18+V$34))," ",OFFSET(V74,0,-18+V$34))</f>
        <v/>
      </c>
      <c r="W74" s="252" t="str">
        <f t="shared" ref="W74:W82" ca="1" si="92">IF(ISBLANK(OFFSET(W74,0,-19+W$34))," ",OFFSET(W74,0,-19+W$34))</f>
        <v/>
      </c>
      <c r="X74" s="252" t="str">
        <f t="shared" ref="X74:X82" ca="1" si="93">IF(ISBLANK(OFFSET(X74,0,-20+X$34))," ",OFFSET(X74,0,-20+X$34))</f>
        <v/>
      </c>
      <c r="Y74" s="252" t="str">
        <f t="shared" ref="Y74:Y82" ca="1" si="94">IF(ISBLANK(OFFSET(Y74,0,-21+Y$34))," ",OFFSET(Y74,0,-21+Y$34))</f>
        <v/>
      </c>
      <c r="Z74" s="252" t="str">
        <f t="shared" ref="Z74:Z82" ca="1" si="95">IF(ISBLANK(OFFSET(Z74,0,-22+Z$34))," ",OFFSET(Z74,0,-22+Z$34))</f>
        <v/>
      </c>
      <c r="AB74" s="151"/>
      <c r="AC74" s="151"/>
      <c r="AD74" s="151"/>
      <c r="AE74" s="151"/>
      <c r="AF74" s="151"/>
      <c r="AG74" s="151"/>
      <c r="AH74" s="151"/>
      <c r="AI74" s="151"/>
      <c r="AJ74" s="151"/>
      <c r="AK74" s="151"/>
      <c r="AL74" s="151"/>
      <c r="AM74" s="151"/>
      <c r="AN74" s="1"/>
    </row>
    <row r="75" spans="1:40">
      <c r="A75" s="25" t="s">
        <v>143</v>
      </c>
      <c r="B75" s="2" t="s">
        <v>142</v>
      </c>
      <c r="C75" s="5" t="s">
        <v>144</v>
      </c>
      <c r="D75" s="254" t="str">
        <f>IF((D$26=$F$26),"Y","")</f>
        <v/>
      </c>
      <c r="E75" s="254" t="str">
        <f>IF((E$26=$F$26),"Y","")</f>
        <v/>
      </c>
      <c r="F75" s="254"/>
      <c r="G75" s="254" t="str">
        <f t="shared" ref="G75:M75" si="96">IF((G$26=$F$26),"Y","")</f>
        <v/>
      </c>
      <c r="H75" s="254" t="str">
        <f t="shared" si="96"/>
        <v/>
      </c>
      <c r="I75" s="254" t="str">
        <f t="shared" si="96"/>
        <v/>
      </c>
      <c r="J75" s="254" t="str">
        <f t="shared" si="96"/>
        <v/>
      </c>
      <c r="K75" s="254" t="str">
        <f t="shared" si="96"/>
        <v/>
      </c>
      <c r="L75" s="254" t="str">
        <f t="shared" si="96"/>
        <v/>
      </c>
      <c r="M75" s="254" t="str">
        <f t="shared" si="96"/>
        <v/>
      </c>
      <c r="O75" s="252" t="str">
        <f t="shared" ca="1" si="84"/>
        <v/>
      </c>
      <c r="P75" s="252" t="str">
        <f t="shared" ca="1" si="85"/>
        <v/>
      </c>
      <c r="Q75" s="252" t="str">
        <f t="shared" ca="1" si="86"/>
        <v/>
      </c>
      <c r="R75" s="252" t="str">
        <f t="shared" ca="1" si="87"/>
        <v xml:space="preserve"> </v>
      </c>
      <c r="S75" s="252" t="str">
        <f t="shared" ca="1" si="88"/>
        <v/>
      </c>
      <c r="T75" s="252" t="str">
        <f t="shared" ca="1" si="89"/>
        <v/>
      </c>
      <c r="U75" s="252" t="str">
        <f t="shared" ca="1" si="90"/>
        <v/>
      </c>
      <c r="V75" s="252" t="str">
        <f t="shared" ca="1" si="91"/>
        <v/>
      </c>
      <c r="W75" s="252" t="str">
        <f t="shared" ca="1" si="92"/>
        <v/>
      </c>
      <c r="X75" s="252" t="str">
        <f t="shared" ca="1" si="93"/>
        <v/>
      </c>
      <c r="Y75" s="252" t="str">
        <f t="shared" ca="1" si="94"/>
        <v/>
      </c>
      <c r="Z75" s="252" t="str">
        <f t="shared" ca="1" si="95"/>
        <v/>
      </c>
      <c r="AB75" s="151"/>
      <c r="AC75" s="151"/>
      <c r="AD75" s="151"/>
      <c r="AE75" s="151"/>
      <c r="AF75" s="151"/>
      <c r="AG75" s="151"/>
      <c r="AH75" s="151"/>
      <c r="AI75" s="151"/>
      <c r="AJ75" s="151"/>
      <c r="AK75" s="151"/>
      <c r="AL75" s="151"/>
      <c r="AM75" s="151"/>
      <c r="AN75" s="1"/>
    </row>
    <row r="76" spans="1:40">
      <c r="A76" s="25" t="s">
        <v>145</v>
      </c>
      <c r="B76" s="2" t="s">
        <v>142</v>
      </c>
      <c r="C76" s="5" t="s">
        <v>19</v>
      </c>
      <c r="D76" s="254" t="str">
        <f>IF((D$26=$G$26),"Y","")</f>
        <v/>
      </c>
      <c r="E76" s="254" t="str">
        <f>IF((E$26=$G$26),"Y","")</f>
        <v/>
      </c>
      <c r="F76" s="254" t="str">
        <f>IF((F$26=$G$26),"Y","")</f>
        <v/>
      </c>
      <c r="G76" s="254"/>
      <c r="H76" s="254" t="str">
        <f t="shared" ref="H76:M76" si="97">IF((H$26=$G$26),"Y","")</f>
        <v/>
      </c>
      <c r="I76" s="254" t="str">
        <f t="shared" si="97"/>
        <v/>
      </c>
      <c r="J76" s="254" t="str">
        <f t="shared" si="97"/>
        <v/>
      </c>
      <c r="K76" s="254" t="str">
        <f t="shared" si="97"/>
        <v/>
      </c>
      <c r="L76" s="254" t="str">
        <f t="shared" si="97"/>
        <v/>
      </c>
      <c r="M76" s="254" t="str">
        <f t="shared" si="97"/>
        <v/>
      </c>
      <c r="O76" s="252" t="str">
        <f t="shared" ca="1" si="84"/>
        <v/>
      </c>
      <c r="P76" s="252" t="str">
        <f t="shared" ca="1" si="85"/>
        <v/>
      </c>
      <c r="Q76" s="252" t="str">
        <f t="shared" ca="1" si="86"/>
        <v xml:space="preserve"> </v>
      </c>
      <c r="R76" s="252" t="str">
        <f t="shared" ca="1" si="87"/>
        <v/>
      </c>
      <c r="S76" s="252" t="str">
        <f t="shared" ca="1" si="88"/>
        <v/>
      </c>
      <c r="T76" s="252" t="str">
        <f t="shared" ca="1" si="89"/>
        <v xml:space="preserve"> </v>
      </c>
      <c r="U76" s="252" t="str">
        <f t="shared" ca="1" si="90"/>
        <v/>
      </c>
      <c r="V76" s="252" t="str">
        <f t="shared" ca="1" si="91"/>
        <v/>
      </c>
      <c r="W76" s="252" t="str">
        <f t="shared" ca="1" si="92"/>
        <v/>
      </c>
      <c r="X76" s="252" t="str">
        <f t="shared" ca="1" si="93"/>
        <v/>
      </c>
      <c r="Y76" s="252" t="str">
        <f t="shared" ca="1" si="94"/>
        <v/>
      </c>
      <c r="Z76" s="252" t="str">
        <f t="shared" ca="1" si="95"/>
        <v/>
      </c>
      <c r="AB76" s="151"/>
      <c r="AC76" s="151"/>
      <c r="AD76" s="151"/>
      <c r="AE76" s="151"/>
      <c r="AF76" s="151"/>
      <c r="AG76" s="151"/>
      <c r="AH76" s="151"/>
      <c r="AI76" s="151"/>
      <c r="AJ76" s="151"/>
      <c r="AK76" s="151"/>
      <c r="AL76" s="151"/>
      <c r="AM76" s="151"/>
      <c r="AN76" s="1"/>
    </row>
    <row r="77" spans="1:40">
      <c r="A77" s="25" t="s">
        <v>146</v>
      </c>
      <c r="B77" s="2" t="s">
        <v>142</v>
      </c>
      <c r="C77" s="5" t="s">
        <v>20</v>
      </c>
      <c r="D77" s="254" t="str">
        <f>IF((D$26=$H$26),"Y","")</f>
        <v/>
      </c>
      <c r="E77" s="254" t="str">
        <f>IF((E$26=$H$26),"Y","")</f>
        <v/>
      </c>
      <c r="F77" s="254" t="str">
        <f>IF((F$26=$H$26),"Y","")</f>
        <v/>
      </c>
      <c r="G77" s="254" t="str">
        <f>IF((G$26=$H$26),"Y","")</f>
        <v/>
      </c>
      <c r="H77" s="254"/>
      <c r="I77" s="254" t="str">
        <f>IF((I$26=$H$26),"Y","")</f>
        <v/>
      </c>
      <c r="J77" s="254" t="str">
        <f>IF((J$26=$H$26),"Y","")</f>
        <v/>
      </c>
      <c r="K77" s="254" t="str">
        <f>IF((K$26=$H$26),"Y","")</f>
        <v/>
      </c>
      <c r="L77" s="254" t="str">
        <f>IF((L$26=$H$26),"Y","")</f>
        <v/>
      </c>
      <c r="M77" s="254" t="str">
        <f>IF((M$26=$H$26),"Y","")</f>
        <v/>
      </c>
      <c r="O77" s="252" t="str">
        <f t="shared" ca="1" si="84"/>
        <v/>
      </c>
      <c r="P77" s="252" t="str">
        <f t="shared" ca="1" si="85"/>
        <v xml:space="preserve"> </v>
      </c>
      <c r="Q77" s="252" t="str">
        <f t="shared" ca="1" si="86"/>
        <v/>
      </c>
      <c r="R77" s="252" t="str">
        <f t="shared" ca="1" si="87"/>
        <v/>
      </c>
      <c r="S77" s="252" t="str">
        <f t="shared" ca="1" si="88"/>
        <v/>
      </c>
      <c r="T77" s="252" t="str">
        <f t="shared" ca="1" si="89"/>
        <v/>
      </c>
      <c r="U77" s="252" t="str">
        <f t="shared" ca="1" si="90"/>
        <v xml:space="preserve"> </v>
      </c>
      <c r="V77" s="252" t="str">
        <f t="shared" ca="1" si="91"/>
        <v/>
      </c>
      <c r="W77" s="252" t="str">
        <f t="shared" ca="1" si="92"/>
        <v/>
      </c>
      <c r="X77" s="252" t="str">
        <f t="shared" ca="1" si="93"/>
        <v/>
      </c>
      <c r="Y77" s="252" t="str">
        <f t="shared" ca="1" si="94"/>
        <v/>
      </c>
      <c r="Z77" s="252" t="str">
        <f t="shared" ca="1" si="95"/>
        <v/>
      </c>
      <c r="AB77" s="151"/>
      <c r="AC77" s="151"/>
      <c r="AD77" s="151"/>
      <c r="AE77" s="151"/>
      <c r="AF77" s="151"/>
      <c r="AG77" s="151"/>
      <c r="AH77" s="151"/>
      <c r="AI77" s="151"/>
      <c r="AJ77" s="151"/>
      <c r="AK77" s="151"/>
      <c r="AL77" s="151"/>
      <c r="AM77" s="151"/>
      <c r="AN77" s="1"/>
    </row>
    <row r="78" spans="1:40">
      <c r="A78" s="25" t="s">
        <v>147</v>
      </c>
      <c r="B78" s="2" t="s">
        <v>142</v>
      </c>
      <c r="C78" s="5" t="s">
        <v>21</v>
      </c>
      <c r="D78" s="254" t="str">
        <f>IF((D$26=$I$26),"Y","")</f>
        <v/>
      </c>
      <c r="E78" s="254" t="str">
        <f>IF((E$26=$I$26),"Y","")</f>
        <v/>
      </c>
      <c r="F78" s="254" t="str">
        <f>IF((F$26=$I$26),"Y","")</f>
        <v/>
      </c>
      <c r="G78" s="254" t="str">
        <f>IF((G$26=$I$26),"Y","")</f>
        <v/>
      </c>
      <c r="H78" s="254" t="str">
        <f>IF((H$26=$I$26),"Y","")</f>
        <v/>
      </c>
      <c r="I78" s="254"/>
      <c r="J78" s="254" t="str">
        <f>IF((J$26=$I$26),"Y","")</f>
        <v/>
      </c>
      <c r="K78" s="254" t="str">
        <f>IF((K$26=$I$26),"Y","")</f>
        <v/>
      </c>
      <c r="L78" s="254" t="str">
        <f>IF((L$26=$I$26),"Y","")</f>
        <v/>
      </c>
      <c r="M78" s="254" t="str">
        <f>IF((M$26=$I$26),"Y","")</f>
        <v/>
      </c>
      <c r="O78" s="252" t="str">
        <f t="shared" ca="1" si="84"/>
        <v xml:space="preserve"> </v>
      </c>
      <c r="P78" s="252" t="str">
        <f t="shared" ca="1" si="85"/>
        <v/>
      </c>
      <c r="Q78" s="252" t="str">
        <f t="shared" ca="1" si="86"/>
        <v/>
      </c>
      <c r="R78" s="252" t="str">
        <f t="shared" ca="1" si="87"/>
        <v/>
      </c>
      <c r="S78" s="252" t="str">
        <f t="shared" ca="1" si="88"/>
        <v/>
      </c>
      <c r="T78" s="252" t="str">
        <f t="shared" ca="1" si="89"/>
        <v/>
      </c>
      <c r="U78" s="252" t="str">
        <f t="shared" ca="1" si="90"/>
        <v/>
      </c>
      <c r="V78" s="252" t="str">
        <f t="shared" ca="1" si="91"/>
        <v xml:space="preserve"> </v>
      </c>
      <c r="W78" s="252" t="str">
        <f t="shared" ca="1" si="92"/>
        <v/>
      </c>
      <c r="X78" s="252" t="str">
        <f t="shared" ca="1" si="93"/>
        <v/>
      </c>
      <c r="Y78" s="252" t="str">
        <f t="shared" ca="1" si="94"/>
        <v/>
      </c>
      <c r="Z78" s="252" t="str">
        <f t="shared" ca="1" si="95"/>
        <v/>
      </c>
      <c r="AB78" s="151"/>
      <c r="AC78" s="151"/>
      <c r="AD78" s="151"/>
      <c r="AE78" s="151"/>
      <c r="AF78" s="151"/>
      <c r="AG78" s="151"/>
      <c r="AH78" s="151"/>
      <c r="AI78" s="151"/>
      <c r="AJ78" s="151"/>
      <c r="AK78" s="151"/>
      <c r="AL78" s="151"/>
      <c r="AM78" s="151"/>
      <c r="AN78" s="1"/>
    </row>
    <row r="79" spans="1:40">
      <c r="A79" s="25" t="s">
        <v>148</v>
      </c>
      <c r="B79" s="2" t="s">
        <v>142</v>
      </c>
      <c r="C79" s="5" t="s">
        <v>22</v>
      </c>
      <c r="D79" s="254" t="str">
        <f t="shared" ref="D79:I79" si="98">IF((D$26=$J$26),"Y","")</f>
        <v/>
      </c>
      <c r="E79" s="254" t="str">
        <f t="shared" si="98"/>
        <v/>
      </c>
      <c r="F79" s="254" t="str">
        <f t="shared" si="98"/>
        <v/>
      </c>
      <c r="G79" s="254" t="str">
        <f t="shared" si="98"/>
        <v/>
      </c>
      <c r="H79" s="254" t="str">
        <f t="shared" si="98"/>
        <v/>
      </c>
      <c r="I79" s="254" t="str">
        <f t="shared" si="98"/>
        <v/>
      </c>
      <c r="J79" s="254"/>
      <c r="K79" s="254" t="str">
        <f>IF((K$26=$J$26),"Y","")</f>
        <v/>
      </c>
      <c r="L79" s="254" t="str">
        <f>IF((L$26=$J$26),"Y","")</f>
        <v/>
      </c>
      <c r="M79" s="254" t="str">
        <f>IF((M$26=$J$26),"Y","")</f>
        <v/>
      </c>
      <c r="O79" s="252" t="str">
        <f t="shared" ca="1" si="84"/>
        <v/>
      </c>
      <c r="P79" s="252" t="str">
        <f t="shared" ca="1" si="85"/>
        <v/>
      </c>
      <c r="Q79" s="252" t="str">
        <f t="shared" ca="1" si="86"/>
        <v/>
      </c>
      <c r="R79" s="252" t="str">
        <f t="shared" ca="1" si="87"/>
        <v/>
      </c>
      <c r="S79" s="252" t="str">
        <f t="shared" ca="1" si="88"/>
        <v/>
      </c>
      <c r="T79" s="252" t="str">
        <f t="shared" ca="1" si="89"/>
        <v/>
      </c>
      <c r="U79" s="252" t="str">
        <f t="shared" ca="1" si="90"/>
        <v/>
      </c>
      <c r="V79" s="252" t="str">
        <f t="shared" ca="1" si="91"/>
        <v/>
      </c>
      <c r="W79" s="252" t="str">
        <f t="shared" ca="1" si="92"/>
        <v xml:space="preserve"> </v>
      </c>
      <c r="X79" s="252" t="str">
        <f t="shared" ca="1" si="93"/>
        <v/>
      </c>
      <c r="Y79" s="252" t="str">
        <f t="shared" ca="1" si="94"/>
        <v/>
      </c>
      <c r="Z79" s="252" t="str">
        <f t="shared" ca="1" si="95"/>
        <v xml:space="preserve"> </v>
      </c>
      <c r="AB79" s="151"/>
      <c r="AC79" s="151"/>
      <c r="AD79" s="151"/>
      <c r="AE79" s="151"/>
      <c r="AF79" s="151"/>
      <c r="AG79" s="151"/>
      <c r="AH79" s="151"/>
      <c r="AI79" s="151"/>
      <c r="AJ79" s="151"/>
      <c r="AK79" s="151"/>
      <c r="AL79" s="151"/>
      <c r="AM79" s="151"/>
      <c r="AN79" s="1"/>
    </row>
    <row r="80" spans="1:40">
      <c r="A80" s="25" t="s">
        <v>149</v>
      </c>
      <c r="B80" s="2" t="s">
        <v>142</v>
      </c>
      <c r="C80" s="5" t="s">
        <v>23</v>
      </c>
      <c r="D80" s="254" t="str">
        <f t="shared" ref="D80:J80" si="99">IF((D$26=$K$26),"Y","")</f>
        <v/>
      </c>
      <c r="E80" s="254" t="str">
        <f t="shared" si="99"/>
        <v/>
      </c>
      <c r="F80" s="254" t="str">
        <f t="shared" si="99"/>
        <v/>
      </c>
      <c r="G80" s="254" t="str">
        <f t="shared" si="99"/>
        <v/>
      </c>
      <c r="H80" s="254" t="str">
        <f t="shared" si="99"/>
        <v/>
      </c>
      <c r="I80" s="254" t="str">
        <f t="shared" si="99"/>
        <v/>
      </c>
      <c r="J80" s="254" t="str">
        <f t="shared" si="99"/>
        <v/>
      </c>
      <c r="K80" s="254"/>
      <c r="L80" s="254" t="str">
        <f>IF((L$26=$K$26),"Y","")</f>
        <v/>
      </c>
      <c r="M80" s="254" t="str">
        <f>IF((M$26=$K$26),"Y","")</f>
        <v/>
      </c>
      <c r="O80" s="252" t="str">
        <f t="shared" ca="1" si="84"/>
        <v/>
      </c>
      <c r="P80" s="252" t="str">
        <f t="shared" ca="1" si="85"/>
        <v/>
      </c>
      <c r="Q80" s="252" t="str">
        <f t="shared" ca="1" si="86"/>
        <v/>
      </c>
      <c r="R80" s="252" t="str">
        <f t="shared" ca="1" si="87"/>
        <v/>
      </c>
      <c r="S80" s="252" t="str">
        <f t="shared" ca="1" si="88"/>
        <v/>
      </c>
      <c r="T80" s="252" t="str">
        <f t="shared" ca="1" si="89"/>
        <v/>
      </c>
      <c r="U80" s="252" t="str">
        <f t="shared" ca="1" si="90"/>
        <v/>
      </c>
      <c r="V80" s="252" t="str">
        <f t="shared" ca="1" si="91"/>
        <v/>
      </c>
      <c r="W80" s="252" t="str">
        <f t="shared" ca="1" si="92"/>
        <v/>
      </c>
      <c r="X80" s="252" t="str">
        <f t="shared" ca="1" si="93"/>
        <v xml:space="preserve"> </v>
      </c>
      <c r="Y80" s="252" t="str">
        <f t="shared" ca="1" si="94"/>
        <v xml:space="preserve"> </v>
      </c>
      <c r="Z80" s="252" t="str">
        <f t="shared" ca="1" si="95"/>
        <v/>
      </c>
      <c r="AB80" s="151"/>
      <c r="AC80" s="151"/>
      <c r="AD80" s="151"/>
      <c r="AE80" s="151"/>
      <c r="AF80" s="151"/>
      <c r="AG80" s="151"/>
      <c r="AH80" s="151"/>
      <c r="AI80" s="151"/>
      <c r="AJ80" s="151"/>
      <c r="AK80" s="151"/>
      <c r="AL80" s="151"/>
      <c r="AM80" s="151"/>
      <c r="AN80" s="1"/>
    </row>
    <row r="81" spans="1:40">
      <c r="A81" s="25" t="s">
        <v>150</v>
      </c>
      <c r="B81" s="2" t="s">
        <v>142</v>
      </c>
      <c r="C81" s="5" t="s">
        <v>24</v>
      </c>
      <c r="D81" s="254" t="str">
        <f t="shared" ref="D81:K81" si="100">IF((D$26=$L$26),"Y","")</f>
        <v/>
      </c>
      <c r="E81" s="254" t="str">
        <f t="shared" si="100"/>
        <v/>
      </c>
      <c r="F81" s="254" t="str">
        <f t="shared" si="100"/>
        <v/>
      </c>
      <c r="G81" s="254" t="str">
        <f t="shared" si="100"/>
        <v/>
      </c>
      <c r="H81" s="254" t="str">
        <f t="shared" si="100"/>
        <v/>
      </c>
      <c r="I81" s="254" t="str">
        <f t="shared" si="100"/>
        <v/>
      </c>
      <c r="J81" s="254" t="str">
        <f t="shared" si="100"/>
        <v/>
      </c>
      <c r="K81" s="254" t="str">
        <f t="shared" si="100"/>
        <v/>
      </c>
      <c r="L81" s="254"/>
      <c r="M81" s="254" t="str">
        <f>IF((M$26=$L$26),"Y","")</f>
        <v/>
      </c>
      <c r="O81" s="252" t="str">
        <f t="shared" ca="1" si="84"/>
        <v/>
      </c>
      <c r="P81" s="252" t="str">
        <f t="shared" ca="1" si="85"/>
        <v/>
      </c>
      <c r="Q81" s="252" t="str">
        <f t="shared" ca="1" si="86"/>
        <v/>
      </c>
      <c r="R81" s="252" t="str">
        <f t="shared" ca="1" si="87"/>
        <v/>
      </c>
      <c r="S81" s="252" t="str">
        <f t="shared" ca="1" si="88"/>
        <v/>
      </c>
      <c r="T81" s="252" t="str">
        <f t="shared" ca="1" si="89"/>
        <v/>
      </c>
      <c r="U81" s="252" t="str">
        <f t="shared" ca="1" si="90"/>
        <v/>
      </c>
      <c r="V81" s="252" t="str">
        <f t="shared" ca="1" si="91"/>
        <v/>
      </c>
      <c r="W81" s="252" t="str">
        <f t="shared" ca="1" si="92"/>
        <v/>
      </c>
      <c r="X81" s="252" t="str">
        <f t="shared" ca="1" si="93"/>
        <v/>
      </c>
      <c r="Y81" s="252" t="str">
        <f t="shared" ca="1" si="94"/>
        <v/>
      </c>
      <c r="Z81" s="252" t="str">
        <f t="shared" ca="1" si="95"/>
        <v/>
      </c>
      <c r="AB81" s="151"/>
      <c r="AC81" s="151"/>
      <c r="AD81" s="151"/>
      <c r="AE81" s="151"/>
      <c r="AF81" s="151"/>
      <c r="AG81" s="151"/>
      <c r="AH81" s="151"/>
      <c r="AI81" s="151"/>
      <c r="AJ81" s="151"/>
      <c r="AK81" s="151"/>
      <c r="AL81" s="151"/>
      <c r="AM81" s="151"/>
      <c r="AN81" s="1"/>
    </row>
    <row r="82" spans="1:40">
      <c r="A82" s="25" t="s">
        <v>151</v>
      </c>
      <c r="B82" s="2" t="s">
        <v>142</v>
      </c>
      <c r="C82" s="5" t="s">
        <v>25</v>
      </c>
      <c r="D82" s="254" t="str">
        <f t="shared" ref="D82:L82" si="101">IF((D$26=$M$26),"Y","")</f>
        <v/>
      </c>
      <c r="E82" s="254" t="str">
        <f t="shared" si="101"/>
        <v/>
      </c>
      <c r="F82" s="254" t="str">
        <f t="shared" si="101"/>
        <v/>
      </c>
      <c r="G82" s="254" t="str">
        <f t="shared" si="101"/>
        <v/>
      </c>
      <c r="H82" s="254" t="str">
        <f t="shared" si="101"/>
        <v/>
      </c>
      <c r="I82" s="254" t="str">
        <f t="shared" si="101"/>
        <v/>
      </c>
      <c r="J82" s="254" t="str">
        <f t="shared" si="101"/>
        <v/>
      </c>
      <c r="K82" s="254" t="str">
        <f t="shared" si="101"/>
        <v/>
      </c>
      <c r="L82" s="254" t="str">
        <f t="shared" si="101"/>
        <v/>
      </c>
      <c r="M82" s="254"/>
      <c r="O82" s="252" t="str">
        <f t="shared" ca="1" si="84"/>
        <v/>
      </c>
      <c r="P82" s="252" t="str">
        <f t="shared" ca="1" si="85"/>
        <v/>
      </c>
      <c r="Q82" s="252" t="str">
        <f t="shared" ca="1" si="86"/>
        <v/>
      </c>
      <c r="R82" s="252" t="str">
        <f t="shared" ca="1" si="87"/>
        <v/>
      </c>
      <c r="S82" s="252" t="str">
        <f t="shared" ca="1" si="88"/>
        <v/>
      </c>
      <c r="T82" s="252" t="str">
        <f t="shared" ca="1" si="89"/>
        <v/>
      </c>
      <c r="U82" s="252" t="str">
        <f t="shared" ca="1" si="90"/>
        <v/>
      </c>
      <c r="V82" s="252" t="str">
        <f t="shared" ca="1" si="91"/>
        <v/>
      </c>
      <c r="W82" s="252" t="str">
        <f t="shared" ca="1" si="92"/>
        <v/>
      </c>
      <c r="X82" s="252" t="str">
        <f t="shared" ca="1" si="93"/>
        <v/>
      </c>
      <c r="Y82" s="252" t="str">
        <f t="shared" ca="1" si="94"/>
        <v/>
      </c>
      <c r="Z82" s="252" t="str">
        <f t="shared" ca="1" si="95"/>
        <v/>
      </c>
      <c r="AB82" s="151"/>
      <c r="AC82" s="151"/>
      <c r="AD82" s="151"/>
      <c r="AE82" s="151"/>
      <c r="AF82" s="151"/>
      <c r="AG82" s="151"/>
      <c r="AH82" s="151"/>
      <c r="AI82" s="151"/>
      <c r="AJ82" s="151"/>
      <c r="AK82" s="151"/>
      <c r="AL82" s="151"/>
      <c r="AM82" s="151"/>
      <c r="AN82" s="1"/>
    </row>
    <row r="83" spans="1:40">
      <c r="A83" s="25"/>
      <c r="B83" s="3"/>
      <c r="C83" s="6"/>
      <c r="O83" s="57"/>
      <c r="P83" s="57"/>
      <c r="Q83" s="57"/>
      <c r="R83" s="57"/>
      <c r="S83" s="57"/>
      <c r="T83" s="57"/>
      <c r="U83" s="57"/>
      <c r="V83" s="57"/>
      <c r="W83" s="57"/>
      <c r="X83" s="57"/>
      <c r="Y83" s="57"/>
      <c r="Z83" s="57"/>
      <c r="AB83" s="151"/>
      <c r="AC83" s="151"/>
      <c r="AD83" s="151"/>
      <c r="AE83" s="151"/>
      <c r="AF83" s="151"/>
      <c r="AG83" s="151"/>
      <c r="AH83" s="151"/>
      <c r="AI83" s="151"/>
      <c r="AJ83" s="151"/>
      <c r="AK83" s="151"/>
      <c r="AL83" s="151"/>
      <c r="AM83" s="151"/>
      <c r="AN83" s="1"/>
    </row>
    <row r="84" spans="1:40">
      <c r="A84" s="25" t="s">
        <v>152</v>
      </c>
      <c r="B84" s="2" t="s">
        <v>142</v>
      </c>
      <c r="C84" s="5" t="s">
        <v>26</v>
      </c>
      <c r="D84" s="254" t="str">
        <f ca="1">IF((D$26=$O$26),"Y","")</f>
        <v/>
      </c>
      <c r="E84" s="254" t="str">
        <f ca="1">IF((AND((E$26=$O$26),($O$34&lt;&gt;1))),"Y","")</f>
        <v/>
      </c>
      <c r="F84" s="254" t="str">
        <f ca="1">IF((AND((F$26=$O$26),($O$34&lt;&gt;2))),"Y","")</f>
        <v/>
      </c>
      <c r="G84" s="254" t="str">
        <f ca="1">IF((AND((G$26=$O$26),($O$34&lt;&gt;3))),"Y","")</f>
        <v/>
      </c>
      <c r="H84" s="254" t="str">
        <f ca="1">IF((AND((H$26=$O$26),($O$34&lt;&gt;4))),"Y","")</f>
        <v/>
      </c>
      <c r="I84" s="254" t="str">
        <f ca="1">IF((AND((I$26=$O$26),($O$34&lt;&gt;5))),"Y","")</f>
        <v/>
      </c>
      <c r="J84" s="254" t="str">
        <f ca="1">IF((AND((J$26=$O$26),($O$34&lt;&gt;6))),"Y","")</f>
        <v/>
      </c>
      <c r="K84" s="254" t="str">
        <f ca="1">IF((AND((K$26=$O$26),($O$34&lt;&gt;7))),"Y","")</f>
        <v/>
      </c>
      <c r="L84" s="254" t="str">
        <f ca="1">IF((AND((L$26=$O$26),($O$34&lt;&gt;8))),"Y","")</f>
        <v/>
      </c>
      <c r="M84" s="254" t="str">
        <f ca="1">IF((AND((M$26=$O$26),($O$34&lt;&gt;9))),"Y","")</f>
        <v/>
      </c>
      <c r="O84" s="252" t="str">
        <f t="shared" ref="O84:O95" ca="1" si="102">IF(ISBLANK(OFFSET(O84,0,-11+O$34))," ",OFFSET(O84,0,-11+O$34))</f>
        <v/>
      </c>
      <c r="P84" s="252" t="str">
        <f t="shared" ref="P84:P95" ca="1" si="103">IF(ISBLANK(OFFSET(P84,0,-12+P$34))," ",OFFSET(P84,0,-12+P$34))</f>
        <v/>
      </c>
      <c r="Q84" s="252" t="str">
        <f t="shared" ref="Q84:Q95" ca="1" si="104">IF(ISBLANK(OFFSET(Q84,0,-13+Q$34))," ",OFFSET(Q84,0,-13+Q$34))</f>
        <v/>
      </c>
      <c r="R84" s="252" t="str">
        <f t="shared" ref="R84:R95" ca="1" si="105">IF(ISBLANK(OFFSET(R84,0,-14+R$34))," ",OFFSET(R84,0,-14+R$34))</f>
        <v/>
      </c>
      <c r="S84" s="252" t="str">
        <f t="shared" ref="S84:S95" ca="1" si="106">IF(ISBLANK(OFFSET(S84,0,-15+S$34))," ",OFFSET(S84,0,-15+S$34))</f>
        <v/>
      </c>
      <c r="T84" s="252" t="str">
        <f t="shared" ref="T84:T95" ca="1" si="107">IF(ISBLANK(OFFSET(T84,0,-16+T$34))," ",OFFSET(T84,0,-16+T$34))</f>
        <v/>
      </c>
      <c r="U84" s="252" t="str">
        <f t="shared" ref="U84:U95" ca="1" si="108">IF(ISBLANK(OFFSET(U84,0,-17+U$34))," ",OFFSET(U84,0,-17+U$34))</f>
        <v/>
      </c>
      <c r="V84" s="252" t="str">
        <f t="shared" ref="V84:V95" ca="1" si="109">IF(ISBLANK(OFFSET(V84,0,-18+V$34))," ",OFFSET(V84,0,-18+V$34))</f>
        <v/>
      </c>
      <c r="W84" s="252" t="str">
        <f t="shared" ref="W84:W95" ca="1" si="110">IF(ISBLANK(OFFSET(W84,0,-19+W$34))," ",OFFSET(W84,0,-19+W$34))</f>
        <v/>
      </c>
      <c r="X84" s="252" t="str">
        <f t="shared" ref="X84:X95" ca="1" si="111">IF(ISBLANK(OFFSET(X84,0,-20+X$34))," ",OFFSET(X84,0,-20+X$34))</f>
        <v/>
      </c>
      <c r="Y84" s="252" t="str">
        <f t="shared" ref="Y84:Y95" ca="1" si="112">IF(ISBLANK(OFFSET(Y84,0,-21+Y$34))," ",OFFSET(Y84,0,-21+Y$34))</f>
        <v/>
      </c>
      <c r="Z84" s="252" t="str">
        <f t="shared" ref="Z84:Z95" ca="1" si="113">IF(ISBLANK(OFFSET(Z84,0,-22+Z$34))," ",OFFSET(Z84,0,-22+Z$34))</f>
        <v/>
      </c>
      <c r="AB84" s="151"/>
      <c r="AC84" s="151"/>
      <c r="AD84" s="151"/>
      <c r="AE84" s="151"/>
      <c r="AF84" s="151"/>
      <c r="AG84" s="151"/>
      <c r="AH84" s="151"/>
      <c r="AI84" s="151"/>
      <c r="AJ84" s="151"/>
      <c r="AK84" s="151"/>
      <c r="AL84" s="151"/>
      <c r="AM84" s="151"/>
      <c r="AN84" s="1"/>
    </row>
    <row r="85" spans="1:40">
      <c r="A85" s="25" t="s">
        <v>153</v>
      </c>
      <c r="B85" s="2" t="s">
        <v>142</v>
      </c>
      <c r="C85" s="5" t="s">
        <v>27</v>
      </c>
      <c r="D85" s="254" t="str">
        <f ca="1">IF((D$26=$P$26),"Y","")</f>
        <v/>
      </c>
      <c r="E85" s="254" t="str">
        <f ca="1">IF((AND((E$26=$P$26),($P$34&lt;&gt;1))),"Y","")</f>
        <v/>
      </c>
      <c r="F85" s="254" t="str">
        <f ca="1">IF((AND((F$26=$P$26),($P$34&lt;&gt;2))),"Y","")</f>
        <v/>
      </c>
      <c r="G85" s="254" t="str">
        <f ca="1">IF((AND((G$26=$P$26),($P$34&lt;&gt;3))),"Y","")</f>
        <v/>
      </c>
      <c r="H85" s="254" t="str">
        <f ca="1">IF((AND((H$26=$P$26),($P$34&lt;&gt;4))),"Y","")</f>
        <v/>
      </c>
      <c r="I85" s="254" t="str">
        <f ca="1">IF((AND((I$26=$P$26),($P$34&lt;&gt;5))),"Y","")</f>
        <v/>
      </c>
      <c r="J85" s="254" t="str">
        <f ca="1">IF((AND((J$26=$P$26),($P$34&lt;&gt;6))),"Y","")</f>
        <v/>
      </c>
      <c r="K85" s="254" t="str">
        <f ca="1">IF((AND((K$26=$P$26),($P$34&lt;&gt;7))),"Y","")</f>
        <v/>
      </c>
      <c r="L85" s="254" t="str">
        <f ca="1">IF((AND((L$26=$P$26),($P$34&lt;&gt;8))),"Y","")</f>
        <v/>
      </c>
      <c r="M85" s="254" t="str">
        <f ca="1">IF((AND((M$26=$P$26),($P$34&lt;&gt;9))),"Y","")</f>
        <v/>
      </c>
      <c r="O85" s="252" t="str">
        <f t="shared" ca="1" si="102"/>
        <v/>
      </c>
      <c r="P85" s="252" t="str">
        <f t="shared" ca="1" si="103"/>
        <v/>
      </c>
      <c r="Q85" s="252" t="str">
        <f t="shared" ca="1" si="104"/>
        <v/>
      </c>
      <c r="R85" s="252" t="str">
        <f t="shared" ca="1" si="105"/>
        <v/>
      </c>
      <c r="S85" s="252" t="str">
        <f t="shared" ca="1" si="106"/>
        <v/>
      </c>
      <c r="T85" s="252" t="str">
        <f t="shared" ca="1" si="107"/>
        <v/>
      </c>
      <c r="U85" s="252" t="str">
        <f t="shared" ca="1" si="108"/>
        <v/>
      </c>
      <c r="V85" s="252" t="str">
        <f t="shared" ca="1" si="109"/>
        <v/>
      </c>
      <c r="W85" s="252" t="str">
        <f t="shared" ca="1" si="110"/>
        <v/>
      </c>
      <c r="X85" s="252" t="str">
        <f t="shared" ca="1" si="111"/>
        <v/>
      </c>
      <c r="Y85" s="252" t="str">
        <f t="shared" ca="1" si="112"/>
        <v/>
      </c>
      <c r="Z85" s="252" t="str">
        <f t="shared" ca="1" si="113"/>
        <v/>
      </c>
      <c r="AB85" s="151"/>
      <c r="AC85" s="151"/>
      <c r="AD85" s="151"/>
      <c r="AE85" s="151"/>
      <c r="AF85" s="151"/>
      <c r="AG85" s="151"/>
      <c r="AH85" s="151"/>
      <c r="AI85" s="151"/>
      <c r="AJ85" s="151"/>
      <c r="AK85" s="151"/>
      <c r="AL85" s="151"/>
      <c r="AM85" s="151"/>
      <c r="AN85" s="1"/>
    </row>
    <row r="86" spans="1:40">
      <c r="A86" s="25" t="s">
        <v>154</v>
      </c>
      <c r="B86" s="2" t="s">
        <v>142</v>
      </c>
      <c r="C86" s="5" t="s">
        <v>28</v>
      </c>
      <c r="D86" s="254" t="str">
        <f ca="1">IF((D$26=$Q$26),"Y","")</f>
        <v/>
      </c>
      <c r="E86" s="254" t="str">
        <f ca="1">IF((AND((E$26=$Q$26),($Q$34&lt;&gt;1))),"Y","")</f>
        <v/>
      </c>
      <c r="F86" s="254" t="str">
        <f ca="1">IF((AND((F$26=$Q$26),($Q$34&lt;&gt;2))),"Y","")</f>
        <v/>
      </c>
      <c r="G86" s="254" t="str">
        <f ca="1">IF((AND((G$26=$Q$26),($Q$34&lt;&gt;3))),"Y","")</f>
        <v/>
      </c>
      <c r="H86" s="254" t="str">
        <f ca="1">IF((AND((H$26=$Q$26),($Q$34&lt;&gt;4))),"Y","")</f>
        <v/>
      </c>
      <c r="I86" s="254" t="str">
        <f ca="1">IF((AND((I$26=$Q$26),($Q$34&lt;&gt;5))),"Y","")</f>
        <v/>
      </c>
      <c r="J86" s="254" t="str">
        <f ca="1">IF((AND((J$26=$Q$26),($Q$34&lt;&gt;6))),"Y","")</f>
        <v/>
      </c>
      <c r="K86" s="254" t="str">
        <f ca="1">IF((AND((K$26=$Q$26),($Q$34&lt;&gt;7))),"Y","")</f>
        <v/>
      </c>
      <c r="L86" s="254" t="str">
        <f ca="1">IF((AND((L$26=$Q$26),($Q$34&lt;&gt;8))),"Y","")</f>
        <v/>
      </c>
      <c r="M86" s="254" t="str">
        <f ca="1">IF((AND((M$26=$Q$26),($Q$34&lt;&gt;9))),"Y","")</f>
        <v/>
      </c>
      <c r="O86" s="252" t="str">
        <f t="shared" ca="1" si="102"/>
        <v/>
      </c>
      <c r="P86" s="252" t="str">
        <f t="shared" ca="1" si="103"/>
        <v/>
      </c>
      <c r="Q86" s="252" t="str">
        <f t="shared" ca="1" si="104"/>
        <v/>
      </c>
      <c r="R86" s="252" t="str">
        <f t="shared" ca="1" si="105"/>
        <v/>
      </c>
      <c r="S86" s="252" t="str">
        <f t="shared" ca="1" si="106"/>
        <v/>
      </c>
      <c r="T86" s="252" t="str">
        <f t="shared" ca="1" si="107"/>
        <v/>
      </c>
      <c r="U86" s="252" t="str">
        <f t="shared" ca="1" si="108"/>
        <v/>
      </c>
      <c r="V86" s="252" t="str">
        <f t="shared" ca="1" si="109"/>
        <v/>
      </c>
      <c r="W86" s="252" t="str">
        <f t="shared" ca="1" si="110"/>
        <v/>
      </c>
      <c r="X86" s="252" t="str">
        <f t="shared" ca="1" si="111"/>
        <v/>
      </c>
      <c r="Y86" s="252" t="str">
        <f t="shared" ca="1" si="112"/>
        <v/>
      </c>
      <c r="Z86" s="252" t="str">
        <f t="shared" ca="1" si="113"/>
        <v/>
      </c>
      <c r="AB86" s="151"/>
      <c r="AC86" s="151"/>
      <c r="AD86" s="151"/>
      <c r="AE86" s="151"/>
      <c r="AF86" s="151"/>
      <c r="AG86" s="151"/>
      <c r="AH86" s="151"/>
      <c r="AI86" s="151"/>
      <c r="AJ86" s="151"/>
      <c r="AK86" s="151"/>
      <c r="AL86" s="151"/>
      <c r="AM86" s="151"/>
      <c r="AN86" s="1"/>
    </row>
    <row r="87" spans="1:40">
      <c r="A87" s="25" t="s">
        <v>155</v>
      </c>
      <c r="B87" s="2" t="s">
        <v>142</v>
      </c>
      <c r="C87" s="5" t="s">
        <v>29</v>
      </c>
      <c r="D87" s="254" t="str">
        <f ca="1">IF((D$26=$R$26),"Y","")</f>
        <v/>
      </c>
      <c r="E87" s="254" t="str">
        <f ca="1">IF((AND((E$26=$R$26),($R$34&lt;&gt;1))),"Y","")</f>
        <v/>
      </c>
      <c r="F87" s="254" t="str">
        <f ca="1">IF((AND((F$26=$R$26),($R$34&lt;&gt;2))),"Y","")</f>
        <v/>
      </c>
      <c r="G87" s="254" t="str">
        <f ca="1">IF((AND((G$26=$R$26),($R$34&lt;&gt;3))),"Y","")</f>
        <v/>
      </c>
      <c r="H87" s="254" t="str">
        <f ca="1">IF((AND((H$26=$R$26),($R$34&lt;&gt;4))),"Y","")</f>
        <v/>
      </c>
      <c r="I87" s="254" t="str">
        <f ca="1">IF((AND((I$26=$R$26),($R$34&lt;&gt;5))),"Y","")</f>
        <v/>
      </c>
      <c r="J87" s="254" t="str">
        <f ca="1">IF((AND((J$26=$R$26),($R$34&lt;&gt;6))),"Y","")</f>
        <v/>
      </c>
      <c r="K87" s="254" t="str">
        <f ca="1">IF((AND((K$26=$R$26),($R$34&lt;&gt;7))),"Y","")</f>
        <v/>
      </c>
      <c r="L87" s="254" t="str">
        <f ca="1">IF((AND((L$26=$R$26),($R$34&lt;&gt;8))),"Y","")</f>
        <v/>
      </c>
      <c r="M87" s="254" t="str">
        <f ca="1">IF((AND((M$26=$R$26),($R$34&lt;&gt;9))),"Y","")</f>
        <v/>
      </c>
      <c r="O87" s="252" t="str">
        <f t="shared" ca="1" si="102"/>
        <v/>
      </c>
      <c r="P87" s="252" t="str">
        <f t="shared" ca="1" si="103"/>
        <v/>
      </c>
      <c r="Q87" s="252" t="str">
        <f t="shared" ca="1" si="104"/>
        <v/>
      </c>
      <c r="R87" s="252" t="str">
        <f t="shared" ca="1" si="105"/>
        <v/>
      </c>
      <c r="S87" s="252" t="str">
        <f t="shared" ca="1" si="106"/>
        <v/>
      </c>
      <c r="T87" s="252" t="str">
        <f t="shared" ca="1" si="107"/>
        <v/>
      </c>
      <c r="U87" s="252" t="str">
        <f t="shared" ca="1" si="108"/>
        <v/>
      </c>
      <c r="V87" s="252" t="str">
        <f t="shared" ca="1" si="109"/>
        <v/>
      </c>
      <c r="W87" s="252" t="str">
        <f t="shared" ca="1" si="110"/>
        <v/>
      </c>
      <c r="X87" s="252" t="str">
        <f t="shared" ca="1" si="111"/>
        <v/>
      </c>
      <c r="Y87" s="252" t="str">
        <f t="shared" ca="1" si="112"/>
        <v/>
      </c>
      <c r="Z87" s="252" t="str">
        <f t="shared" ca="1" si="113"/>
        <v/>
      </c>
      <c r="AB87" s="151"/>
      <c r="AC87" s="151"/>
      <c r="AD87" s="151"/>
      <c r="AE87" s="151"/>
      <c r="AF87" s="151"/>
      <c r="AG87" s="151"/>
      <c r="AH87" s="151"/>
      <c r="AI87" s="151"/>
      <c r="AJ87" s="151"/>
      <c r="AK87" s="151"/>
      <c r="AL87" s="151"/>
      <c r="AM87" s="151"/>
      <c r="AN87" s="1"/>
    </row>
    <row r="88" spans="1:40">
      <c r="A88" s="25" t="s">
        <v>156</v>
      </c>
      <c r="B88" s="2" t="s">
        <v>142</v>
      </c>
      <c r="C88" s="5" t="s">
        <v>30</v>
      </c>
      <c r="D88" s="254" t="str">
        <f ca="1">IF((D$26=$S$26),"Y","")</f>
        <v/>
      </c>
      <c r="E88" s="254" t="str">
        <f ca="1">IF((AND((E$26=$S$26),($S$34&lt;&gt;1))),"Y","")</f>
        <v/>
      </c>
      <c r="F88" s="254" t="str">
        <f ca="1">IF((AND((F$26=$S$26),($S$34&lt;&gt;2))),"Y","")</f>
        <v/>
      </c>
      <c r="G88" s="254" t="str">
        <f ca="1">IF((AND((G$26=$S$26),($S$34&lt;&gt;3))),"Y","")</f>
        <v/>
      </c>
      <c r="H88" s="254" t="str">
        <f ca="1">IF((AND((H$26=$S$26),($S$34&lt;&gt;4))),"Y","")</f>
        <v/>
      </c>
      <c r="I88" s="254" t="str">
        <f ca="1">IF((AND((I$26=$S$26),($S$34&lt;&gt;5))),"Y","")</f>
        <v/>
      </c>
      <c r="J88" s="254" t="str">
        <f ca="1">IF((AND((J$26=$S$26),($S$34&lt;&gt;6))),"Y","")</f>
        <v/>
      </c>
      <c r="K88" s="254" t="str">
        <f ca="1">IF((AND((K$26=$S$26),($S$34&lt;&gt;7))),"Y","")</f>
        <v/>
      </c>
      <c r="L88" s="254" t="str">
        <f ca="1">IF((AND((L$26=$S$26),($S$34&lt;&gt;8))),"Y","")</f>
        <v/>
      </c>
      <c r="M88" s="254" t="str">
        <f ca="1">IF((AND((M$26=$S$26),($S$34&lt;&gt;9))),"Y","")</f>
        <v/>
      </c>
      <c r="O88" s="252" t="str">
        <f t="shared" ca="1" si="102"/>
        <v/>
      </c>
      <c r="P88" s="252" t="str">
        <f t="shared" ca="1" si="103"/>
        <v/>
      </c>
      <c r="Q88" s="252" t="str">
        <f t="shared" ca="1" si="104"/>
        <v/>
      </c>
      <c r="R88" s="252" t="str">
        <f t="shared" ca="1" si="105"/>
        <v/>
      </c>
      <c r="S88" s="252" t="str">
        <f t="shared" ca="1" si="106"/>
        <v/>
      </c>
      <c r="T88" s="252" t="str">
        <f t="shared" ca="1" si="107"/>
        <v/>
      </c>
      <c r="U88" s="252" t="str">
        <f t="shared" ca="1" si="108"/>
        <v/>
      </c>
      <c r="V88" s="252" t="str">
        <f t="shared" ca="1" si="109"/>
        <v/>
      </c>
      <c r="W88" s="252" t="str">
        <f t="shared" ca="1" si="110"/>
        <v/>
      </c>
      <c r="X88" s="252" t="str">
        <f t="shared" ca="1" si="111"/>
        <v/>
      </c>
      <c r="Y88" s="252" t="str">
        <f t="shared" ca="1" si="112"/>
        <v/>
      </c>
      <c r="Z88" s="252" t="str">
        <f t="shared" ca="1" si="113"/>
        <v/>
      </c>
      <c r="AB88" s="151"/>
      <c r="AC88" s="151"/>
      <c r="AD88" s="151"/>
      <c r="AE88" s="151"/>
      <c r="AF88" s="151"/>
      <c r="AG88" s="151"/>
      <c r="AH88" s="151"/>
      <c r="AI88" s="151"/>
      <c r="AJ88" s="151"/>
      <c r="AK88" s="151"/>
      <c r="AL88" s="151"/>
      <c r="AM88" s="151"/>
      <c r="AN88" s="1"/>
    </row>
    <row r="89" spans="1:40">
      <c r="A89" s="25" t="s">
        <v>157</v>
      </c>
      <c r="B89" s="2" t="s">
        <v>142</v>
      </c>
      <c r="C89" s="5" t="s">
        <v>31</v>
      </c>
      <c r="D89" s="254" t="str">
        <f ca="1">IF((D$26=$T$26),"Y","")</f>
        <v/>
      </c>
      <c r="E89" s="254" t="str">
        <f ca="1">IF((AND((E$26=$T$26),($T$34&lt;&gt;1))),"Y","")</f>
        <v/>
      </c>
      <c r="F89" s="254" t="str">
        <f ca="1">IF((AND((F$26=$T$26),($T$34&lt;&gt;2))),"Y","")</f>
        <v/>
      </c>
      <c r="G89" s="254" t="str">
        <f ca="1">IF((AND((G$26=$T$26),($T$34&lt;&gt;3))),"Y","")</f>
        <v/>
      </c>
      <c r="H89" s="254" t="str">
        <f ca="1">IF((AND((H$26=$T$26),($T$34&lt;&gt;4))),"Y","")</f>
        <v/>
      </c>
      <c r="I89" s="254" t="str">
        <f ca="1">IF((AND((I$26=$T$26),($T$34&lt;&gt;5))),"Y","")</f>
        <v/>
      </c>
      <c r="J89" s="254" t="str">
        <f ca="1">IF((AND((J$26=$T$26),($T$34&lt;&gt;6))),"Y","")</f>
        <v/>
      </c>
      <c r="K89" s="254" t="str">
        <f ca="1">IF((AND((K$26=$T$26),($T$34&lt;&gt;7))),"Y","")</f>
        <v/>
      </c>
      <c r="L89" s="254" t="str">
        <f ca="1">IF((AND((L$26=$T$26),($T$34&lt;&gt;8))),"Y","")</f>
        <v/>
      </c>
      <c r="M89" s="254" t="str">
        <f ca="1">IF((AND((M$26=$T$26),($T$34&lt;&gt;9))),"Y","")</f>
        <v/>
      </c>
      <c r="O89" s="252" t="str">
        <f t="shared" ca="1" si="102"/>
        <v/>
      </c>
      <c r="P89" s="252" t="str">
        <f t="shared" ca="1" si="103"/>
        <v/>
      </c>
      <c r="Q89" s="252" t="str">
        <f t="shared" ca="1" si="104"/>
        <v/>
      </c>
      <c r="R89" s="252" t="str">
        <f t="shared" ca="1" si="105"/>
        <v/>
      </c>
      <c r="S89" s="252" t="str">
        <f t="shared" ca="1" si="106"/>
        <v/>
      </c>
      <c r="T89" s="252" t="str">
        <f t="shared" ca="1" si="107"/>
        <v/>
      </c>
      <c r="U89" s="252" t="str">
        <f t="shared" ca="1" si="108"/>
        <v/>
      </c>
      <c r="V89" s="252" t="str">
        <f t="shared" ca="1" si="109"/>
        <v/>
      </c>
      <c r="W89" s="252" t="str">
        <f t="shared" ca="1" si="110"/>
        <v/>
      </c>
      <c r="X89" s="252" t="str">
        <f t="shared" ca="1" si="111"/>
        <v/>
      </c>
      <c r="Y89" s="252" t="str">
        <f t="shared" ca="1" si="112"/>
        <v/>
      </c>
      <c r="Z89" s="252" t="str">
        <f t="shared" ca="1" si="113"/>
        <v/>
      </c>
      <c r="AB89" s="151"/>
      <c r="AC89" s="151"/>
      <c r="AD89" s="151"/>
      <c r="AE89" s="151"/>
      <c r="AF89" s="151"/>
      <c r="AG89" s="151"/>
      <c r="AH89" s="151"/>
      <c r="AI89" s="151"/>
      <c r="AJ89" s="151"/>
      <c r="AK89" s="151"/>
      <c r="AL89" s="151"/>
      <c r="AM89" s="151"/>
      <c r="AN89" s="1"/>
    </row>
    <row r="90" spans="1:40">
      <c r="A90" s="25" t="s">
        <v>158</v>
      </c>
      <c r="B90" s="2" t="s">
        <v>142</v>
      </c>
      <c r="C90" s="5" t="s">
        <v>32</v>
      </c>
      <c r="D90" s="254" t="str">
        <f ca="1">IF((D$26=$U$26),"Y","")</f>
        <v/>
      </c>
      <c r="E90" s="254" t="str">
        <f ca="1">IF((AND((E$26=$U$26),($U$34&lt;&gt;1))),"Y","")</f>
        <v/>
      </c>
      <c r="F90" s="254" t="str">
        <f ca="1">IF((AND((F$26=$U$26),($U$34&lt;&gt;2))),"Y","")</f>
        <v/>
      </c>
      <c r="G90" s="254" t="str">
        <f ca="1">IF((AND((G$26=$U$26),($U$34&lt;&gt;3))),"Y","")</f>
        <v/>
      </c>
      <c r="H90" s="254" t="str">
        <f ca="1">IF((AND((H$26=$U$26),($U$34&lt;&gt;4))),"Y","")</f>
        <v/>
      </c>
      <c r="I90" s="254" t="str">
        <f ca="1">IF((AND((I$26=$U$26),($U$34&lt;&gt;5))),"Y","")</f>
        <v/>
      </c>
      <c r="J90" s="254" t="str">
        <f ca="1">IF((AND((J$26=$U$26),($U$34&lt;&gt;6))),"Y","")</f>
        <v/>
      </c>
      <c r="K90" s="254" t="str">
        <f ca="1">IF((AND((K$26=$U$26),($U$34&lt;&gt;7))),"Y","")</f>
        <v/>
      </c>
      <c r="L90" s="254" t="str">
        <f ca="1">IF((AND((L$26=$U$26),($U$34&lt;&gt;8))),"Y","")</f>
        <v/>
      </c>
      <c r="M90" s="254" t="str">
        <f ca="1">IF((AND((M$26=$U$26),($U$34&lt;&gt;9))),"Y","")</f>
        <v/>
      </c>
      <c r="O90" s="252" t="str">
        <f t="shared" ca="1" si="102"/>
        <v/>
      </c>
      <c r="P90" s="252" t="str">
        <f t="shared" ca="1" si="103"/>
        <v/>
      </c>
      <c r="Q90" s="252" t="str">
        <f t="shared" ca="1" si="104"/>
        <v/>
      </c>
      <c r="R90" s="252" t="str">
        <f t="shared" ca="1" si="105"/>
        <v/>
      </c>
      <c r="S90" s="252" t="str">
        <f t="shared" ca="1" si="106"/>
        <v/>
      </c>
      <c r="T90" s="252" t="str">
        <f t="shared" ca="1" si="107"/>
        <v/>
      </c>
      <c r="U90" s="252" t="str">
        <f t="shared" ca="1" si="108"/>
        <v/>
      </c>
      <c r="V90" s="252" t="str">
        <f t="shared" ca="1" si="109"/>
        <v/>
      </c>
      <c r="W90" s="252" t="str">
        <f t="shared" ca="1" si="110"/>
        <v/>
      </c>
      <c r="X90" s="252" t="str">
        <f t="shared" ca="1" si="111"/>
        <v/>
      </c>
      <c r="Y90" s="252" t="str">
        <f t="shared" ca="1" si="112"/>
        <v/>
      </c>
      <c r="Z90" s="252" t="str">
        <f t="shared" ca="1" si="113"/>
        <v/>
      </c>
      <c r="AB90" s="151"/>
      <c r="AC90" s="151"/>
      <c r="AD90" s="151"/>
      <c r="AE90" s="151"/>
      <c r="AF90" s="151"/>
      <c r="AG90" s="151"/>
      <c r="AH90" s="151"/>
      <c r="AI90" s="151"/>
      <c r="AJ90" s="151"/>
      <c r="AK90" s="151"/>
      <c r="AL90" s="151"/>
      <c r="AM90" s="151"/>
      <c r="AN90" s="1"/>
    </row>
    <row r="91" spans="1:40">
      <c r="A91" s="25" t="s">
        <v>159</v>
      </c>
      <c r="B91" s="2" t="s">
        <v>142</v>
      </c>
      <c r="C91" s="5" t="s">
        <v>33</v>
      </c>
      <c r="D91" s="254" t="str">
        <f ca="1">IF((D$26=$V$26),"Y","")</f>
        <v/>
      </c>
      <c r="E91" s="254" t="str">
        <f ca="1">IF((AND((E$26=$V$26),($V$34&lt;&gt;1))),"Y","")</f>
        <v/>
      </c>
      <c r="F91" s="254" t="str">
        <f ca="1">IF((AND((F$26=$V$26),($V$34&lt;&gt;2))),"Y","")</f>
        <v/>
      </c>
      <c r="G91" s="254" t="str">
        <f ca="1">IF((AND((G$26=$V$26),($V$34&lt;&gt;3))),"Y","")</f>
        <v/>
      </c>
      <c r="H91" s="254" t="str">
        <f ca="1">IF((AND((H$26=$V$26),($V$34&lt;&gt;4))),"Y","")</f>
        <v/>
      </c>
      <c r="I91" s="254" t="str">
        <f ca="1">IF((AND((I$26=$V$26),($V$34&lt;&gt;5))),"Y","")</f>
        <v/>
      </c>
      <c r="J91" s="254" t="str">
        <f ca="1">IF((AND((J$26=$V$26),($V$34&lt;&gt;6))),"Y","")</f>
        <v/>
      </c>
      <c r="K91" s="254" t="str">
        <f ca="1">IF((AND((K$26=$V$26),($V$34&lt;&gt;7))),"Y","")</f>
        <v/>
      </c>
      <c r="L91" s="254" t="str">
        <f ca="1">IF((AND((L$26=$V$26),($V$34&lt;&gt;8))),"Y","")</f>
        <v/>
      </c>
      <c r="M91" s="254" t="str">
        <f ca="1">IF((AND((M$26=$V$26),($V$34&lt;&gt;9))),"Y","")</f>
        <v/>
      </c>
      <c r="O91" s="252" t="str">
        <f t="shared" ca="1" si="102"/>
        <v/>
      </c>
      <c r="P91" s="252" t="str">
        <f t="shared" ca="1" si="103"/>
        <v/>
      </c>
      <c r="Q91" s="252" t="str">
        <f t="shared" ca="1" si="104"/>
        <v/>
      </c>
      <c r="R91" s="252" t="str">
        <f t="shared" ca="1" si="105"/>
        <v/>
      </c>
      <c r="S91" s="252" t="str">
        <f t="shared" ca="1" si="106"/>
        <v/>
      </c>
      <c r="T91" s="252" t="str">
        <f t="shared" ca="1" si="107"/>
        <v/>
      </c>
      <c r="U91" s="252" t="str">
        <f t="shared" ca="1" si="108"/>
        <v/>
      </c>
      <c r="V91" s="252" t="str">
        <f t="shared" ca="1" si="109"/>
        <v/>
      </c>
      <c r="W91" s="252" t="str">
        <f t="shared" ca="1" si="110"/>
        <v/>
      </c>
      <c r="X91" s="252" t="str">
        <f t="shared" ca="1" si="111"/>
        <v/>
      </c>
      <c r="Y91" s="252" t="str">
        <f t="shared" ca="1" si="112"/>
        <v/>
      </c>
      <c r="Z91" s="252" t="str">
        <f t="shared" ca="1" si="113"/>
        <v/>
      </c>
      <c r="AB91" s="151"/>
      <c r="AC91" s="151"/>
      <c r="AD91" s="151"/>
      <c r="AE91" s="151"/>
      <c r="AF91" s="151"/>
      <c r="AG91" s="151"/>
      <c r="AH91" s="151"/>
      <c r="AI91" s="151"/>
      <c r="AJ91" s="151"/>
      <c r="AK91" s="151"/>
      <c r="AL91" s="151"/>
      <c r="AM91" s="151"/>
      <c r="AN91" s="1"/>
    </row>
    <row r="92" spans="1:40">
      <c r="A92" s="25" t="s">
        <v>160</v>
      </c>
      <c r="B92" s="2" t="s">
        <v>142</v>
      </c>
      <c r="C92" s="5" t="s">
        <v>34</v>
      </c>
      <c r="D92" s="254" t="str">
        <f ca="1">IF((D$26=$W$26),"Y","")</f>
        <v/>
      </c>
      <c r="E92" s="254" t="str">
        <f ca="1">IF((AND((E$26=$W$26),($W$34&lt;&gt;1))),"Y","")</f>
        <v/>
      </c>
      <c r="F92" s="254" t="str">
        <f ca="1">IF((AND((F$26=$W$26),($W$34&lt;&gt;2))),"Y","")</f>
        <v/>
      </c>
      <c r="G92" s="254" t="str">
        <f ca="1">IF((AND((G$26=$W$26),($W$34&lt;&gt;3))),"Y","")</f>
        <v/>
      </c>
      <c r="H92" s="254" t="str">
        <f ca="1">IF((AND((H$26=$W$26),($W$34&lt;&gt;4))),"Y","")</f>
        <v/>
      </c>
      <c r="I92" s="254" t="str">
        <f ca="1">IF((AND((I$26=$W$26),($W$34&lt;&gt;5))),"Y","")</f>
        <v/>
      </c>
      <c r="J92" s="254" t="str">
        <f ca="1">IF((AND((J$26=$W$26),($W$34&lt;&gt;6))),"Y","")</f>
        <v/>
      </c>
      <c r="K92" s="254" t="str">
        <f ca="1">IF((AND((K$26=$W$26),($W$34&lt;&gt;7))),"Y","")</f>
        <v/>
      </c>
      <c r="L92" s="254" t="str">
        <f ca="1">IF((AND((L$26=$W$26),($W$34&lt;&gt;8))),"Y","")</f>
        <v/>
      </c>
      <c r="M92" s="254" t="str">
        <f ca="1">IF((AND((M$26=$W$26),($W$34&lt;&gt;9))),"Y","")</f>
        <v/>
      </c>
      <c r="O92" s="252" t="str">
        <f t="shared" ca="1" si="102"/>
        <v/>
      </c>
      <c r="P92" s="252" t="str">
        <f t="shared" ca="1" si="103"/>
        <v/>
      </c>
      <c r="Q92" s="252" t="str">
        <f t="shared" ca="1" si="104"/>
        <v/>
      </c>
      <c r="R92" s="252" t="str">
        <f t="shared" ca="1" si="105"/>
        <v/>
      </c>
      <c r="S92" s="252" t="str">
        <f t="shared" ca="1" si="106"/>
        <v/>
      </c>
      <c r="T92" s="252" t="str">
        <f t="shared" ca="1" si="107"/>
        <v/>
      </c>
      <c r="U92" s="252" t="str">
        <f t="shared" ca="1" si="108"/>
        <v/>
      </c>
      <c r="V92" s="252" t="str">
        <f t="shared" ca="1" si="109"/>
        <v/>
      </c>
      <c r="W92" s="252" t="str">
        <f t="shared" ca="1" si="110"/>
        <v/>
      </c>
      <c r="X92" s="252" t="str">
        <f t="shared" ca="1" si="111"/>
        <v/>
      </c>
      <c r="Y92" s="252" t="str">
        <f t="shared" ca="1" si="112"/>
        <v/>
      </c>
      <c r="Z92" s="252" t="str">
        <f t="shared" ca="1" si="113"/>
        <v/>
      </c>
      <c r="AB92" s="151"/>
      <c r="AC92" s="151"/>
      <c r="AD92" s="151"/>
      <c r="AE92" s="151"/>
      <c r="AF92" s="151"/>
      <c r="AG92" s="151"/>
      <c r="AH92" s="151"/>
      <c r="AI92" s="151"/>
      <c r="AJ92" s="151"/>
      <c r="AK92" s="151"/>
      <c r="AL92" s="151"/>
      <c r="AM92" s="151"/>
      <c r="AN92" s="1"/>
    </row>
    <row r="93" spans="1:40">
      <c r="A93" s="25" t="s">
        <v>161</v>
      </c>
      <c r="B93" s="2" t="s">
        <v>142</v>
      </c>
      <c r="C93" s="5" t="s">
        <v>35</v>
      </c>
      <c r="D93" s="254" t="str">
        <f ca="1">IF((D$26=$X$26),"Y","")</f>
        <v/>
      </c>
      <c r="E93" s="254" t="str">
        <f ca="1">IF((AND((E$26=$X$26),($X$34&lt;&gt;1))),"Y","")</f>
        <v/>
      </c>
      <c r="F93" s="254" t="str">
        <f ca="1">IF((AND((F$26=$X$26),($X$34&lt;&gt;2))),"Y","")</f>
        <v/>
      </c>
      <c r="G93" s="254" t="str">
        <f ca="1">IF((AND((G$26=$X$26),($X$34&lt;&gt;3))),"Y","")</f>
        <v/>
      </c>
      <c r="H93" s="254" t="str">
        <f ca="1">IF((AND((H$26=$X$26),($X$34&lt;&gt;4))),"Y","")</f>
        <v/>
      </c>
      <c r="I93" s="254" t="str">
        <f ca="1">IF((AND((I$26=$X$26),($X$34&lt;&gt;5))),"Y","")</f>
        <v/>
      </c>
      <c r="J93" s="254" t="str">
        <f ca="1">IF((AND((J$26=$X$26),($X$34&lt;&gt;6))),"Y","")</f>
        <v/>
      </c>
      <c r="K93" s="254" t="str">
        <f ca="1">IF((AND((K$26=$X$26),($X$34&lt;&gt;7))),"Y","")</f>
        <v/>
      </c>
      <c r="L93" s="254" t="str">
        <f ca="1">IF((AND((L$26=$X$26),($X$34&lt;&gt;8))),"Y","")</f>
        <v/>
      </c>
      <c r="M93" s="254" t="str">
        <f ca="1">IF((AND((M$26=$X$26),($X$34&lt;&gt;9))),"Y","")</f>
        <v/>
      </c>
      <c r="O93" s="252" t="str">
        <f t="shared" ca="1" si="102"/>
        <v/>
      </c>
      <c r="P93" s="252" t="str">
        <f t="shared" ca="1" si="103"/>
        <v/>
      </c>
      <c r="Q93" s="252" t="str">
        <f t="shared" ca="1" si="104"/>
        <v/>
      </c>
      <c r="R93" s="252" t="str">
        <f t="shared" ca="1" si="105"/>
        <v/>
      </c>
      <c r="S93" s="252" t="str">
        <f t="shared" ca="1" si="106"/>
        <v/>
      </c>
      <c r="T93" s="252" t="str">
        <f t="shared" ca="1" si="107"/>
        <v/>
      </c>
      <c r="U93" s="252" t="str">
        <f t="shared" ca="1" si="108"/>
        <v/>
      </c>
      <c r="V93" s="252" t="str">
        <f t="shared" ca="1" si="109"/>
        <v/>
      </c>
      <c r="W93" s="252" t="str">
        <f t="shared" ca="1" si="110"/>
        <v/>
      </c>
      <c r="X93" s="252" t="str">
        <f t="shared" ca="1" si="111"/>
        <v/>
      </c>
      <c r="Y93" s="252" t="str">
        <f t="shared" ca="1" si="112"/>
        <v/>
      </c>
      <c r="Z93" s="252" t="str">
        <f t="shared" ca="1" si="113"/>
        <v/>
      </c>
      <c r="AB93" s="151"/>
      <c r="AC93" s="151"/>
      <c r="AD93" s="151"/>
      <c r="AE93" s="151"/>
      <c r="AF93" s="151"/>
      <c r="AG93" s="151"/>
      <c r="AH93" s="151"/>
      <c r="AI93" s="151"/>
      <c r="AJ93" s="151"/>
      <c r="AK93" s="151"/>
      <c r="AL93" s="151"/>
      <c r="AM93" s="151"/>
      <c r="AN93" s="1"/>
    </row>
    <row r="94" spans="1:40">
      <c r="A94" s="25" t="s">
        <v>162</v>
      </c>
      <c r="B94" s="2" t="s">
        <v>142</v>
      </c>
      <c r="C94" s="5" t="s">
        <v>36</v>
      </c>
      <c r="D94" s="254" t="str">
        <f ca="1">IF((D$26=$Y$26),"Y","")</f>
        <v/>
      </c>
      <c r="E94" s="254" t="str">
        <f ca="1">IF((AND((E$26=$Y$26),($Y$34&lt;&gt;1))),"Y","")</f>
        <v/>
      </c>
      <c r="F94" s="254" t="str">
        <f ca="1">IF((AND((F$26=$Y$26),($Y$34&lt;&gt;2))),"Y","")</f>
        <v/>
      </c>
      <c r="G94" s="254" t="str">
        <f ca="1">IF((AND((G$26=$Y$26),($Y$34&lt;&gt;3))),"Y","")</f>
        <v/>
      </c>
      <c r="H94" s="254" t="str">
        <f ca="1">IF((AND((H$26=$Y$26),($Y$34&lt;&gt;4))),"Y","")</f>
        <v/>
      </c>
      <c r="I94" s="254" t="str">
        <f ca="1">IF((AND((I$26=$Y$26),($Y$34&lt;&gt;5))),"Y","")</f>
        <v/>
      </c>
      <c r="J94" s="254" t="str">
        <f ca="1">IF((AND((J$26=$Y$26),($Y$34&lt;&gt;6))),"Y","")</f>
        <v/>
      </c>
      <c r="K94" s="254" t="str">
        <f ca="1">IF((AND((K$26=$Y$26),($Y$34&lt;&gt;7))),"Y","")</f>
        <v/>
      </c>
      <c r="L94" s="254" t="str">
        <f ca="1">IF((AND((L$26=$Y$26),($Y$34&lt;&gt;8))),"Y","")</f>
        <v/>
      </c>
      <c r="M94" s="254" t="str">
        <f ca="1">IF((AND((M$26=$Y$26),($Y$34&lt;&gt;9))),"Y","")</f>
        <v/>
      </c>
      <c r="O94" s="252" t="str">
        <f t="shared" ca="1" si="102"/>
        <v/>
      </c>
      <c r="P94" s="252" t="str">
        <f t="shared" ca="1" si="103"/>
        <v/>
      </c>
      <c r="Q94" s="252" t="str">
        <f t="shared" ca="1" si="104"/>
        <v/>
      </c>
      <c r="R94" s="252" t="str">
        <f t="shared" ca="1" si="105"/>
        <v/>
      </c>
      <c r="S94" s="252" t="str">
        <f t="shared" ca="1" si="106"/>
        <v/>
      </c>
      <c r="T94" s="252" t="str">
        <f t="shared" ca="1" si="107"/>
        <v/>
      </c>
      <c r="U94" s="252" t="str">
        <f t="shared" ca="1" si="108"/>
        <v/>
      </c>
      <c r="V94" s="252" t="str">
        <f t="shared" ca="1" si="109"/>
        <v/>
      </c>
      <c r="W94" s="252" t="str">
        <f t="shared" ca="1" si="110"/>
        <v/>
      </c>
      <c r="X94" s="252" t="str">
        <f t="shared" ca="1" si="111"/>
        <v/>
      </c>
      <c r="Y94" s="252" t="str">
        <f t="shared" ca="1" si="112"/>
        <v/>
      </c>
      <c r="Z94" s="252" t="str">
        <f t="shared" ca="1" si="113"/>
        <v/>
      </c>
      <c r="AB94" s="151"/>
      <c r="AC94" s="151"/>
      <c r="AD94" s="151"/>
      <c r="AE94" s="151"/>
      <c r="AF94" s="151"/>
      <c r="AG94" s="151"/>
      <c r="AH94" s="151"/>
      <c r="AI94" s="151"/>
      <c r="AJ94" s="151"/>
      <c r="AK94" s="151"/>
      <c r="AL94" s="151"/>
      <c r="AM94" s="151"/>
      <c r="AN94" s="1"/>
    </row>
    <row r="95" spans="1:40">
      <c r="A95" s="25" t="s">
        <v>163</v>
      </c>
      <c r="B95" s="2" t="s">
        <v>142</v>
      </c>
      <c r="C95" s="5" t="s">
        <v>37</v>
      </c>
      <c r="D95" s="254" t="str">
        <f ca="1">IF((D$26=$Z$26),"Y","")</f>
        <v/>
      </c>
      <c r="E95" s="254" t="str">
        <f ca="1">IF((AND((E$26=$Z$26),($Z$34&lt;&gt;1))),"Y","")</f>
        <v/>
      </c>
      <c r="F95" s="254" t="str">
        <f ca="1">IF((AND((F$26=$Z$26),($Z$34&lt;&gt;2))),"Y","")</f>
        <v/>
      </c>
      <c r="G95" s="254" t="str">
        <f ca="1">IF((AND((G$26=$Z$26),($Z$34&lt;&gt;3))),"Y","")</f>
        <v/>
      </c>
      <c r="H95" s="254" t="str">
        <f ca="1">IF((AND((H$26=$Z$26),($Z$34&lt;&gt;4))),"Y","")</f>
        <v/>
      </c>
      <c r="I95" s="254" t="str">
        <f ca="1">IF((AND((I$26=$Z$26),($Z$34&lt;&gt;5))),"Y","")</f>
        <v/>
      </c>
      <c r="J95" s="254" t="str">
        <f ca="1">IF((AND((J$26=$Z$26),($Z$34&lt;&gt;6))),"Y","")</f>
        <v/>
      </c>
      <c r="K95" s="254" t="str">
        <f ca="1">IF((AND((K$26=$Z$26),($Z$34&lt;&gt;7))),"Y","")</f>
        <v/>
      </c>
      <c r="L95" s="254" t="str">
        <f ca="1">IF((AND((L$26=$Z$26),($Z$34&lt;&gt;8))),"Y","")</f>
        <v/>
      </c>
      <c r="M95" s="254" t="str">
        <f ca="1">IF((AND((M$26=$Z$26),($Z$34&lt;&gt;9))),"Y","")</f>
        <v/>
      </c>
      <c r="O95" s="252" t="str">
        <f t="shared" ca="1" si="102"/>
        <v/>
      </c>
      <c r="P95" s="252" t="str">
        <f t="shared" ca="1" si="103"/>
        <v/>
      </c>
      <c r="Q95" s="252" t="str">
        <f t="shared" ca="1" si="104"/>
        <v/>
      </c>
      <c r="R95" s="252" t="str">
        <f t="shared" ca="1" si="105"/>
        <v/>
      </c>
      <c r="S95" s="252" t="str">
        <f t="shared" ca="1" si="106"/>
        <v/>
      </c>
      <c r="T95" s="252" t="str">
        <f t="shared" ca="1" si="107"/>
        <v/>
      </c>
      <c r="U95" s="252" t="str">
        <f t="shared" ca="1" si="108"/>
        <v/>
      </c>
      <c r="V95" s="252" t="str">
        <f t="shared" ca="1" si="109"/>
        <v/>
      </c>
      <c r="W95" s="252" t="str">
        <f t="shared" ca="1" si="110"/>
        <v/>
      </c>
      <c r="X95" s="252" t="str">
        <f t="shared" ca="1" si="111"/>
        <v/>
      </c>
      <c r="Y95" s="252" t="str">
        <f t="shared" ca="1" si="112"/>
        <v/>
      </c>
      <c r="Z95" s="252" t="str">
        <f t="shared" ca="1" si="113"/>
        <v/>
      </c>
      <c r="AB95" s="151"/>
      <c r="AC95" s="151"/>
      <c r="AD95" s="151"/>
      <c r="AE95" s="151"/>
      <c r="AF95" s="151"/>
      <c r="AG95" s="151"/>
      <c r="AH95" s="151"/>
      <c r="AI95" s="151"/>
      <c r="AJ95" s="151"/>
      <c r="AK95" s="151"/>
      <c r="AL95" s="151"/>
      <c r="AM95" s="151"/>
      <c r="AN95" s="1"/>
    </row>
    <row r="96" spans="1:40">
      <c r="A96" s="58"/>
      <c r="B96" s="2"/>
      <c r="C96" s="5"/>
      <c r="D96" s="59"/>
      <c r="E96" s="59"/>
      <c r="F96" s="59"/>
      <c r="G96" s="59"/>
      <c r="H96" s="59"/>
      <c r="I96" s="59"/>
      <c r="J96" s="59"/>
      <c r="K96" s="59"/>
      <c r="L96" s="59"/>
      <c r="M96" s="59"/>
      <c r="O96" s="55"/>
      <c r="P96" s="55"/>
      <c r="Q96" s="55"/>
      <c r="R96" s="55"/>
      <c r="S96" s="55"/>
      <c r="T96" s="55"/>
      <c r="U96" s="55"/>
      <c r="V96" s="55"/>
      <c r="W96" s="55"/>
      <c r="X96" s="55"/>
      <c r="Y96" s="55"/>
      <c r="Z96" s="55"/>
      <c r="AB96" s="151"/>
      <c r="AC96" s="151"/>
      <c r="AD96" s="151"/>
      <c r="AE96" s="151"/>
      <c r="AF96" s="151"/>
      <c r="AG96" s="151"/>
      <c r="AH96" s="151"/>
      <c r="AI96" s="151"/>
      <c r="AJ96" s="151"/>
      <c r="AK96" s="151"/>
      <c r="AL96" s="151"/>
      <c r="AM96" s="151"/>
      <c r="AN96" s="1"/>
    </row>
    <row r="97" spans="1:40">
      <c r="A97" s="58"/>
      <c r="B97" s="2"/>
      <c r="C97" s="5"/>
      <c r="D97" s="59"/>
      <c r="E97" s="59"/>
      <c r="F97" s="59"/>
      <c r="G97" s="59"/>
      <c r="H97" s="59"/>
      <c r="I97" s="59"/>
      <c r="J97" s="59"/>
      <c r="K97" s="59"/>
      <c r="L97" s="59"/>
      <c r="M97" s="59"/>
      <c r="O97" s="55"/>
      <c r="P97" s="55"/>
      <c r="Q97" s="55"/>
      <c r="R97" s="55"/>
      <c r="S97" s="55"/>
      <c r="T97" s="55"/>
      <c r="U97" s="55"/>
      <c r="V97" s="55"/>
      <c r="W97" s="55"/>
      <c r="X97" s="55"/>
      <c r="Y97" s="55"/>
      <c r="Z97" s="55"/>
      <c r="AB97" s="151"/>
      <c r="AC97" s="151"/>
      <c r="AD97" s="151"/>
      <c r="AE97" s="151"/>
      <c r="AF97" s="151"/>
      <c r="AG97" s="151"/>
      <c r="AH97" s="151"/>
      <c r="AI97" s="151"/>
      <c r="AJ97" s="151"/>
      <c r="AK97" s="151"/>
      <c r="AL97" s="151"/>
      <c r="AM97" s="151"/>
      <c r="AN97" s="1"/>
    </row>
    <row r="98" spans="1:40" ht="16.2" thickBot="1">
      <c r="A98" s="58"/>
      <c r="B98" s="56" t="s">
        <v>164</v>
      </c>
      <c r="C98" s="51"/>
      <c r="D98" s="52"/>
      <c r="E98" s="52"/>
      <c r="F98" s="52"/>
      <c r="G98" s="52"/>
      <c r="H98" s="52"/>
      <c r="I98" s="52"/>
      <c r="J98" s="52"/>
      <c r="K98" s="52"/>
      <c r="L98" s="52"/>
      <c r="M98" s="52"/>
      <c r="N98" s="52"/>
      <c r="O98" s="52"/>
      <c r="P98" s="52"/>
      <c r="Q98" s="52"/>
      <c r="R98" s="52"/>
      <c r="S98" s="52"/>
      <c r="T98" s="52"/>
      <c r="U98" s="52"/>
      <c r="V98" s="52"/>
      <c r="W98" s="52"/>
      <c r="X98" s="52"/>
      <c r="Y98" s="52"/>
      <c r="Z98" s="52"/>
      <c r="AA98" s="52"/>
      <c r="AB98" s="60"/>
      <c r="AC98" s="60"/>
      <c r="AD98" s="60"/>
      <c r="AE98" s="60"/>
      <c r="AF98" s="60"/>
      <c r="AG98" s="60"/>
      <c r="AH98" s="60"/>
      <c r="AI98" s="60"/>
      <c r="AJ98" s="60"/>
      <c r="AK98" s="60"/>
      <c r="AL98" s="60"/>
      <c r="AM98" s="60"/>
      <c r="AN98" s="1"/>
    </row>
    <row r="99" spans="1:40">
      <c r="A99" s="61"/>
      <c r="B99" s="54"/>
      <c r="C99" s="49"/>
      <c r="D99" s="62"/>
      <c r="E99" s="62"/>
      <c r="F99" s="62"/>
      <c r="G99" s="62"/>
      <c r="H99" s="62"/>
      <c r="I99" s="62"/>
      <c r="J99" s="62"/>
      <c r="K99" s="62"/>
      <c r="L99" s="62"/>
      <c r="M99" s="62"/>
      <c r="AB99" s="151"/>
      <c r="AC99" s="151"/>
      <c r="AD99" s="151"/>
      <c r="AE99" s="151"/>
      <c r="AF99" s="151"/>
      <c r="AG99" s="151"/>
      <c r="AH99" s="151"/>
      <c r="AI99" s="151"/>
      <c r="AJ99" s="151"/>
      <c r="AK99" s="151"/>
      <c r="AL99" s="151"/>
      <c r="AM99" s="151"/>
    </row>
    <row r="100" spans="1:40">
      <c r="A100" s="63" t="s">
        <v>165</v>
      </c>
      <c r="B100" s="54" t="s">
        <v>166</v>
      </c>
      <c r="C100" s="49" t="s">
        <v>167</v>
      </c>
      <c r="D100" s="255" t="str">
        <f t="shared" ref="D100:M100" si="114">IF(D$26=1,"Y","")</f>
        <v>Y</v>
      </c>
      <c r="E100" s="255" t="str">
        <f t="shared" si="114"/>
        <v/>
      </c>
      <c r="F100" s="255" t="str">
        <f t="shared" si="114"/>
        <v/>
      </c>
      <c r="G100" s="255" t="str">
        <f t="shared" si="114"/>
        <v/>
      </c>
      <c r="H100" s="255" t="str">
        <f t="shared" si="114"/>
        <v/>
      </c>
      <c r="I100" s="255" t="str">
        <f t="shared" si="114"/>
        <v/>
      </c>
      <c r="J100" s="255" t="str">
        <f t="shared" si="114"/>
        <v/>
      </c>
      <c r="K100" s="255" t="str">
        <f t="shared" si="114"/>
        <v/>
      </c>
      <c r="L100" s="255" t="str">
        <f t="shared" si="114"/>
        <v/>
      </c>
      <c r="M100" s="255" t="str">
        <f t="shared" si="114"/>
        <v/>
      </c>
      <c r="O100" s="252" t="str">
        <f t="shared" ref="O100:O111" ca="1" si="115">IF(ISBLANK(OFFSET(O100,0,-11+O$34))," ",OFFSET(O100,0,-11+O$34))</f>
        <v/>
      </c>
      <c r="P100" s="252" t="str">
        <f t="shared" ref="P100:P111" ca="1" si="116">IF(ISBLANK(OFFSET(P100,0,-12+P$34))," ",OFFSET(P100,0,-12+P$34))</f>
        <v/>
      </c>
      <c r="Q100" s="252" t="str">
        <f t="shared" ref="Q100:Q111" ca="1" si="117">IF(ISBLANK(OFFSET(Q100,0,-13+Q$34))," ",OFFSET(Q100,0,-13+Q$34))</f>
        <v/>
      </c>
      <c r="R100" s="252" t="str">
        <f t="shared" ref="R100:R111" ca="1" si="118">IF(ISBLANK(OFFSET(R100,0,-14+R$34))," ",OFFSET(R100,0,-14+R$34))</f>
        <v/>
      </c>
      <c r="S100" s="252" t="str">
        <f t="shared" ref="S100:S111" ca="1" si="119">IF(ISBLANK(OFFSET(S100,0,-15+S$34))," ",OFFSET(S100,0,-15+S$34))</f>
        <v/>
      </c>
      <c r="T100" s="252" t="str">
        <f t="shared" ref="T100:T111" ca="1" si="120">IF(ISBLANK(OFFSET(T100,0,-16+T$34))," ",OFFSET(T100,0,-16+T$34))</f>
        <v/>
      </c>
      <c r="U100" s="252" t="str">
        <f t="shared" ref="U100:U111" ca="1" si="121">IF(ISBLANK(OFFSET(U100,0,-17+U$34))," ",OFFSET(U100,0,-17+U$34))</f>
        <v/>
      </c>
      <c r="V100" s="252" t="str">
        <f t="shared" ref="V100:V111" ca="1" si="122">IF(ISBLANK(OFFSET(V100,0,-18+V$34))," ",OFFSET(V100,0,-18+V$34))</f>
        <v/>
      </c>
      <c r="W100" s="252" t="str">
        <f t="shared" ref="W100:W111" ca="1" si="123">IF(ISBLANK(OFFSET(W100,0,-19+W$34))," ",OFFSET(W100,0,-19+W$34))</f>
        <v/>
      </c>
      <c r="X100" s="252" t="str">
        <f t="shared" ref="X100:X111" ca="1" si="124">IF(ISBLANK(OFFSET(X100,0,-20+X$34))," ",OFFSET(X100,0,-20+X$34))</f>
        <v/>
      </c>
      <c r="Y100" s="252" t="str">
        <f t="shared" ref="Y100:Y111" ca="1" si="125">IF(ISBLANK(OFFSET(Y100,0,-21+Y$34))," ",OFFSET(Y100,0,-21+Y$34))</f>
        <v/>
      </c>
      <c r="Z100" s="252" t="str">
        <f t="shared" ref="Z100:Z111" ca="1" si="126">IF(ISBLANK(OFFSET(Z100,0,-22+Z$34))," ",OFFSET(Z100,0,-22+Z$34))</f>
        <v/>
      </c>
      <c r="AB100" s="151"/>
      <c r="AC100" s="151"/>
      <c r="AD100" s="151"/>
      <c r="AE100" s="151"/>
      <c r="AF100" s="151"/>
      <c r="AG100" s="151"/>
      <c r="AH100" s="151"/>
      <c r="AI100" s="151"/>
      <c r="AJ100" s="151"/>
      <c r="AK100" s="151"/>
      <c r="AL100" s="151"/>
      <c r="AM100" s="151"/>
    </row>
    <row r="101" spans="1:40">
      <c r="A101" s="63" t="s">
        <v>168</v>
      </c>
      <c r="B101" s="54" t="s">
        <v>166</v>
      </c>
      <c r="C101" s="49" t="s">
        <v>169</v>
      </c>
      <c r="D101" s="255" t="str">
        <f t="shared" ref="D101:M101" si="127">IF(D$26=2,"Y","")</f>
        <v/>
      </c>
      <c r="E101" s="255" t="str">
        <f t="shared" si="127"/>
        <v>Y</v>
      </c>
      <c r="F101" s="255" t="str">
        <f t="shared" si="127"/>
        <v/>
      </c>
      <c r="G101" s="255" t="str">
        <f t="shared" si="127"/>
        <v/>
      </c>
      <c r="H101" s="255" t="str">
        <f t="shared" si="127"/>
        <v/>
      </c>
      <c r="I101" s="255" t="str">
        <f t="shared" si="127"/>
        <v/>
      </c>
      <c r="J101" s="255" t="str">
        <f t="shared" si="127"/>
        <v/>
      </c>
      <c r="K101" s="255" t="str">
        <f t="shared" si="127"/>
        <v/>
      </c>
      <c r="L101" s="255" t="str">
        <f t="shared" si="127"/>
        <v/>
      </c>
      <c r="M101" s="255" t="str">
        <f t="shared" si="127"/>
        <v/>
      </c>
      <c r="O101" s="252" t="str">
        <f t="shared" ca="1" si="115"/>
        <v/>
      </c>
      <c r="P101" s="252" t="str">
        <f t="shared" ca="1" si="116"/>
        <v/>
      </c>
      <c r="Q101" s="252" t="str">
        <f t="shared" ca="1" si="117"/>
        <v/>
      </c>
      <c r="R101" s="252" t="str">
        <f t="shared" ca="1" si="118"/>
        <v/>
      </c>
      <c r="S101" s="252" t="str">
        <f t="shared" ca="1" si="119"/>
        <v>Y</v>
      </c>
      <c r="T101" s="252" t="str">
        <f t="shared" ca="1" si="120"/>
        <v/>
      </c>
      <c r="U101" s="252" t="str">
        <f t="shared" ca="1" si="121"/>
        <v/>
      </c>
      <c r="V101" s="252" t="str">
        <f t="shared" ca="1" si="122"/>
        <v/>
      </c>
      <c r="W101" s="252" t="str">
        <f t="shared" ca="1" si="123"/>
        <v/>
      </c>
      <c r="X101" s="252" t="str">
        <f t="shared" ca="1" si="124"/>
        <v/>
      </c>
      <c r="Y101" s="252" t="str">
        <f t="shared" ca="1" si="125"/>
        <v/>
      </c>
      <c r="Z101" s="252" t="str">
        <f t="shared" ca="1" si="126"/>
        <v/>
      </c>
      <c r="AB101" s="151"/>
      <c r="AC101" s="151"/>
      <c r="AD101" s="151"/>
      <c r="AE101" s="151"/>
      <c r="AF101" s="151"/>
      <c r="AG101" s="151"/>
      <c r="AH101" s="151"/>
      <c r="AI101" s="151"/>
      <c r="AJ101" s="151"/>
      <c r="AK101" s="151"/>
      <c r="AL101" s="151"/>
      <c r="AM101" s="151"/>
    </row>
    <row r="102" spans="1:40">
      <c r="A102" s="63" t="s">
        <v>170</v>
      </c>
      <c r="B102" s="54" t="s">
        <v>166</v>
      </c>
      <c r="C102" s="49" t="s">
        <v>171</v>
      </c>
      <c r="D102" s="255" t="str">
        <f t="shared" ref="D102:M102" si="128">IF(D$26=3,"Y","")</f>
        <v/>
      </c>
      <c r="E102" s="255" t="str">
        <f t="shared" si="128"/>
        <v/>
      </c>
      <c r="F102" s="255" t="str">
        <f t="shared" si="128"/>
        <v>Y</v>
      </c>
      <c r="G102" s="255" t="str">
        <f t="shared" si="128"/>
        <v/>
      </c>
      <c r="H102" s="255" t="str">
        <f t="shared" si="128"/>
        <v/>
      </c>
      <c r="I102" s="255" t="str">
        <f t="shared" si="128"/>
        <v/>
      </c>
      <c r="J102" s="255" t="str">
        <f t="shared" si="128"/>
        <v/>
      </c>
      <c r="K102" s="255" t="str">
        <f t="shared" si="128"/>
        <v/>
      </c>
      <c r="L102" s="255" t="str">
        <f t="shared" si="128"/>
        <v/>
      </c>
      <c r="M102" s="255" t="str">
        <f t="shared" si="128"/>
        <v/>
      </c>
      <c r="O102" s="252" t="str">
        <f t="shared" ca="1" si="115"/>
        <v/>
      </c>
      <c r="P102" s="252" t="str">
        <f t="shared" ca="1" si="116"/>
        <v/>
      </c>
      <c r="Q102" s="252" t="str">
        <f t="shared" ca="1" si="117"/>
        <v/>
      </c>
      <c r="R102" s="252" t="str">
        <f t="shared" ca="1" si="118"/>
        <v>Y</v>
      </c>
      <c r="S102" s="252" t="str">
        <f t="shared" ca="1" si="119"/>
        <v/>
      </c>
      <c r="T102" s="252" t="str">
        <f t="shared" ca="1" si="120"/>
        <v/>
      </c>
      <c r="U102" s="252" t="str">
        <f t="shared" ca="1" si="121"/>
        <v/>
      </c>
      <c r="V102" s="252" t="str">
        <f t="shared" ca="1" si="122"/>
        <v/>
      </c>
      <c r="W102" s="252" t="str">
        <f t="shared" ca="1" si="123"/>
        <v/>
      </c>
      <c r="X102" s="252" t="str">
        <f t="shared" ca="1" si="124"/>
        <v/>
      </c>
      <c r="Y102" s="252" t="str">
        <f t="shared" ca="1" si="125"/>
        <v/>
      </c>
      <c r="Z102" s="252" t="str">
        <f t="shared" ca="1" si="126"/>
        <v/>
      </c>
      <c r="AB102" s="151"/>
      <c r="AC102" s="151"/>
      <c r="AD102" s="151"/>
      <c r="AE102" s="151"/>
      <c r="AF102" s="151"/>
      <c r="AG102" s="151"/>
      <c r="AH102" s="151"/>
      <c r="AI102" s="151"/>
      <c r="AJ102" s="151"/>
      <c r="AK102" s="151"/>
      <c r="AL102" s="151"/>
      <c r="AM102" s="151"/>
    </row>
    <row r="103" spans="1:40">
      <c r="A103" s="63" t="s">
        <v>172</v>
      </c>
      <c r="B103" s="54" t="s">
        <v>166</v>
      </c>
      <c r="C103" s="49" t="s">
        <v>173</v>
      </c>
      <c r="D103" s="255" t="str">
        <f t="shared" ref="D103:M103" si="129">IF(D$26=4,"Y","")</f>
        <v/>
      </c>
      <c r="E103" s="255" t="str">
        <f t="shared" si="129"/>
        <v/>
      </c>
      <c r="F103" s="255" t="str">
        <f t="shared" si="129"/>
        <v/>
      </c>
      <c r="G103" s="255" t="str">
        <f t="shared" si="129"/>
        <v>Y</v>
      </c>
      <c r="H103" s="255" t="str">
        <f t="shared" si="129"/>
        <v/>
      </c>
      <c r="I103" s="255" t="str">
        <f t="shared" si="129"/>
        <v/>
      </c>
      <c r="J103" s="255" t="str">
        <f t="shared" si="129"/>
        <v/>
      </c>
      <c r="K103" s="255" t="str">
        <f t="shared" si="129"/>
        <v/>
      </c>
      <c r="L103" s="255" t="str">
        <f t="shared" si="129"/>
        <v/>
      </c>
      <c r="M103" s="255" t="str">
        <f t="shared" si="129"/>
        <v/>
      </c>
      <c r="O103" s="252" t="str">
        <f t="shared" ca="1" si="115"/>
        <v/>
      </c>
      <c r="P103" s="252" t="str">
        <f t="shared" ca="1" si="116"/>
        <v/>
      </c>
      <c r="Q103" s="252" t="str">
        <f t="shared" ca="1" si="117"/>
        <v>Y</v>
      </c>
      <c r="R103" s="252" t="str">
        <f t="shared" ca="1" si="118"/>
        <v/>
      </c>
      <c r="S103" s="252" t="str">
        <f t="shared" ca="1" si="119"/>
        <v/>
      </c>
      <c r="T103" s="252" t="str">
        <f t="shared" ca="1" si="120"/>
        <v>Y</v>
      </c>
      <c r="U103" s="252" t="str">
        <f t="shared" ca="1" si="121"/>
        <v/>
      </c>
      <c r="V103" s="252" t="str">
        <f t="shared" ca="1" si="122"/>
        <v/>
      </c>
      <c r="W103" s="252" t="str">
        <f t="shared" ca="1" si="123"/>
        <v/>
      </c>
      <c r="X103" s="252" t="str">
        <f t="shared" ca="1" si="124"/>
        <v/>
      </c>
      <c r="Y103" s="252" t="str">
        <f t="shared" ca="1" si="125"/>
        <v/>
      </c>
      <c r="Z103" s="252" t="str">
        <f t="shared" ca="1" si="126"/>
        <v/>
      </c>
      <c r="AB103" s="151"/>
      <c r="AC103" s="151"/>
      <c r="AD103" s="151"/>
      <c r="AE103" s="151"/>
      <c r="AF103" s="151"/>
      <c r="AG103" s="151"/>
      <c r="AH103" s="151"/>
      <c r="AI103" s="151"/>
      <c r="AJ103" s="151"/>
      <c r="AK103" s="151"/>
      <c r="AL103" s="151"/>
      <c r="AM103" s="151"/>
    </row>
    <row r="104" spans="1:40">
      <c r="A104" s="63" t="s">
        <v>174</v>
      </c>
      <c r="B104" s="54" t="s">
        <v>166</v>
      </c>
      <c r="C104" s="49" t="s">
        <v>175</v>
      </c>
      <c r="D104" s="255" t="str">
        <f t="shared" ref="D104:M104" si="130">IF(D$26=5,"Y","")</f>
        <v/>
      </c>
      <c r="E104" s="255" t="str">
        <f t="shared" si="130"/>
        <v/>
      </c>
      <c r="F104" s="255" t="str">
        <f t="shared" si="130"/>
        <v/>
      </c>
      <c r="G104" s="255" t="str">
        <f t="shared" si="130"/>
        <v/>
      </c>
      <c r="H104" s="255" t="str">
        <f t="shared" si="130"/>
        <v>Y</v>
      </c>
      <c r="I104" s="255" t="str">
        <f t="shared" si="130"/>
        <v/>
      </c>
      <c r="J104" s="255" t="str">
        <f t="shared" si="130"/>
        <v/>
      </c>
      <c r="K104" s="255" t="str">
        <f t="shared" si="130"/>
        <v/>
      </c>
      <c r="L104" s="255" t="str">
        <f t="shared" si="130"/>
        <v/>
      </c>
      <c r="M104" s="255" t="str">
        <f t="shared" si="130"/>
        <v/>
      </c>
      <c r="O104" s="252" t="str">
        <f t="shared" ca="1" si="115"/>
        <v/>
      </c>
      <c r="P104" s="252" t="str">
        <f t="shared" ca="1" si="116"/>
        <v>Y</v>
      </c>
      <c r="Q104" s="252" t="str">
        <f t="shared" ca="1" si="117"/>
        <v/>
      </c>
      <c r="R104" s="252" t="str">
        <f t="shared" ca="1" si="118"/>
        <v/>
      </c>
      <c r="S104" s="252" t="str">
        <f t="shared" ca="1" si="119"/>
        <v/>
      </c>
      <c r="T104" s="252" t="str">
        <f t="shared" ca="1" si="120"/>
        <v/>
      </c>
      <c r="U104" s="252" t="str">
        <f t="shared" ca="1" si="121"/>
        <v>Y</v>
      </c>
      <c r="V104" s="252" t="str">
        <f t="shared" ca="1" si="122"/>
        <v/>
      </c>
      <c r="W104" s="252" t="str">
        <f t="shared" ca="1" si="123"/>
        <v/>
      </c>
      <c r="X104" s="252" t="str">
        <f t="shared" ca="1" si="124"/>
        <v/>
      </c>
      <c r="Y104" s="252" t="str">
        <f t="shared" ca="1" si="125"/>
        <v/>
      </c>
      <c r="Z104" s="252" t="str">
        <f t="shared" ca="1" si="126"/>
        <v/>
      </c>
      <c r="AB104" s="151"/>
      <c r="AC104" s="151"/>
      <c r="AD104" s="151"/>
      <c r="AE104" s="151"/>
      <c r="AF104" s="151"/>
      <c r="AG104" s="151"/>
      <c r="AH104" s="151"/>
      <c r="AI104" s="151"/>
      <c r="AJ104" s="151"/>
      <c r="AK104" s="151"/>
      <c r="AL104" s="151"/>
      <c r="AM104" s="151"/>
    </row>
    <row r="105" spans="1:40">
      <c r="A105" s="63" t="s">
        <v>176</v>
      </c>
      <c r="B105" s="54" t="s">
        <v>166</v>
      </c>
      <c r="C105" s="49" t="s">
        <v>177</v>
      </c>
      <c r="D105" s="255" t="str">
        <f t="shared" ref="D105:M105" si="131">IF(D$26=6,"Y","")</f>
        <v/>
      </c>
      <c r="E105" s="255" t="str">
        <f t="shared" si="131"/>
        <v/>
      </c>
      <c r="F105" s="255" t="str">
        <f t="shared" si="131"/>
        <v/>
      </c>
      <c r="G105" s="255" t="str">
        <f t="shared" si="131"/>
        <v/>
      </c>
      <c r="H105" s="255" t="str">
        <f t="shared" si="131"/>
        <v/>
      </c>
      <c r="I105" s="255" t="str">
        <f t="shared" si="131"/>
        <v>Y</v>
      </c>
      <c r="J105" s="255" t="str">
        <f t="shared" si="131"/>
        <v/>
      </c>
      <c r="K105" s="255" t="str">
        <f t="shared" si="131"/>
        <v/>
      </c>
      <c r="L105" s="255" t="str">
        <f t="shared" si="131"/>
        <v/>
      </c>
      <c r="M105" s="255" t="str">
        <f t="shared" si="131"/>
        <v/>
      </c>
      <c r="O105" s="252" t="str">
        <f t="shared" ca="1" si="115"/>
        <v>Y</v>
      </c>
      <c r="P105" s="252" t="str">
        <f t="shared" ca="1" si="116"/>
        <v/>
      </c>
      <c r="Q105" s="252" t="str">
        <f t="shared" ca="1" si="117"/>
        <v/>
      </c>
      <c r="R105" s="252" t="str">
        <f t="shared" ca="1" si="118"/>
        <v/>
      </c>
      <c r="S105" s="252" t="str">
        <f t="shared" ca="1" si="119"/>
        <v/>
      </c>
      <c r="T105" s="252" t="str">
        <f t="shared" ca="1" si="120"/>
        <v/>
      </c>
      <c r="U105" s="252" t="str">
        <f t="shared" ca="1" si="121"/>
        <v/>
      </c>
      <c r="V105" s="252" t="str">
        <f t="shared" ca="1" si="122"/>
        <v>Y</v>
      </c>
      <c r="W105" s="252" t="str">
        <f t="shared" ca="1" si="123"/>
        <v/>
      </c>
      <c r="X105" s="252" t="str">
        <f t="shared" ca="1" si="124"/>
        <v/>
      </c>
      <c r="Y105" s="252" t="str">
        <f t="shared" ca="1" si="125"/>
        <v/>
      </c>
      <c r="Z105" s="252" t="str">
        <f t="shared" ca="1" si="126"/>
        <v/>
      </c>
      <c r="AB105" s="151"/>
      <c r="AC105" s="151"/>
      <c r="AD105" s="151"/>
      <c r="AE105" s="151"/>
      <c r="AF105" s="151"/>
      <c r="AG105" s="151"/>
      <c r="AH105" s="151"/>
      <c r="AI105" s="151"/>
      <c r="AJ105" s="151"/>
      <c r="AK105" s="151"/>
      <c r="AL105" s="151"/>
      <c r="AM105" s="151"/>
    </row>
    <row r="106" spans="1:40">
      <c r="A106" s="63" t="s">
        <v>178</v>
      </c>
      <c r="B106" s="54" t="s">
        <v>166</v>
      </c>
      <c r="C106" s="49" t="s">
        <v>179</v>
      </c>
      <c r="D106" s="255" t="str">
        <f t="shared" ref="D106:M106" si="132">IF(D$26=7,"Y","")</f>
        <v/>
      </c>
      <c r="E106" s="255" t="str">
        <f t="shared" si="132"/>
        <v/>
      </c>
      <c r="F106" s="255" t="str">
        <f t="shared" si="132"/>
        <v/>
      </c>
      <c r="G106" s="255" t="str">
        <f t="shared" si="132"/>
        <v/>
      </c>
      <c r="H106" s="255" t="str">
        <f t="shared" si="132"/>
        <v/>
      </c>
      <c r="I106" s="255" t="str">
        <f t="shared" si="132"/>
        <v/>
      </c>
      <c r="J106" s="255" t="str">
        <f t="shared" si="132"/>
        <v>Y</v>
      </c>
      <c r="K106" s="255" t="str">
        <f t="shared" si="132"/>
        <v/>
      </c>
      <c r="L106" s="255" t="str">
        <f t="shared" si="132"/>
        <v/>
      </c>
      <c r="M106" s="255" t="str">
        <f t="shared" si="132"/>
        <v/>
      </c>
      <c r="O106" s="252" t="str">
        <f t="shared" ca="1" si="115"/>
        <v/>
      </c>
      <c r="P106" s="252" t="str">
        <f t="shared" ca="1" si="116"/>
        <v/>
      </c>
      <c r="Q106" s="252" t="str">
        <f t="shared" ca="1" si="117"/>
        <v/>
      </c>
      <c r="R106" s="252" t="str">
        <f t="shared" ca="1" si="118"/>
        <v/>
      </c>
      <c r="S106" s="252" t="str">
        <f t="shared" ca="1" si="119"/>
        <v/>
      </c>
      <c r="T106" s="252" t="str">
        <f t="shared" ca="1" si="120"/>
        <v/>
      </c>
      <c r="U106" s="252" t="str">
        <f t="shared" ca="1" si="121"/>
        <v/>
      </c>
      <c r="V106" s="252" t="str">
        <f t="shared" ca="1" si="122"/>
        <v/>
      </c>
      <c r="W106" s="252" t="str">
        <f t="shared" ca="1" si="123"/>
        <v>Y</v>
      </c>
      <c r="X106" s="252" t="str">
        <f t="shared" ca="1" si="124"/>
        <v/>
      </c>
      <c r="Y106" s="252" t="str">
        <f t="shared" ca="1" si="125"/>
        <v/>
      </c>
      <c r="Z106" s="252" t="str">
        <f t="shared" ca="1" si="126"/>
        <v>Y</v>
      </c>
      <c r="AB106" s="151"/>
      <c r="AC106" s="151"/>
      <c r="AD106" s="151"/>
      <c r="AE106" s="151"/>
      <c r="AF106" s="151"/>
      <c r="AG106" s="151"/>
      <c r="AH106" s="151"/>
      <c r="AI106" s="151"/>
      <c r="AJ106" s="151"/>
      <c r="AK106" s="151"/>
      <c r="AL106" s="151"/>
      <c r="AM106" s="151"/>
    </row>
    <row r="107" spans="1:40">
      <c r="A107" s="63" t="s">
        <v>180</v>
      </c>
      <c r="B107" s="54" t="s">
        <v>166</v>
      </c>
      <c r="C107" s="49" t="s">
        <v>181</v>
      </c>
      <c r="D107" s="255" t="str">
        <f t="shared" ref="D107:M107" si="133">IF(D$26=8,"Y","")</f>
        <v/>
      </c>
      <c r="E107" s="255" t="str">
        <f t="shared" si="133"/>
        <v/>
      </c>
      <c r="F107" s="255" t="str">
        <f t="shared" si="133"/>
        <v/>
      </c>
      <c r="G107" s="255" t="str">
        <f t="shared" si="133"/>
        <v/>
      </c>
      <c r="H107" s="255" t="str">
        <f t="shared" si="133"/>
        <v/>
      </c>
      <c r="I107" s="255" t="str">
        <f t="shared" si="133"/>
        <v/>
      </c>
      <c r="J107" s="255" t="str">
        <f t="shared" si="133"/>
        <v/>
      </c>
      <c r="K107" s="255" t="str">
        <f t="shared" si="133"/>
        <v>Y</v>
      </c>
      <c r="L107" s="255" t="str">
        <f t="shared" si="133"/>
        <v/>
      </c>
      <c r="M107" s="255" t="str">
        <f t="shared" si="133"/>
        <v/>
      </c>
      <c r="O107" s="252" t="str">
        <f t="shared" ca="1" si="115"/>
        <v/>
      </c>
      <c r="P107" s="252" t="str">
        <f t="shared" ca="1" si="116"/>
        <v/>
      </c>
      <c r="Q107" s="252" t="str">
        <f t="shared" ca="1" si="117"/>
        <v/>
      </c>
      <c r="R107" s="252" t="str">
        <f t="shared" ca="1" si="118"/>
        <v/>
      </c>
      <c r="S107" s="252" t="str">
        <f t="shared" ca="1" si="119"/>
        <v/>
      </c>
      <c r="T107" s="252" t="str">
        <f t="shared" ca="1" si="120"/>
        <v/>
      </c>
      <c r="U107" s="252" t="str">
        <f t="shared" ca="1" si="121"/>
        <v/>
      </c>
      <c r="V107" s="252" t="str">
        <f t="shared" ca="1" si="122"/>
        <v/>
      </c>
      <c r="W107" s="252" t="str">
        <f t="shared" ca="1" si="123"/>
        <v/>
      </c>
      <c r="X107" s="252" t="str">
        <f t="shared" ca="1" si="124"/>
        <v>Y</v>
      </c>
      <c r="Y107" s="252" t="str">
        <f t="shared" ca="1" si="125"/>
        <v>Y</v>
      </c>
      <c r="Z107" s="252" t="str">
        <f t="shared" ca="1" si="126"/>
        <v/>
      </c>
      <c r="AB107" s="151"/>
      <c r="AC107" s="151"/>
      <c r="AD107" s="151"/>
      <c r="AE107" s="151"/>
      <c r="AF107" s="151"/>
      <c r="AG107" s="151"/>
      <c r="AH107" s="151"/>
      <c r="AI107" s="151"/>
      <c r="AJ107" s="151"/>
      <c r="AK107" s="151"/>
      <c r="AL107" s="151"/>
      <c r="AM107" s="151"/>
    </row>
    <row r="108" spans="1:40">
      <c r="A108" s="63" t="s">
        <v>182</v>
      </c>
      <c r="B108" s="54" t="s">
        <v>166</v>
      </c>
      <c r="C108" s="49" t="s">
        <v>183</v>
      </c>
      <c r="D108" s="255" t="str">
        <f t="shared" ref="D108:M108" si="134">IF(D$26=9,"Y","")</f>
        <v/>
      </c>
      <c r="E108" s="255" t="str">
        <f t="shared" si="134"/>
        <v/>
      </c>
      <c r="F108" s="255" t="str">
        <f t="shared" si="134"/>
        <v/>
      </c>
      <c r="G108" s="255" t="str">
        <f t="shared" si="134"/>
        <v/>
      </c>
      <c r="H108" s="255" t="str">
        <f t="shared" si="134"/>
        <v/>
      </c>
      <c r="I108" s="255" t="str">
        <f t="shared" si="134"/>
        <v/>
      </c>
      <c r="J108" s="255" t="str">
        <f t="shared" si="134"/>
        <v/>
      </c>
      <c r="K108" s="255" t="str">
        <f t="shared" si="134"/>
        <v/>
      </c>
      <c r="L108" s="255" t="str">
        <f t="shared" si="134"/>
        <v>Y</v>
      </c>
      <c r="M108" s="255" t="str">
        <f t="shared" si="134"/>
        <v/>
      </c>
      <c r="O108" s="252" t="str">
        <f t="shared" ca="1" si="115"/>
        <v/>
      </c>
      <c r="P108" s="252" t="str">
        <f t="shared" ca="1" si="116"/>
        <v/>
      </c>
      <c r="Q108" s="252" t="str">
        <f t="shared" ca="1" si="117"/>
        <v/>
      </c>
      <c r="R108" s="252" t="str">
        <f t="shared" ca="1" si="118"/>
        <v/>
      </c>
      <c r="S108" s="252" t="str">
        <f t="shared" ca="1" si="119"/>
        <v/>
      </c>
      <c r="T108" s="252" t="str">
        <f t="shared" ca="1" si="120"/>
        <v/>
      </c>
      <c r="U108" s="252" t="str">
        <f t="shared" ca="1" si="121"/>
        <v/>
      </c>
      <c r="V108" s="252" t="str">
        <f t="shared" ca="1" si="122"/>
        <v/>
      </c>
      <c r="W108" s="252" t="str">
        <f t="shared" ca="1" si="123"/>
        <v/>
      </c>
      <c r="X108" s="252" t="str">
        <f t="shared" ca="1" si="124"/>
        <v/>
      </c>
      <c r="Y108" s="252" t="str">
        <f t="shared" ca="1" si="125"/>
        <v/>
      </c>
      <c r="Z108" s="252" t="str">
        <f t="shared" ca="1" si="126"/>
        <v/>
      </c>
      <c r="AB108" s="151"/>
      <c r="AC108" s="151"/>
      <c r="AD108" s="151"/>
      <c r="AE108" s="151"/>
      <c r="AF108" s="151"/>
      <c r="AG108" s="151"/>
      <c r="AH108" s="151"/>
      <c r="AI108" s="151"/>
      <c r="AJ108" s="151"/>
      <c r="AK108" s="151"/>
      <c r="AL108" s="151"/>
      <c r="AM108" s="151"/>
    </row>
    <row r="109" spans="1:40">
      <c r="A109" s="63" t="s">
        <v>184</v>
      </c>
      <c r="B109" s="54" t="s">
        <v>166</v>
      </c>
      <c r="C109" s="49" t="s">
        <v>185</v>
      </c>
      <c r="D109" s="255" t="str">
        <f t="shared" ref="D109:M109" si="135">IF(D$26=10,"Y","")</f>
        <v/>
      </c>
      <c r="E109" s="255" t="str">
        <f t="shared" si="135"/>
        <v/>
      </c>
      <c r="F109" s="255" t="str">
        <f t="shared" si="135"/>
        <v/>
      </c>
      <c r="G109" s="255" t="str">
        <f t="shared" si="135"/>
        <v/>
      </c>
      <c r="H109" s="255" t="str">
        <f t="shared" si="135"/>
        <v/>
      </c>
      <c r="I109" s="255" t="str">
        <f t="shared" si="135"/>
        <v/>
      </c>
      <c r="J109" s="255" t="str">
        <f t="shared" si="135"/>
        <v/>
      </c>
      <c r="K109" s="255" t="str">
        <f t="shared" si="135"/>
        <v/>
      </c>
      <c r="L109" s="255" t="str">
        <f t="shared" si="135"/>
        <v/>
      </c>
      <c r="M109" s="255" t="str">
        <f t="shared" si="135"/>
        <v>Y</v>
      </c>
      <c r="O109" s="252" t="str">
        <f t="shared" ca="1" si="115"/>
        <v/>
      </c>
      <c r="P109" s="252" t="str">
        <f t="shared" ca="1" si="116"/>
        <v/>
      </c>
      <c r="Q109" s="252" t="str">
        <f t="shared" ca="1" si="117"/>
        <v/>
      </c>
      <c r="R109" s="252" t="str">
        <f t="shared" ca="1" si="118"/>
        <v/>
      </c>
      <c r="S109" s="252" t="str">
        <f t="shared" ca="1" si="119"/>
        <v/>
      </c>
      <c r="T109" s="252" t="str">
        <f t="shared" ca="1" si="120"/>
        <v/>
      </c>
      <c r="U109" s="252" t="str">
        <f t="shared" ca="1" si="121"/>
        <v/>
      </c>
      <c r="V109" s="252" t="str">
        <f t="shared" ca="1" si="122"/>
        <v/>
      </c>
      <c r="W109" s="252" t="str">
        <f t="shared" ca="1" si="123"/>
        <v/>
      </c>
      <c r="X109" s="252" t="str">
        <f t="shared" ca="1" si="124"/>
        <v/>
      </c>
      <c r="Y109" s="252" t="str">
        <f t="shared" ca="1" si="125"/>
        <v/>
      </c>
      <c r="Z109" s="252" t="str">
        <f t="shared" ca="1" si="126"/>
        <v/>
      </c>
      <c r="AB109" s="151"/>
      <c r="AC109" s="151"/>
      <c r="AD109" s="151"/>
      <c r="AE109" s="151"/>
      <c r="AF109" s="151"/>
      <c r="AG109" s="151"/>
      <c r="AH109" s="151"/>
      <c r="AI109" s="151"/>
      <c r="AJ109" s="151"/>
      <c r="AK109" s="151"/>
      <c r="AL109" s="151"/>
      <c r="AM109" s="151"/>
    </row>
    <row r="110" spans="1:40">
      <c r="A110" s="63" t="s">
        <v>186</v>
      </c>
      <c r="B110" s="54" t="s">
        <v>166</v>
      </c>
      <c r="C110" s="49" t="s">
        <v>187</v>
      </c>
      <c r="D110" s="255" t="str">
        <f t="shared" ref="D110:M110" si="136">IF(D$26=11,"Y","")</f>
        <v/>
      </c>
      <c r="E110" s="255" t="str">
        <f t="shared" si="136"/>
        <v/>
      </c>
      <c r="F110" s="255" t="str">
        <f t="shared" si="136"/>
        <v/>
      </c>
      <c r="G110" s="255" t="str">
        <f t="shared" si="136"/>
        <v/>
      </c>
      <c r="H110" s="255" t="str">
        <f t="shared" si="136"/>
        <v/>
      </c>
      <c r="I110" s="255" t="str">
        <f t="shared" si="136"/>
        <v/>
      </c>
      <c r="J110" s="255" t="str">
        <f t="shared" si="136"/>
        <v/>
      </c>
      <c r="K110" s="255" t="str">
        <f t="shared" si="136"/>
        <v/>
      </c>
      <c r="L110" s="255" t="str">
        <f t="shared" si="136"/>
        <v/>
      </c>
      <c r="M110" s="255" t="str">
        <f t="shared" si="136"/>
        <v/>
      </c>
      <c r="O110" s="252" t="str">
        <f t="shared" ca="1" si="115"/>
        <v/>
      </c>
      <c r="P110" s="252" t="str">
        <f t="shared" ca="1" si="116"/>
        <v/>
      </c>
      <c r="Q110" s="252" t="str">
        <f t="shared" ca="1" si="117"/>
        <v/>
      </c>
      <c r="R110" s="252" t="str">
        <f t="shared" ca="1" si="118"/>
        <v/>
      </c>
      <c r="S110" s="252" t="str">
        <f t="shared" ca="1" si="119"/>
        <v/>
      </c>
      <c r="T110" s="252" t="str">
        <f t="shared" ca="1" si="120"/>
        <v/>
      </c>
      <c r="U110" s="252" t="str">
        <f t="shared" ca="1" si="121"/>
        <v/>
      </c>
      <c r="V110" s="252" t="str">
        <f t="shared" ca="1" si="122"/>
        <v/>
      </c>
      <c r="W110" s="252" t="str">
        <f t="shared" ca="1" si="123"/>
        <v/>
      </c>
      <c r="X110" s="252" t="str">
        <f t="shared" ca="1" si="124"/>
        <v/>
      </c>
      <c r="Y110" s="252" t="str">
        <f t="shared" ca="1" si="125"/>
        <v/>
      </c>
      <c r="Z110" s="252" t="str">
        <f t="shared" ca="1" si="126"/>
        <v/>
      </c>
      <c r="AB110" s="151"/>
      <c r="AC110" s="151"/>
      <c r="AD110" s="151"/>
      <c r="AE110" s="151"/>
      <c r="AF110" s="151"/>
      <c r="AG110" s="151"/>
      <c r="AH110" s="151"/>
      <c r="AI110" s="151"/>
      <c r="AJ110" s="151"/>
      <c r="AK110" s="151"/>
      <c r="AL110" s="151"/>
      <c r="AM110" s="151"/>
    </row>
    <row r="111" spans="1:40">
      <c r="A111" s="63" t="s">
        <v>188</v>
      </c>
      <c r="B111" s="54" t="s">
        <v>166</v>
      </c>
      <c r="C111" s="49" t="s">
        <v>189</v>
      </c>
      <c r="D111" s="255" t="str">
        <f t="shared" ref="D111:M111" si="137">IF(D$26=12,"Y","")</f>
        <v/>
      </c>
      <c r="E111" s="255" t="str">
        <f t="shared" si="137"/>
        <v/>
      </c>
      <c r="F111" s="255" t="str">
        <f t="shared" si="137"/>
        <v/>
      </c>
      <c r="G111" s="255" t="str">
        <f t="shared" si="137"/>
        <v/>
      </c>
      <c r="H111" s="255" t="str">
        <f t="shared" si="137"/>
        <v/>
      </c>
      <c r="I111" s="255" t="str">
        <f t="shared" si="137"/>
        <v/>
      </c>
      <c r="J111" s="255" t="str">
        <f t="shared" si="137"/>
        <v/>
      </c>
      <c r="K111" s="255" t="str">
        <f t="shared" si="137"/>
        <v/>
      </c>
      <c r="L111" s="255" t="str">
        <f t="shared" si="137"/>
        <v/>
      </c>
      <c r="M111" s="255" t="str">
        <f t="shared" si="137"/>
        <v/>
      </c>
      <c r="O111" s="252" t="str">
        <f t="shared" ca="1" si="115"/>
        <v/>
      </c>
      <c r="P111" s="252" t="str">
        <f t="shared" ca="1" si="116"/>
        <v/>
      </c>
      <c r="Q111" s="252" t="str">
        <f t="shared" ca="1" si="117"/>
        <v/>
      </c>
      <c r="R111" s="252" t="str">
        <f t="shared" ca="1" si="118"/>
        <v/>
      </c>
      <c r="S111" s="252" t="str">
        <f t="shared" ca="1" si="119"/>
        <v/>
      </c>
      <c r="T111" s="252" t="str">
        <f t="shared" ca="1" si="120"/>
        <v/>
      </c>
      <c r="U111" s="252" t="str">
        <f t="shared" ca="1" si="121"/>
        <v/>
      </c>
      <c r="V111" s="252" t="str">
        <f t="shared" ca="1" si="122"/>
        <v/>
      </c>
      <c r="W111" s="252" t="str">
        <f t="shared" ca="1" si="123"/>
        <v/>
      </c>
      <c r="X111" s="252" t="str">
        <f t="shared" ca="1" si="124"/>
        <v/>
      </c>
      <c r="Y111" s="252" t="str">
        <f t="shared" ca="1" si="125"/>
        <v/>
      </c>
      <c r="Z111" s="252" t="str">
        <f t="shared" ca="1" si="126"/>
        <v/>
      </c>
      <c r="AB111" s="151"/>
      <c r="AC111" s="151"/>
      <c r="AD111" s="151"/>
      <c r="AE111" s="151"/>
      <c r="AF111" s="151"/>
      <c r="AG111" s="151"/>
      <c r="AH111" s="151"/>
      <c r="AI111" s="151"/>
      <c r="AJ111" s="151"/>
      <c r="AK111" s="151"/>
      <c r="AL111" s="151"/>
      <c r="AM111" s="151"/>
    </row>
    <row r="112" spans="1:40">
      <c r="A112" s="63"/>
      <c r="B112" s="54"/>
      <c r="C112" s="49"/>
      <c r="D112" s="255"/>
      <c r="E112" s="255"/>
      <c r="F112" s="255"/>
      <c r="G112" s="255"/>
      <c r="H112" s="255"/>
      <c r="I112" s="255"/>
      <c r="J112" s="255"/>
      <c r="K112" s="255"/>
      <c r="L112" s="255"/>
      <c r="M112" s="255"/>
      <c r="O112" s="57"/>
      <c r="P112" s="57"/>
      <c r="Q112" s="57"/>
      <c r="R112" s="57"/>
      <c r="S112" s="57"/>
      <c r="T112" s="57"/>
      <c r="U112" s="57"/>
      <c r="V112" s="57"/>
      <c r="W112" s="57"/>
      <c r="X112" s="57"/>
      <c r="Y112" s="57"/>
      <c r="Z112" s="57"/>
      <c r="AB112" s="151"/>
      <c r="AC112" s="151"/>
      <c r="AD112" s="151"/>
      <c r="AE112" s="151"/>
      <c r="AF112" s="151"/>
      <c r="AG112" s="151"/>
      <c r="AH112" s="151"/>
      <c r="AI112" s="151"/>
      <c r="AJ112" s="151"/>
      <c r="AK112" s="151"/>
      <c r="AL112" s="151"/>
      <c r="AM112" s="151"/>
    </row>
    <row r="113" spans="1:39">
      <c r="A113" s="63" t="s">
        <v>190</v>
      </c>
      <c r="B113" s="54" t="s">
        <v>166</v>
      </c>
      <c r="C113" s="49" t="s">
        <v>38</v>
      </c>
      <c r="D113" s="255"/>
      <c r="E113" s="255" t="str">
        <f t="shared" ref="E113:M113" si="138">IF(E$30=1,"Y","")</f>
        <v/>
      </c>
      <c r="F113" s="255" t="str">
        <f t="shared" si="138"/>
        <v/>
      </c>
      <c r="G113" s="255" t="str">
        <f t="shared" si="138"/>
        <v/>
      </c>
      <c r="H113" s="255" t="str">
        <f t="shared" si="138"/>
        <v/>
      </c>
      <c r="I113" s="255" t="str">
        <f t="shared" si="138"/>
        <v/>
      </c>
      <c r="J113" s="255" t="str">
        <f t="shared" si="138"/>
        <v/>
      </c>
      <c r="K113" s="255" t="str">
        <f t="shared" si="138"/>
        <v/>
      </c>
      <c r="L113" s="255" t="str">
        <f t="shared" si="138"/>
        <v/>
      </c>
      <c r="M113" s="255" t="str">
        <f t="shared" si="138"/>
        <v/>
      </c>
      <c r="O113" s="252" t="str">
        <f t="shared" ref="O113:O124" ca="1" si="139">IF(ISBLANK(OFFSET(O113,0,-11+O$34))," ",OFFSET(O113,0,-11+O$34))</f>
        <v/>
      </c>
      <c r="P113" s="252" t="str">
        <f t="shared" ref="P113:P124" ca="1" si="140">IF(ISBLANK(OFFSET(P113,0,-12+P$34))," ",OFFSET(P113,0,-12+P$34))</f>
        <v/>
      </c>
      <c r="Q113" s="252" t="str">
        <f t="shared" ref="Q113:Q124" ca="1" si="141">IF(ISBLANK(OFFSET(Q113,0,-13+Q$34))," ",OFFSET(Q113,0,-13+Q$34))</f>
        <v/>
      </c>
      <c r="R113" s="252" t="str">
        <f t="shared" ref="R113:R124" ca="1" si="142">IF(ISBLANK(OFFSET(R113,0,-14+R$34))," ",OFFSET(R113,0,-14+R$34))</f>
        <v/>
      </c>
      <c r="S113" s="252" t="str">
        <f t="shared" ref="S113:S124" ca="1" si="143">IF(ISBLANK(OFFSET(S113,0,-15+S$34))," ",OFFSET(S113,0,-15+S$34))</f>
        <v/>
      </c>
      <c r="T113" s="252" t="str">
        <f t="shared" ref="T113:T124" ca="1" si="144">IF(ISBLANK(OFFSET(T113,0,-16+T$34))," ",OFFSET(T113,0,-16+T$34))</f>
        <v/>
      </c>
      <c r="U113" s="252" t="str">
        <f t="shared" ref="U113:U124" ca="1" si="145">IF(ISBLANK(OFFSET(U113,0,-17+U$34))," ",OFFSET(U113,0,-17+U$34))</f>
        <v/>
      </c>
      <c r="V113" s="252" t="str">
        <f t="shared" ref="V113:V124" ca="1" si="146">IF(ISBLANK(OFFSET(V113,0,-18+V$34))," ",OFFSET(V113,0,-18+V$34))</f>
        <v/>
      </c>
      <c r="W113" s="252" t="str">
        <f t="shared" ref="W113:W124" ca="1" si="147">IF(ISBLANK(OFFSET(W113,0,-19+W$34))," ",OFFSET(W113,0,-19+W$34))</f>
        <v/>
      </c>
      <c r="X113" s="252" t="str">
        <f t="shared" ref="X113:X124" ca="1" si="148">IF(ISBLANK(OFFSET(X113,0,-20+X$34))," ",OFFSET(X113,0,-20+X$34))</f>
        <v/>
      </c>
      <c r="Y113" s="252" t="str">
        <f t="shared" ref="Y113:Y124" ca="1" si="149">IF(ISBLANK(OFFSET(Y113,0,-21+Y$34))," ",OFFSET(Y113,0,-21+Y$34))</f>
        <v/>
      </c>
      <c r="Z113" s="252" t="str">
        <f t="shared" ref="Z113:Z124" ca="1" si="150">IF(ISBLANK(OFFSET(Z113,0,-22+Z$34))," ",OFFSET(Z113,0,-22+Z$34))</f>
        <v/>
      </c>
      <c r="AB113" s="151"/>
      <c r="AC113" s="151"/>
      <c r="AD113" s="151"/>
      <c r="AE113" s="151"/>
      <c r="AF113" s="151"/>
      <c r="AG113" s="151"/>
      <c r="AH113" s="151"/>
      <c r="AI113" s="151"/>
      <c r="AJ113" s="151"/>
      <c r="AK113" s="151"/>
      <c r="AL113" s="151"/>
      <c r="AM113" s="151"/>
    </row>
    <row r="114" spans="1:39">
      <c r="A114" s="63" t="s">
        <v>191</v>
      </c>
      <c r="B114" s="54" t="s">
        <v>166</v>
      </c>
      <c r="C114" s="49" t="s">
        <v>39</v>
      </c>
      <c r="D114" s="255"/>
      <c r="E114" s="255" t="str">
        <f t="shared" ref="E114:M114" si="151">IF(E$30=2,"Y","")</f>
        <v>Y</v>
      </c>
      <c r="F114" s="255" t="str">
        <f t="shared" si="151"/>
        <v/>
      </c>
      <c r="G114" s="255" t="str">
        <f t="shared" si="151"/>
        <v/>
      </c>
      <c r="H114" s="255" t="str">
        <f t="shared" si="151"/>
        <v/>
      </c>
      <c r="I114" s="255" t="str">
        <f t="shared" si="151"/>
        <v/>
      </c>
      <c r="J114" s="255" t="str">
        <f t="shared" si="151"/>
        <v/>
      </c>
      <c r="K114" s="255" t="str">
        <f t="shared" si="151"/>
        <v/>
      </c>
      <c r="L114" s="255" t="str">
        <f t="shared" si="151"/>
        <v/>
      </c>
      <c r="M114" s="255" t="str">
        <f t="shared" si="151"/>
        <v/>
      </c>
      <c r="O114" s="252" t="str">
        <f t="shared" ca="1" si="139"/>
        <v/>
      </c>
      <c r="P114" s="252" t="str">
        <f t="shared" ca="1" si="140"/>
        <v/>
      </c>
      <c r="Q114" s="252" t="str">
        <f t="shared" ca="1" si="141"/>
        <v/>
      </c>
      <c r="R114" s="252" t="str">
        <f t="shared" ca="1" si="142"/>
        <v/>
      </c>
      <c r="S114" s="252" t="str">
        <f t="shared" ca="1" si="143"/>
        <v>Y</v>
      </c>
      <c r="T114" s="252" t="str">
        <f t="shared" ca="1" si="144"/>
        <v/>
      </c>
      <c r="U114" s="252" t="str">
        <f t="shared" ca="1" si="145"/>
        <v/>
      </c>
      <c r="V114" s="252" t="str">
        <f t="shared" ca="1" si="146"/>
        <v/>
      </c>
      <c r="W114" s="252" t="str">
        <f t="shared" ca="1" si="147"/>
        <v/>
      </c>
      <c r="X114" s="252" t="str">
        <f t="shared" ca="1" si="148"/>
        <v/>
      </c>
      <c r="Y114" s="252" t="str">
        <f t="shared" ca="1" si="149"/>
        <v/>
      </c>
      <c r="Z114" s="252" t="str">
        <f t="shared" ca="1" si="150"/>
        <v/>
      </c>
      <c r="AB114" s="151"/>
      <c r="AC114" s="151"/>
      <c r="AD114" s="151"/>
      <c r="AE114" s="151"/>
      <c r="AF114" s="151"/>
      <c r="AG114" s="151"/>
      <c r="AH114" s="151"/>
      <c r="AI114" s="151"/>
      <c r="AJ114" s="151"/>
      <c r="AK114" s="151"/>
      <c r="AL114" s="151"/>
      <c r="AM114" s="151"/>
    </row>
    <row r="115" spans="1:39">
      <c r="A115" s="63" t="s">
        <v>192</v>
      </c>
      <c r="B115" s="54" t="s">
        <v>166</v>
      </c>
      <c r="C115" s="49" t="s">
        <v>40</v>
      </c>
      <c r="D115" s="255"/>
      <c r="E115" s="255" t="str">
        <f t="shared" ref="E115:M115" si="152">IF(E$30=3,"Y","")</f>
        <v/>
      </c>
      <c r="F115" s="255" t="str">
        <f t="shared" si="152"/>
        <v>Y</v>
      </c>
      <c r="G115" s="255" t="str">
        <f t="shared" si="152"/>
        <v/>
      </c>
      <c r="H115" s="255" t="str">
        <f t="shared" si="152"/>
        <v/>
      </c>
      <c r="I115" s="255" t="str">
        <f t="shared" si="152"/>
        <v/>
      </c>
      <c r="J115" s="255" t="str">
        <f t="shared" si="152"/>
        <v/>
      </c>
      <c r="K115" s="255" t="str">
        <f t="shared" si="152"/>
        <v/>
      </c>
      <c r="L115" s="255" t="str">
        <f t="shared" si="152"/>
        <v/>
      </c>
      <c r="M115" s="255" t="str">
        <f t="shared" si="152"/>
        <v/>
      </c>
      <c r="O115" s="252" t="str">
        <f t="shared" ca="1" si="139"/>
        <v/>
      </c>
      <c r="P115" s="252" t="str">
        <f t="shared" ca="1" si="140"/>
        <v/>
      </c>
      <c r="Q115" s="252" t="str">
        <f t="shared" ca="1" si="141"/>
        <v/>
      </c>
      <c r="R115" s="252" t="str">
        <f t="shared" ca="1" si="142"/>
        <v>Y</v>
      </c>
      <c r="S115" s="252" t="str">
        <f t="shared" ca="1" si="143"/>
        <v/>
      </c>
      <c r="T115" s="252" t="str">
        <f t="shared" ca="1" si="144"/>
        <v/>
      </c>
      <c r="U115" s="252" t="str">
        <f t="shared" ca="1" si="145"/>
        <v/>
      </c>
      <c r="V115" s="252" t="str">
        <f t="shared" ca="1" si="146"/>
        <v/>
      </c>
      <c r="W115" s="252" t="str">
        <f t="shared" ca="1" si="147"/>
        <v/>
      </c>
      <c r="X115" s="252" t="str">
        <f t="shared" ca="1" si="148"/>
        <v/>
      </c>
      <c r="Y115" s="252" t="str">
        <f t="shared" ca="1" si="149"/>
        <v/>
      </c>
      <c r="Z115" s="252" t="str">
        <f t="shared" ca="1" si="150"/>
        <v/>
      </c>
      <c r="AB115" s="151"/>
      <c r="AC115" s="151"/>
      <c r="AD115" s="151"/>
      <c r="AE115" s="151"/>
      <c r="AF115" s="151"/>
      <c r="AG115" s="151"/>
      <c r="AH115" s="151"/>
      <c r="AI115" s="151"/>
      <c r="AJ115" s="151"/>
      <c r="AK115" s="151"/>
      <c r="AL115" s="151"/>
      <c r="AM115" s="151"/>
    </row>
    <row r="116" spans="1:39">
      <c r="A116" s="63" t="s">
        <v>193</v>
      </c>
      <c r="B116" s="54" t="s">
        <v>166</v>
      </c>
      <c r="C116" s="49" t="s">
        <v>41</v>
      </c>
      <c r="D116" s="255"/>
      <c r="E116" s="255" t="str">
        <f t="shared" ref="E116:M116" si="153">IF(E$30=4,"Y","")</f>
        <v/>
      </c>
      <c r="F116" s="255" t="str">
        <f t="shared" si="153"/>
        <v/>
      </c>
      <c r="G116" s="255" t="str">
        <f t="shared" si="153"/>
        <v>Y</v>
      </c>
      <c r="H116" s="255" t="str">
        <f t="shared" si="153"/>
        <v/>
      </c>
      <c r="I116" s="255" t="str">
        <f t="shared" si="153"/>
        <v/>
      </c>
      <c r="J116" s="255" t="str">
        <f t="shared" si="153"/>
        <v/>
      </c>
      <c r="K116" s="255" t="str">
        <f t="shared" si="153"/>
        <v/>
      </c>
      <c r="L116" s="255" t="str">
        <f t="shared" si="153"/>
        <v/>
      </c>
      <c r="M116" s="255" t="str">
        <f t="shared" si="153"/>
        <v/>
      </c>
      <c r="O116" s="252" t="str">
        <f t="shared" ca="1" si="139"/>
        <v/>
      </c>
      <c r="P116" s="252" t="str">
        <f t="shared" ca="1" si="140"/>
        <v/>
      </c>
      <c r="Q116" s="252" t="str">
        <f t="shared" ca="1" si="141"/>
        <v>Y</v>
      </c>
      <c r="R116" s="252" t="str">
        <f t="shared" ca="1" si="142"/>
        <v/>
      </c>
      <c r="S116" s="252" t="str">
        <f t="shared" ca="1" si="143"/>
        <v/>
      </c>
      <c r="T116" s="252" t="str">
        <f t="shared" ca="1" si="144"/>
        <v>Y</v>
      </c>
      <c r="U116" s="252" t="str">
        <f t="shared" ca="1" si="145"/>
        <v/>
      </c>
      <c r="V116" s="252" t="str">
        <f t="shared" ca="1" si="146"/>
        <v/>
      </c>
      <c r="W116" s="252" t="str">
        <f t="shared" ca="1" si="147"/>
        <v/>
      </c>
      <c r="X116" s="252" t="str">
        <f t="shared" ca="1" si="148"/>
        <v/>
      </c>
      <c r="Y116" s="252" t="str">
        <f t="shared" ca="1" si="149"/>
        <v/>
      </c>
      <c r="Z116" s="252" t="str">
        <f t="shared" ca="1" si="150"/>
        <v/>
      </c>
      <c r="AB116" s="151"/>
      <c r="AC116" s="151"/>
      <c r="AD116" s="151"/>
      <c r="AE116" s="151"/>
      <c r="AF116" s="151"/>
      <c r="AG116" s="151"/>
      <c r="AH116" s="151"/>
      <c r="AI116" s="151"/>
      <c r="AJ116" s="151"/>
      <c r="AK116" s="151"/>
      <c r="AL116" s="151"/>
      <c r="AM116" s="151"/>
    </row>
    <row r="117" spans="1:39">
      <c r="A117" s="63" t="s">
        <v>194</v>
      </c>
      <c r="B117" s="54" t="s">
        <v>166</v>
      </c>
      <c r="C117" s="49" t="s">
        <v>42</v>
      </c>
      <c r="D117" s="255"/>
      <c r="E117" s="255" t="str">
        <f t="shared" ref="E117:M117" si="154">IF(E$30=5,"Y","")</f>
        <v/>
      </c>
      <c r="F117" s="255" t="str">
        <f t="shared" si="154"/>
        <v/>
      </c>
      <c r="G117" s="255" t="str">
        <f t="shared" si="154"/>
        <v/>
      </c>
      <c r="H117" s="255" t="str">
        <f t="shared" si="154"/>
        <v>Y</v>
      </c>
      <c r="I117" s="255" t="str">
        <f t="shared" si="154"/>
        <v/>
      </c>
      <c r="J117" s="255" t="str">
        <f t="shared" si="154"/>
        <v/>
      </c>
      <c r="K117" s="255" t="str">
        <f t="shared" si="154"/>
        <v/>
      </c>
      <c r="L117" s="255" t="str">
        <f t="shared" si="154"/>
        <v/>
      </c>
      <c r="M117" s="255" t="str">
        <f t="shared" si="154"/>
        <v/>
      </c>
      <c r="O117" s="252" t="str">
        <f t="shared" ca="1" si="139"/>
        <v/>
      </c>
      <c r="P117" s="252" t="str">
        <f t="shared" ca="1" si="140"/>
        <v>Y</v>
      </c>
      <c r="Q117" s="252" t="str">
        <f t="shared" ca="1" si="141"/>
        <v/>
      </c>
      <c r="R117" s="252" t="str">
        <f t="shared" ca="1" si="142"/>
        <v/>
      </c>
      <c r="S117" s="252" t="str">
        <f t="shared" ca="1" si="143"/>
        <v/>
      </c>
      <c r="T117" s="252" t="str">
        <f t="shared" ca="1" si="144"/>
        <v/>
      </c>
      <c r="U117" s="252" t="str">
        <f t="shared" ca="1" si="145"/>
        <v>Y</v>
      </c>
      <c r="V117" s="252" t="str">
        <f t="shared" ca="1" si="146"/>
        <v/>
      </c>
      <c r="W117" s="252" t="str">
        <f t="shared" ca="1" si="147"/>
        <v/>
      </c>
      <c r="X117" s="252" t="str">
        <f t="shared" ca="1" si="148"/>
        <v/>
      </c>
      <c r="Y117" s="252" t="str">
        <f t="shared" ca="1" si="149"/>
        <v/>
      </c>
      <c r="Z117" s="252" t="str">
        <f t="shared" ca="1" si="150"/>
        <v/>
      </c>
      <c r="AB117" s="151"/>
      <c r="AC117" s="151"/>
      <c r="AD117" s="151"/>
      <c r="AE117" s="151"/>
      <c r="AF117" s="151"/>
      <c r="AG117" s="151"/>
      <c r="AH117" s="151"/>
      <c r="AI117" s="151"/>
      <c r="AJ117" s="151"/>
      <c r="AK117" s="151"/>
      <c r="AL117" s="151"/>
      <c r="AM117" s="151"/>
    </row>
    <row r="118" spans="1:39">
      <c r="A118" s="63" t="s">
        <v>195</v>
      </c>
      <c r="B118" s="54" t="s">
        <v>166</v>
      </c>
      <c r="C118" s="49" t="s">
        <v>43</v>
      </c>
      <c r="D118" s="255"/>
      <c r="E118" s="255" t="str">
        <f t="shared" ref="E118:M118" si="155">IF(E$30=6,"Y","")</f>
        <v/>
      </c>
      <c r="F118" s="255" t="str">
        <f t="shared" si="155"/>
        <v/>
      </c>
      <c r="G118" s="255" t="str">
        <f t="shared" si="155"/>
        <v/>
      </c>
      <c r="H118" s="255" t="str">
        <f t="shared" si="155"/>
        <v/>
      </c>
      <c r="I118" s="255" t="str">
        <f t="shared" si="155"/>
        <v>Y</v>
      </c>
      <c r="J118" s="255" t="str">
        <f t="shared" si="155"/>
        <v/>
      </c>
      <c r="K118" s="255" t="str">
        <f t="shared" si="155"/>
        <v/>
      </c>
      <c r="L118" s="255" t="str">
        <f t="shared" si="155"/>
        <v/>
      </c>
      <c r="M118" s="255" t="str">
        <f t="shared" si="155"/>
        <v/>
      </c>
      <c r="O118" s="252" t="str">
        <f t="shared" ca="1" si="139"/>
        <v>Y</v>
      </c>
      <c r="P118" s="252" t="str">
        <f t="shared" ca="1" si="140"/>
        <v/>
      </c>
      <c r="Q118" s="252" t="str">
        <f t="shared" ca="1" si="141"/>
        <v/>
      </c>
      <c r="R118" s="252" t="str">
        <f t="shared" ca="1" si="142"/>
        <v/>
      </c>
      <c r="S118" s="252" t="str">
        <f t="shared" ca="1" si="143"/>
        <v/>
      </c>
      <c r="T118" s="252" t="str">
        <f t="shared" ca="1" si="144"/>
        <v/>
      </c>
      <c r="U118" s="252" t="str">
        <f t="shared" ca="1" si="145"/>
        <v/>
      </c>
      <c r="V118" s="252" t="str">
        <f t="shared" ca="1" si="146"/>
        <v>Y</v>
      </c>
      <c r="W118" s="252" t="str">
        <f t="shared" ca="1" si="147"/>
        <v/>
      </c>
      <c r="X118" s="252" t="str">
        <f t="shared" ca="1" si="148"/>
        <v/>
      </c>
      <c r="Y118" s="252" t="str">
        <f t="shared" ca="1" si="149"/>
        <v/>
      </c>
      <c r="Z118" s="252" t="str">
        <f t="shared" ca="1" si="150"/>
        <v/>
      </c>
      <c r="AB118" s="151"/>
      <c r="AC118" s="151"/>
      <c r="AD118" s="151"/>
      <c r="AE118" s="151"/>
      <c r="AF118" s="151"/>
      <c r="AG118" s="151"/>
      <c r="AH118" s="151"/>
      <c r="AI118" s="151"/>
      <c r="AJ118" s="151"/>
      <c r="AK118" s="151"/>
      <c r="AL118" s="151"/>
      <c r="AM118" s="151"/>
    </row>
    <row r="119" spans="1:39">
      <c r="A119" s="63" t="s">
        <v>196</v>
      </c>
      <c r="B119" s="54" t="s">
        <v>166</v>
      </c>
      <c r="C119" s="49" t="s">
        <v>44</v>
      </c>
      <c r="D119" s="255"/>
      <c r="E119" s="255" t="str">
        <f t="shared" ref="E119:M119" si="156">IF(E$30=7,"Y","")</f>
        <v/>
      </c>
      <c r="F119" s="255" t="str">
        <f t="shared" si="156"/>
        <v/>
      </c>
      <c r="G119" s="255" t="str">
        <f t="shared" si="156"/>
        <v/>
      </c>
      <c r="H119" s="255" t="str">
        <f t="shared" si="156"/>
        <v/>
      </c>
      <c r="I119" s="255" t="str">
        <f t="shared" si="156"/>
        <v/>
      </c>
      <c r="J119" s="255" t="str">
        <f t="shared" si="156"/>
        <v>Y</v>
      </c>
      <c r="K119" s="255" t="str">
        <f t="shared" si="156"/>
        <v/>
      </c>
      <c r="L119" s="255" t="str">
        <f t="shared" si="156"/>
        <v/>
      </c>
      <c r="M119" s="255" t="str">
        <f t="shared" si="156"/>
        <v/>
      </c>
      <c r="O119" s="252" t="str">
        <f t="shared" ca="1" si="139"/>
        <v/>
      </c>
      <c r="P119" s="252" t="str">
        <f t="shared" ca="1" si="140"/>
        <v/>
      </c>
      <c r="Q119" s="252" t="str">
        <f t="shared" ca="1" si="141"/>
        <v/>
      </c>
      <c r="R119" s="252" t="str">
        <f t="shared" ca="1" si="142"/>
        <v/>
      </c>
      <c r="S119" s="252" t="str">
        <f t="shared" ca="1" si="143"/>
        <v/>
      </c>
      <c r="T119" s="252" t="str">
        <f t="shared" ca="1" si="144"/>
        <v/>
      </c>
      <c r="U119" s="252" t="str">
        <f t="shared" ca="1" si="145"/>
        <v/>
      </c>
      <c r="V119" s="252" t="str">
        <f t="shared" ca="1" si="146"/>
        <v/>
      </c>
      <c r="W119" s="252" t="str">
        <f t="shared" ca="1" si="147"/>
        <v>Y</v>
      </c>
      <c r="X119" s="252" t="str">
        <f t="shared" ca="1" si="148"/>
        <v/>
      </c>
      <c r="Y119" s="252" t="str">
        <f t="shared" ca="1" si="149"/>
        <v/>
      </c>
      <c r="Z119" s="252" t="str">
        <f t="shared" ca="1" si="150"/>
        <v>Y</v>
      </c>
      <c r="AB119" s="151"/>
      <c r="AC119" s="151"/>
      <c r="AD119" s="151"/>
      <c r="AE119" s="151"/>
      <c r="AF119" s="151"/>
      <c r="AG119" s="151"/>
      <c r="AH119" s="151"/>
      <c r="AI119" s="151"/>
      <c r="AJ119" s="151"/>
      <c r="AK119" s="151"/>
      <c r="AL119" s="151"/>
      <c r="AM119" s="151"/>
    </row>
    <row r="120" spans="1:39">
      <c r="A120" s="63" t="s">
        <v>197</v>
      </c>
      <c r="B120" s="54" t="s">
        <v>166</v>
      </c>
      <c r="C120" s="49" t="s">
        <v>45</v>
      </c>
      <c r="D120" s="255"/>
      <c r="E120" s="255" t="str">
        <f t="shared" ref="E120:M120" si="157">IF(E$30=8,"Y","")</f>
        <v/>
      </c>
      <c r="F120" s="255" t="str">
        <f t="shared" si="157"/>
        <v/>
      </c>
      <c r="G120" s="255" t="str">
        <f t="shared" si="157"/>
        <v/>
      </c>
      <c r="H120" s="255" t="str">
        <f t="shared" si="157"/>
        <v/>
      </c>
      <c r="I120" s="255" t="str">
        <f t="shared" si="157"/>
        <v/>
      </c>
      <c r="J120" s="255" t="str">
        <f t="shared" si="157"/>
        <v/>
      </c>
      <c r="K120" s="255" t="str">
        <f t="shared" si="157"/>
        <v>Y</v>
      </c>
      <c r="L120" s="255" t="str">
        <f t="shared" si="157"/>
        <v/>
      </c>
      <c r="M120" s="255" t="str">
        <f t="shared" si="157"/>
        <v/>
      </c>
      <c r="O120" s="252" t="str">
        <f t="shared" ca="1" si="139"/>
        <v/>
      </c>
      <c r="P120" s="252" t="str">
        <f t="shared" ca="1" si="140"/>
        <v/>
      </c>
      <c r="Q120" s="252" t="str">
        <f t="shared" ca="1" si="141"/>
        <v/>
      </c>
      <c r="R120" s="252" t="str">
        <f t="shared" ca="1" si="142"/>
        <v/>
      </c>
      <c r="S120" s="252" t="str">
        <f t="shared" ca="1" si="143"/>
        <v/>
      </c>
      <c r="T120" s="252" t="str">
        <f t="shared" ca="1" si="144"/>
        <v/>
      </c>
      <c r="U120" s="252" t="str">
        <f t="shared" ca="1" si="145"/>
        <v/>
      </c>
      <c r="V120" s="252" t="str">
        <f t="shared" ca="1" si="146"/>
        <v/>
      </c>
      <c r="W120" s="252" t="str">
        <f t="shared" ca="1" si="147"/>
        <v/>
      </c>
      <c r="X120" s="252" t="str">
        <f t="shared" ca="1" si="148"/>
        <v>Y</v>
      </c>
      <c r="Y120" s="252" t="str">
        <f t="shared" ca="1" si="149"/>
        <v>Y</v>
      </c>
      <c r="Z120" s="252" t="str">
        <f t="shared" ca="1" si="150"/>
        <v/>
      </c>
      <c r="AB120" s="151"/>
      <c r="AC120" s="151"/>
      <c r="AD120" s="151"/>
      <c r="AE120" s="151"/>
      <c r="AF120" s="151"/>
      <c r="AG120" s="151"/>
      <c r="AH120" s="151"/>
      <c r="AI120" s="151"/>
      <c r="AJ120" s="151"/>
      <c r="AK120" s="151"/>
      <c r="AL120" s="151"/>
      <c r="AM120" s="151"/>
    </row>
    <row r="121" spans="1:39">
      <c r="A121" s="63" t="s">
        <v>198</v>
      </c>
      <c r="B121" s="54" t="s">
        <v>166</v>
      </c>
      <c r="C121" s="49" t="s">
        <v>46</v>
      </c>
      <c r="D121" s="255"/>
      <c r="E121" s="255" t="str">
        <f t="shared" ref="E121:M121" si="158">IF(E$30=9,"Y","")</f>
        <v/>
      </c>
      <c r="F121" s="255" t="str">
        <f t="shared" si="158"/>
        <v/>
      </c>
      <c r="G121" s="255" t="str">
        <f t="shared" si="158"/>
        <v/>
      </c>
      <c r="H121" s="255" t="str">
        <f t="shared" si="158"/>
        <v/>
      </c>
      <c r="I121" s="255" t="str">
        <f t="shared" si="158"/>
        <v/>
      </c>
      <c r="J121" s="255" t="str">
        <f t="shared" si="158"/>
        <v/>
      </c>
      <c r="K121" s="255" t="str">
        <f t="shared" si="158"/>
        <v/>
      </c>
      <c r="L121" s="255" t="str">
        <f t="shared" si="158"/>
        <v>Y</v>
      </c>
      <c r="M121" s="255" t="str">
        <f t="shared" si="158"/>
        <v/>
      </c>
      <c r="O121" s="252" t="str">
        <f t="shared" ca="1" si="139"/>
        <v/>
      </c>
      <c r="P121" s="252" t="str">
        <f t="shared" ca="1" si="140"/>
        <v/>
      </c>
      <c r="Q121" s="252" t="str">
        <f t="shared" ca="1" si="141"/>
        <v/>
      </c>
      <c r="R121" s="252" t="str">
        <f t="shared" ca="1" si="142"/>
        <v/>
      </c>
      <c r="S121" s="252" t="str">
        <f t="shared" ca="1" si="143"/>
        <v/>
      </c>
      <c r="T121" s="252" t="str">
        <f t="shared" ca="1" si="144"/>
        <v/>
      </c>
      <c r="U121" s="252" t="str">
        <f t="shared" ca="1" si="145"/>
        <v/>
      </c>
      <c r="V121" s="252" t="str">
        <f t="shared" ca="1" si="146"/>
        <v/>
      </c>
      <c r="W121" s="252" t="str">
        <f t="shared" ca="1" si="147"/>
        <v/>
      </c>
      <c r="X121" s="252" t="str">
        <f t="shared" ca="1" si="148"/>
        <v/>
      </c>
      <c r="Y121" s="252" t="str">
        <f t="shared" ca="1" si="149"/>
        <v/>
      </c>
      <c r="Z121" s="252" t="str">
        <f t="shared" ca="1" si="150"/>
        <v/>
      </c>
      <c r="AB121" s="151"/>
      <c r="AC121" s="151"/>
      <c r="AD121" s="151"/>
      <c r="AE121" s="151"/>
      <c r="AF121" s="151"/>
      <c r="AG121" s="151"/>
      <c r="AH121" s="151"/>
      <c r="AI121" s="151"/>
      <c r="AJ121" s="151"/>
      <c r="AK121" s="151"/>
      <c r="AL121" s="151"/>
      <c r="AM121" s="151"/>
    </row>
    <row r="122" spans="1:39">
      <c r="A122" s="63" t="s">
        <v>199</v>
      </c>
      <c r="B122" s="54" t="s">
        <v>166</v>
      </c>
      <c r="C122" s="49" t="s">
        <v>47</v>
      </c>
      <c r="D122" s="255"/>
      <c r="E122" s="255" t="str">
        <f t="shared" ref="E122:M122" si="159">IF(E$30=10,"Y","")</f>
        <v/>
      </c>
      <c r="F122" s="255" t="str">
        <f t="shared" si="159"/>
        <v/>
      </c>
      <c r="G122" s="255" t="str">
        <f t="shared" si="159"/>
        <v/>
      </c>
      <c r="H122" s="255" t="str">
        <f t="shared" si="159"/>
        <v/>
      </c>
      <c r="I122" s="255" t="str">
        <f t="shared" si="159"/>
        <v/>
      </c>
      <c r="J122" s="255" t="str">
        <f t="shared" si="159"/>
        <v/>
      </c>
      <c r="K122" s="255" t="str">
        <f t="shared" si="159"/>
        <v/>
      </c>
      <c r="L122" s="255" t="str">
        <f t="shared" si="159"/>
        <v/>
      </c>
      <c r="M122" s="255" t="str">
        <f t="shared" si="159"/>
        <v>Y</v>
      </c>
      <c r="O122" s="252" t="str">
        <f t="shared" ca="1" si="139"/>
        <v/>
      </c>
      <c r="P122" s="252" t="str">
        <f t="shared" ca="1" si="140"/>
        <v/>
      </c>
      <c r="Q122" s="252" t="str">
        <f t="shared" ca="1" si="141"/>
        <v/>
      </c>
      <c r="R122" s="252" t="str">
        <f t="shared" ca="1" si="142"/>
        <v/>
      </c>
      <c r="S122" s="252" t="str">
        <f t="shared" ca="1" si="143"/>
        <v/>
      </c>
      <c r="T122" s="252" t="str">
        <f t="shared" ca="1" si="144"/>
        <v/>
      </c>
      <c r="U122" s="252" t="str">
        <f t="shared" ca="1" si="145"/>
        <v/>
      </c>
      <c r="V122" s="252" t="str">
        <f t="shared" ca="1" si="146"/>
        <v/>
      </c>
      <c r="W122" s="252" t="str">
        <f t="shared" ca="1" si="147"/>
        <v/>
      </c>
      <c r="X122" s="252" t="str">
        <f t="shared" ca="1" si="148"/>
        <v/>
      </c>
      <c r="Y122" s="252" t="str">
        <f t="shared" ca="1" si="149"/>
        <v/>
      </c>
      <c r="Z122" s="252" t="str">
        <f t="shared" ca="1" si="150"/>
        <v/>
      </c>
      <c r="AB122" s="151"/>
      <c r="AC122" s="151"/>
      <c r="AD122" s="151"/>
      <c r="AE122" s="151"/>
      <c r="AF122" s="151"/>
      <c r="AG122" s="151"/>
      <c r="AH122" s="151"/>
      <c r="AI122" s="151"/>
      <c r="AJ122" s="151"/>
      <c r="AK122" s="151"/>
      <c r="AL122" s="151"/>
      <c r="AM122" s="151"/>
    </row>
    <row r="123" spans="1:39">
      <c r="A123" s="63" t="s">
        <v>200</v>
      </c>
      <c r="B123" s="54" t="s">
        <v>166</v>
      </c>
      <c r="C123" s="49" t="s">
        <v>48</v>
      </c>
      <c r="D123" s="255"/>
      <c r="E123" s="255" t="str">
        <f t="shared" ref="E123:M123" si="160">IF(E$30=11,"Y","")</f>
        <v/>
      </c>
      <c r="F123" s="255" t="str">
        <f t="shared" si="160"/>
        <v/>
      </c>
      <c r="G123" s="255" t="str">
        <f t="shared" si="160"/>
        <v/>
      </c>
      <c r="H123" s="255" t="str">
        <f t="shared" si="160"/>
        <v/>
      </c>
      <c r="I123" s="255" t="str">
        <f t="shared" si="160"/>
        <v/>
      </c>
      <c r="J123" s="255" t="str">
        <f t="shared" si="160"/>
        <v/>
      </c>
      <c r="K123" s="255" t="str">
        <f t="shared" si="160"/>
        <v/>
      </c>
      <c r="L123" s="255" t="str">
        <f t="shared" si="160"/>
        <v/>
      </c>
      <c r="M123" s="255" t="str">
        <f t="shared" si="160"/>
        <v/>
      </c>
      <c r="O123" s="252" t="str">
        <f t="shared" ca="1" si="139"/>
        <v/>
      </c>
      <c r="P123" s="252" t="str">
        <f t="shared" ca="1" si="140"/>
        <v/>
      </c>
      <c r="Q123" s="252" t="str">
        <f t="shared" ca="1" si="141"/>
        <v/>
      </c>
      <c r="R123" s="252" t="str">
        <f t="shared" ca="1" si="142"/>
        <v/>
      </c>
      <c r="S123" s="252" t="str">
        <f t="shared" ca="1" si="143"/>
        <v/>
      </c>
      <c r="T123" s="252" t="str">
        <f t="shared" ca="1" si="144"/>
        <v/>
      </c>
      <c r="U123" s="252" t="str">
        <f t="shared" ca="1" si="145"/>
        <v/>
      </c>
      <c r="V123" s="252" t="str">
        <f t="shared" ca="1" si="146"/>
        <v/>
      </c>
      <c r="W123" s="252" t="str">
        <f t="shared" ca="1" si="147"/>
        <v/>
      </c>
      <c r="X123" s="252" t="str">
        <f t="shared" ca="1" si="148"/>
        <v/>
      </c>
      <c r="Y123" s="252" t="str">
        <f t="shared" ca="1" si="149"/>
        <v/>
      </c>
      <c r="Z123" s="252" t="str">
        <f t="shared" ca="1" si="150"/>
        <v/>
      </c>
      <c r="AB123" s="151"/>
      <c r="AC123" s="151"/>
      <c r="AD123" s="151"/>
      <c r="AE123" s="151"/>
      <c r="AF123" s="151"/>
      <c r="AG123" s="151"/>
      <c r="AH123" s="151"/>
      <c r="AI123" s="151"/>
      <c r="AJ123" s="151"/>
      <c r="AK123" s="151"/>
      <c r="AL123" s="151"/>
      <c r="AM123" s="151"/>
    </row>
    <row r="124" spans="1:39">
      <c r="A124" s="63" t="s">
        <v>201</v>
      </c>
      <c r="B124" s="54" t="s">
        <v>166</v>
      </c>
      <c r="C124" s="49" t="s">
        <v>49</v>
      </c>
      <c r="D124" s="255"/>
      <c r="E124" s="255" t="str">
        <f t="shared" ref="E124:M124" si="161">IF(E$30=12,"Y","")</f>
        <v/>
      </c>
      <c r="F124" s="255" t="str">
        <f t="shared" si="161"/>
        <v/>
      </c>
      <c r="G124" s="255" t="str">
        <f t="shared" si="161"/>
        <v/>
      </c>
      <c r="H124" s="255" t="str">
        <f t="shared" si="161"/>
        <v/>
      </c>
      <c r="I124" s="255" t="str">
        <f t="shared" si="161"/>
        <v/>
      </c>
      <c r="J124" s="255" t="str">
        <f t="shared" si="161"/>
        <v/>
      </c>
      <c r="K124" s="255" t="str">
        <f t="shared" si="161"/>
        <v/>
      </c>
      <c r="L124" s="255" t="str">
        <f t="shared" si="161"/>
        <v/>
      </c>
      <c r="M124" s="255" t="str">
        <f t="shared" si="161"/>
        <v/>
      </c>
      <c r="O124" s="252" t="str">
        <f t="shared" ca="1" si="139"/>
        <v/>
      </c>
      <c r="P124" s="252" t="str">
        <f t="shared" ca="1" si="140"/>
        <v/>
      </c>
      <c r="Q124" s="252" t="str">
        <f t="shared" ca="1" si="141"/>
        <v/>
      </c>
      <c r="R124" s="252" t="str">
        <f t="shared" ca="1" si="142"/>
        <v/>
      </c>
      <c r="S124" s="252" t="str">
        <f t="shared" ca="1" si="143"/>
        <v/>
      </c>
      <c r="T124" s="252" t="str">
        <f t="shared" ca="1" si="144"/>
        <v/>
      </c>
      <c r="U124" s="252" t="str">
        <f t="shared" ca="1" si="145"/>
        <v/>
      </c>
      <c r="V124" s="252" t="str">
        <f t="shared" ca="1" si="146"/>
        <v/>
      </c>
      <c r="W124" s="252" t="str">
        <f t="shared" ca="1" si="147"/>
        <v/>
      </c>
      <c r="X124" s="252" t="str">
        <f t="shared" ca="1" si="148"/>
        <v/>
      </c>
      <c r="Y124" s="252" t="str">
        <f t="shared" ca="1" si="149"/>
        <v/>
      </c>
      <c r="Z124" s="252" t="str">
        <f t="shared" ca="1" si="150"/>
        <v/>
      </c>
      <c r="AB124" s="151"/>
      <c r="AC124" s="151"/>
      <c r="AD124" s="151"/>
      <c r="AE124" s="151"/>
      <c r="AF124" s="151"/>
      <c r="AG124" s="151"/>
      <c r="AH124" s="151"/>
      <c r="AI124" s="151"/>
      <c r="AJ124" s="151"/>
      <c r="AK124" s="151"/>
      <c r="AL124" s="151"/>
      <c r="AM124" s="151"/>
    </row>
    <row r="125" spans="1:39" ht="13.8" thickBot="1">
      <c r="A125" s="64"/>
      <c r="B125" s="65"/>
      <c r="C125" s="66"/>
      <c r="D125" s="67"/>
      <c r="E125" s="67"/>
      <c r="F125" s="67"/>
      <c r="G125" s="67"/>
      <c r="H125" s="67"/>
      <c r="I125" s="67"/>
      <c r="J125" s="67"/>
      <c r="K125" s="67"/>
      <c r="L125" s="67"/>
      <c r="M125" s="67"/>
      <c r="N125" s="60"/>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row>
    <row r="127" spans="1:39" ht="15.6" thickBot="1">
      <c r="A127" s="451" t="s">
        <v>582</v>
      </c>
      <c r="B127" s="150"/>
      <c r="C127" s="150"/>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row>
    <row r="128" spans="1:39">
      <c r="A128" s="452"/>
      <c r="B128" s="453"/>
      <c r="C128" s="453"/>
      <c r="D128" s="453"/>
      <c r="E128" s="453"/>
      <c r="F128" s="453"/>
      <c r="G128" s="453"/>
      <c r="H128" s="453"/>
      <c r="I128" s="453"/>
      <c r="J128" s="453"/>
      <c r="K128" s="453"/>
      <c r="L128" s="453"/>
      <c r="M128" s="453"/>
      <c r="N128" s="453"/>
      <c r="O128" s="453"/>
      <c r="P128" s="453"/>
      <c r="Q128" s="453"/>
      <c r="R128" s="453"/>
      <c r="S128" s="453"/>
      <c r="T128" s="453"/>
      <c r="U128" s="453"/>
      <c r="V128" s="453"/>
      <c r="W128" s="453"/>
      <c r="X128" s="453"/>
      <c r="Y128" s="453"/>
      <c r="Z128" s="453"/>
      <c r="AA128" s="453"/>
      <c r="AB128" s="453"/>
      <c r="AC128" s="453"/>
      <c r="AD128" s="453"/>
      <c r="AE128" s="453"/>
      <c r="AF128" s="453"/>
      <c r="AG128" s="453"/>
      <c r="AH128" s="453"/>
      <c r="AI128" s="453"/>
      <c r="AJ128" s="453"/>
      <c r="AK128" s="453"/>
      <c r="AL128" s="453"/>
      <c r="AM128" s="454"/>
    </row>
    <row r="129" spans="1:39">
      <c r="A129" s="455"/>
      <c r="B129" s="174"/>
      <c r="C129" s="174"/>
      <c r="D129" s="174"/>
      <c r="E129" s="174"/>
      <c r="F129" s="174"/>
      <c r="G129" s="174"/>
      <c r="H129" s="174"/>
      <c r="I129" s="174"/>
      <c r="J129" s="174"/>
      <c r="K129" s="174"/>
      <c r="L129" s="174"/>
      <c r="M129" s="174"/>
      <c r="N129" s="174"/>
      <c r="O129" s="174"/>
      <c r="P129" s="174"/>
      <c r="Q129" s="174"/>
      <c r="R129" s="174"/>
      <c r="S129" s="174"/>
      <c r="T129" s="174"/>
      <c r="U129" s="174"/>
      <c r="V129" s="174"/>
      <c r="W129" s="174"/>
      <c r="X129" s="174"/>
      <c r="Y129" s="174"/>
      <c r="Z129" s="174"/>
      <c r="AA129" s="174"/>
      <c r="AB129" s="174"/>
      <c r="AC129" s="174"/>
      <c r="AD129" s="174"/>
      <c r="AE129" s="174"/>
      <c r="AF129" s="174"/>
      <c r="AG129" s="174"/>
      <c r="AH129" s="174"/>
      <c r="AI129" s="174"/>
      <c r="AJ129" s="174"/>
      <c r="AK129" s="174"/>
      <c r="AL129" s="174"/>
      <c r="AM129" s="456"/>
    </row>
    <row r="130" spans="1:39">
      <c r="A130" s="455"/>
      <c r="B130" s="174"/>
      <c r="C130" s="174"/>
      <c r="D130" s="174"/>
      <c r="E130" s="174"/>
      <c r="F130" s="174"/>
      <c r="G130" s="174"/>
      <c r="H130" s="174"/>
      <c r="I130" s="174"/>
      <c r="J130" s="174"/>
      <c r="K130" s="174"/>
      <c r="L130" s="174"/>
      <c r="M130" s="174"/>
      <c r="N130" s="174"/>
      <c r="O130" s="174"/>
      <c r="P130" s="174"/>
      <c r="Q130" s="174"/>
      <c r="R130" s="174"/>
      <c r="S130" s="174"/>
      <c r="T130" s="174"/>
      <c r="U130" s="174"/>
      <c r="V130" s="174"/>
      <c r="W130" s="174"/>
      <c r="X130" s="174"/>
      <c r="Y130" s="174"/>
      <c r="Z130" s="174"/>
      <c r="AA130" s="174"/>
      <c r="AB130" s="174"/>
      <c r="AC130" s="174"/>
      <c r="AD130" s="174"/>
      <c r="AE130" s="174"/>
      <c r="AF130" s="174"/>
      <c r="AG130" s="174"/>
      <c r="AH130" s="174"/>
      <c r="AI130" s="174"/>
      <c r="AJ130" s="174"/>
      <c r="AK130" s="174"/>
      <c r="AL130" s="174"/>
      <c r="AM130" s="456"/>
    </row>
    <row r="131" spans="1:39">
      <c r="A131" s="455"/>
      <c r="B131" s="174"/>
      <c r="C131" s="174"/>
      <c r="D131" s="174"/>
      <c r="E131" s="174"/>
      <c r="F131" s="174"/>
      <c r="G131" s="174"/>
      <c r="H131" s="174"/>
      <c r="I131" s="174"/>
      <c r="J131" s="174"/>
      <c r="K131" s="174"/>
      <c r="L131" s="174"/>
      <c r="M131" s="174"/>
      <c r="N131" s="174"/>
      <c r="O131" s="174"/>
      <c r="P131" s="174"/>
      <c r="Q131" s="174"/>
      <c r="R131" s="174"/>
      <c r="S131" s="174"/>
      <c r="T131" s="174"/>
      <c r="U131" s="174"/>
      <c r="V131" s="174"/>
      <c r="W131" s="174"/>
      <c r="X131" s="174"/>
      <c r="Y131" s="174"/>
      <c r="Z131" s="174"/>
      <c r="AA131" s="174"/>
      <c r="AB131" s="174"/>
      <c r="AC131" s="174"/>
      <c r="AD131" s="174"/>
      <c r="AE131" s="174"/>
      <c r="AF131" s="174"/>
      <c r="AG131" s="174"/>
      <c r="AH131" s="174"/>
      <c r="AI131" s="174"/>
      <c r="AJ131" s="174"/>
      <c r="AK131" s="174"/>
      <c r="AL131" s="174"/>
      <c r="AM131" s="456"/>
    </row>
    <row r="132" spans="1:39">
      <c r="A132" s="455"/>
      <c r="B132" s="174"/>
      <c r="C132" s="174"/>
      <c r="D132" s="174"/>
      <c r="E132" s="174"/>
      <c r="F132" s="174"/>
      <c r="G132" s="174"/>
      <c r="H132" s="174"/>
      <c r="I132" s="174"/>
      <c r="J132" s="174"/>
      <c r="K132" s="174"/>
      <c r="L132" s="174"/>
      <c r="M132" s="174"/>
      <c r="N132" s="174"/>
      <c r="O132" s="174"/>
      <c r="P132" s="174"/>
      <c r="Q132" s="174"/>
      <c r="R132" s="174"/>
      <c r="S132" s="174"/>
      <c r="T132" s="174"/>
      <c r="U132" s="174"/>
      <c r="V132" s="174"/>
      <c r="W132" s="174"/>
      <c r="X132" s="174"/>
      <c r="Y132" s="174"/>
      <c r="Z132" s="174"/>
      <c r="AA132" s="174"/>
      <c r="AB132" s="174"/>
      <c r="AC132" s="174"/>
      <c r="AD132" s="174"/>
      <c r="AE132" s="174"/>
      <c r="AF132" s="174"/>
      <c r="AG132" s="174"/>
      <c r="AH132" s="174"/>
      <c r="AI132" s="174"/>
      <c r="AJ132" s="174"/>
      <c r="AK132" s="174"/>
      <c r="AL132" s="174"/>
      <c r="AM132" s="456"/>
    </row>
    <row r="133" spans="1:39">
      <c r="A133" s="455"/>
      <c r="B133" s="174"/>
      <c r="C133" s="174"/>
      <c r="D133" s="174"/>
      <c r="E133" s="174"/>
      <c r="F133" s="174"/>
      <c r="G133" s="174"/>
      <c r="H133" s="174"/>
      <c r="I133" s="174"/>
      <c r="J133" s="174"/>
      <c r="K133" s="174"/>
      <c r="L133" s="174"/>
      <c r="M133" s="174"/>
      <c r="N133" s="174"/>
      <c r="O133" s="174"/>
      <c r="P133" s="174"/>
      <c r="Q133" s="174"/>
      <c r="R133" s="174"/>
      <c r="S133" s="174"/>
      <c r="T133" s="174"/>
      <c r="U133" s="174"/>
      <c r="V133" s="174"/>
      <c r="W133" s="174"/>
      <c r="X133" s="174"/>
      <c r="Y133" s="174"/>
      <c r="Z133" s="174"/>
      <c r="AA133" s="174"/>
      <c r="AB133" s="174"/>
      <c r="AC133" s="174"/>
      <c r="AD133" s="174"/>
      <c r="AE133" s="174"/>
      <c r="AF133" s="174"/>
      <c r="AG133" s="174"/>
      <c r="AH133" s="174"/>
      <c r="AI133" s="174"/>
      <c r="AJ133" s="174"/>
      <c r="AK133" s="174"/>
      <c r="AL133" s="174"/>
      <c r="AM133" s="456"/>
    </row>
    <row r="134" spans="1:39">
      <c r="A134" s="455"/>
      <c r="B134" s="174"/>
      <c r="C134" s="174"/>
      <c r="D134" s="174"/>
      <c r="E134" s="174"/>
      <c r="F134" s="174"/>
      <c r="G134" s="174"/>
      <c r="H134" s="174"/>
      <c r="I134" s="174"/>
      <c r="J134" s="174"/>
      <c r="K134" s="174"/>
      <c r="L134" s="174"/>
      <c r="M134" s="174"/>
      <c r="N134" s="174"/>
      <c r="O134" s="174"/>
      <c r="P134" s="174"/>
      <c r="Q134" s="174"/>
      <c r="R134" s="174"/>
      <c r="S134" s="174"/>
      <c r="T134" s="174"/>
      <c r="U134" s="174"/>
      <c r="V134" s="174"/>
      <c r="W134" s="174"/>
      <c r="X134" s="174"/>
      <c r="Y134" s="174"/>
      <c r="Z134" s="174"/>
      <c r="AA134" s="174"/>
      <c r="AB134" s="174"/>
      <c r="AC134" s="174"/>
      <c r="AD134" s="174"/>
      <c r="AE134" s="174"/>
      <c r="AF134" s="174"/>
      <c r="AG134" s="174"/>
      <c r="AH134" s="174"/>
      <c r="AI134" s="174"/>
      <c r="AJ134" s="174"/>
      <c r="AK134" s="174"/>
      <c r="AL134" s="174"/>
      <c r="AM134" s="456"/>
    </row>
    <row r="135" spans="1:39">
      <c r="A135" s="455"/>
      <c r="B135" s="174"/>
      <c r="C135" s="174"/>
      <c r="D135" s="174"/>
      <c r="E135" s="174"/>
      <c r="F135" s="174"/>
      <c r="G135" s="174"/>
      <c r="H135" s="174"/>
      <c r="I135" s="174"/>
      <c r="J135" s="174"/>
      <c r="K135" s="174"/>
      <c r="L135" s="174"/>
      <c r="M135" s="174"/>
      <c r="N135" s="174"/>
      <c r="O135" s="174"/>
      <c r="P135" s="174"/>
      <c r="Q135" s="174"/>
      <c r="R135" s="174"/>
      <c r="S135" s="174"/>
      <c r="T135" s="174"/>
      <c r="U135" s="174"/>
      <c r="V135" s="174"/>
      <c r="W135" s="174"/>
      <c r="X135" s="174"/>
      <c r="Y135" s="174"/>
      <c r="Z135" s="174"/>
      <c r="AA135" s="174"/>
      <c r="AB135" s="174"/>
      <c r="AC135" s="174"/>
      <c r="AD135" s="174"/>
      <c r="AE135" s="174"/>
      <c r="AF135" s="174"/>
      <c r="AG135" s="174"/>
      <c r="AH135" s="174"/>
      <c r="AI135" s="174"/>
      <c r="AJ135" s="174"/>
      <c r="AK135" s="174"/>
      <c r="AL135" s="174"/>
      <c r="AM135" s="456"/>
    </row>
    <row r="136" spans="1:39">
      <c r="A136" s="455"/>
      <c r="B136" s="174"/>
      <c r="C136" s="174"/>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456"/>
    </row>
    <row r="137" spans="1:39">
      <c r="A137" s="455"/>
      <c r="B137" s="174"/>
      <c r="C137" s="174"/>
      <c r="D137" s="174"/>
      <c r="E137" s="174"/>
      <c r="F137" s="174"/>
      <c r="G137" s="174"/>
      <c r="H137" s="174"/>
      <c r="I137" s="174"/>
      <c r="J137" s="174"/>
      <c r="K137" s="174"/>
      <c r="L137" s="174"/>
      <c r="M137" s="174"/>
      <c r="N137" s="174"/>
      <c r="O137" s="174"/>
      <c r="P137" s="174"/>
      <c r="Q137" s="174"/>
      <c r="R137" s="174"/>
      <c r="S137" s="174"/>
      <c r="T137" s="174"/>
      <c r="U137" s="174"/>
      <c r="V137" s="174"/>
      <c r="W137" s="174"/>
      <c r="X137" s="174"/>
      <c r="Y137" s="174"/>
      <c r="Z137" s="174"/>
      <c r="AA137" s="174"/>
      <c r="AB137" s="174"/>
      <c r="AC137" s="174"/>
      <c r="AD137" s="174"/>
      <c r="AE137" s="174"/>
      <c r="AF137" s="174"/>
      <c r="AG137" s="174"/>
      <c r="AH137" s="174"/>
      <c r="AI137" s="174"/>
      <c r="AJ137" s="174"/>
      <c r="AK137" s="174"/>
      <c r="AL137" s="174"/>
      <c r="AM137" s="456"/>
    </row>
    <row r="138" spans="1:39">
      <c r="A138" s="455"/>
      <c r="B138" s="174"/>
      <c r="C138" s="174"/>
      <c r="D138" s="174"/>
      <c r="E138" s="174"/>
      <c r="F138" s="174"/>
      <c r="G138" s="174"/>
      <c r="H138" s="174"/>
      <c r="I138" s="174"/>
      <c r="J138" s="174"/>
      <c r="K138" s="174"/>
      <c r="L138" s="174"/>
      <c r="M138" s="174"/>
      <c r="N138" s="174"/>
      <c r="O138" s="174"/>
      <c r="P138" s="174"/>
      <c r="Q138" s="174"/>
      <c r="R138" s="174"/>
      <c r="S138" s="174"/>
      <c r="T138" s="174"/>
      <c r="U138" s="174"/>
      <c r="V138" s="174"/>
      <c r="W138" s="174"/>
      <c r="X138" s="174"/>
      <c r="Y138" s="174"/>
      <c r="Z138" s="174"/>
      <c r="AA138" s="174"/>
      <c r="AB138" s="174"/>
      <c r="AC138" s="174"/>
      <c r="AD138" s="174"/>
      <c r="AE138" s="174"/>
      <c r="AF138" s="174"/>
      <c r="AG138" s="174"/>
      <c r="AH138" s="174"/>
      <c r="AI138" s="174"/>
      <c r="AJ138" s="174"/>
      <c r="AK138" s="174"/>
      <c r="AL138" s="174"/>
      <c r="AM138" s="456"/>
    </row>
    <row r="139" spans="1:39">
      <c r="A139" s="455"/>
      <c r="B139" s="174"/>
      <c r="C139" s="174"/>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4"/>
      <c r="AB139" s="174"/>
      <c r="AC139" s="174"/>
      <c r="AD139" s="174"/>
      <c r="AE139" s="174"/>
      <c r="AF139" s="174"/>
      <c r="AG139" s="174"/>
      <c r="AH139" s="174"/>
      <c r="AI139" s="174"/>
      <c r="AJ139" s="174"/>
      <c r="AK139" s="174"/>
      <c r="AL139" s="174"/>
      <c r="AM139" s="456"/>
    </row>
    <row r="140" spans="1:39">
      <c r="A140" s="455"/>
      <c r="B140" s="174"/>
      <c r="C140" s="174"/>
      <c r="D140" s="174"/>
      <c r="E140" s="174"/>
      <c r="F140" s="174"/>
      <c r="G140" s="174"/>
      <c r="H140" s="174"/>
      <c r="I140" s="174"/>
      <c r="J140" s="174"/>
      <c r="K140" s="174"/>
      <c r="L140" s="174"/>
      <c r="M140" s="174"/>
      <c r="N140" s="174"/>
      <c r="O140" s="174"/>
      <c r="P140" s="174"/>
      <c r="Q140" s="174"/>
      <c r="R140" s="174"/>
      <c r="S140" s="174"/>
      <c r="T140" s="174"/>
      <c r="U140" s="174"/>
      <c r="V140" s="174"/>
      <c r="W140" s="174"/>
      <c r="X140" s="174"/>
      <c r="Y140" s="174"/>
      <c r="Z140" s="174"/>
      <c r="AA140" s="174"/>
      <c r="AB140" s="174"/>
      <c r="AC140" s="174"/>
      <c r="AD140" s="174"/>
      <c r="AE140" s="174"/>
      <c r="AF140" s="174"/>
      <c r="AG140" s="174"/>
      <c r="AH140" s="174"/>
      <c r="AI140" s="174"/>
      <c r="AJ140" s="174"/>
      <c r="AK140" s="174"/>
      <c r="AL140" s="174"/>
      <c r="AM140" s="456"/>
    </row>
    <row r="141" spans="1:39">
      <c r="A141" s="455"/>
      <c r="B141" s="174"/>
      <c r="C141" s="174"/>
      <c r="D141" s="174"/>
      <c r="E141" s="174"/>
      <c r="F141" s="174"/>
      <c r="G141" s="174"/>
      <c r="H141" s="174"/>
      <c r="I141" s="174"/>
      <c r="J141" s="174"/>
      <c r="K141" s="174"/>
      <c r="L141" s="174"/>
      <c r="M141" s="174"/>
      <c r="N141" s="174"/>
      <c r="O141" s="174"/>
      <c r="P141" s="174"/>
      <c r="Q141" s="174"/>
      <c r="R141" s="174"/>
      <c r="S141" s="174"/>
      <c r="T141" s="174"/>
      <c r="U141" s="174"/>
      <c r="V141" s="174"/>
      <c r="W141" s="174"/>
      <c r="X141" s="174"/>
      <c r="Y141" s="174"/>
      <c r="Z141" s="174"/>
      <c r="AA141" s="174"/>
      <c r="AB141" s="174"/>
      <c r="AC141" s="174"/>
      <c r="AD141" s="174"/>
      <c r="AE141" s="174"/>
      <c r="AF141" s="174"/>
      <c r="AG141" s="174"/>
      <c r="AH141" s="174"/>
      <c r="AI141" s="174"/>
      <c r="AJ141" s="174"/>
      <c r="AK141" s="174"/>
      <c r="AL141" s="174"/>
      <c r="AM141" s="456"/>
    </row>
    <row r="142" spans="1:39">
      <c r="A142" s="455"/>
      <c r="B142" s="174"/>
      <c r="C142" s="174"/>
      <c r="D142" s="174"/>
      <c r="E142" s="174"/>
      <c r="F142" s="174"/>
      <c r="G142" s="174"/>
      <c r="H142" s="174"/>
      <c r="I142" s="174"/>
      <c r="J142" s="174"/>
      <c r="K142" s="174"/>
      <c r="L142" s="174"/>
      <c r="M142" s="174"/>
      <c r="N142" s="174"/>
      <c r="O142" s="174"/>
      <c r="P142" s="174"/>
      <c r="Q142" s="174"/>
      <c r="R142" s="174"/>
      <c r="S142" s="174"/>
      <c r="T142" s="174"/>
      <c r="U142" s="174"/>
      <c r="V142" s="174"/>
      <c r="W142" s="174"/>
      <c r="X142" s="174"/>
      <c r="Y142" s="174"/>
      <c r="Z142" s="174"/>
      <c r="AA142" s="174"/>
      <c r="AB142" s="174"/>
      <c r="AC142" s="174"/>
      <c r="AD142" s="174"/>
      <c r="AE142" s="174"/>
      <c r="AF142" s="174"/>
      <c r="AG142" s="174"/>
      <c r="AH142" s="174"/>
      <c r="AI142" s="174"/>
      <c r="AJ142" s="174"/>
      <c r="AK142" s="174"/>
      <c r="AL142" s="174"/>
      <c r="AM142" s="456"/>
    </row>
    <row r="143" spans="1:39">
      <c r="A143" s="455"/>
      <c r="B143" s="174"/>
      <c r="C143" s="174"/>
      <c r="D143" s="174"/>
      <c r="E143" s="174"/>
      <c r="F143" s="174"/>
      <c r="G143" s="174"/>
      <c r="H143" s="174"/>
      <c r="I143" s="174"/>
      <c r="J143" s="174"/>
      <c r="K143" s="174"/>
      <c r="L143" s="174"/>
      <c r="M143" s="174"/>
      <c r="N143" s="174"/>
      <c r="O143" s="174"/>
      <c r="P143" s="174"/>
      <c r="Q143" s="174"/>
      <c r="R143" s="174"/>
      <c r="S143" s="174"/>
      <c r="T143" s="174"/>
      <c r="U143" s="174"/>
      <c r="V143" s="174"/>
      <c r="W143" s="174"/>
      <c r="X143" s="174"/>
      <c r="Y143" s="174"/>
      <c r="Z143" s="174"/>
      <c r="AA143" s="174"/>
      <c r="AB143" s="174"/>
      <c r="AC143" s="174"/>
      <c r="AD143" s="174"/>
      <c r="AE143" s="174"/>
      <c r="AF143" s="174"/>
      <c r="AG143" s="174"/>
      <c r="AH143" s="174"/>
      <c r="AI143" s="174"/>
      <c r="AJ143" s="174"/>
      <c r="AK143" s="174"/>
      <c r="AL143" s="174"/>
      <c r="AM143" s="456"/>
    </row>
    <row r="144" spans="1:39">
      <c r="A144" s="455"/>
      <c r="B144" s="174"/>
      <c r="C144" s="174"/>
      <c r="D144" s="174"/>
      <c r="E144" s="174"/>
      <c r="F144" s="174"/>
      <c r="G144" s="174"/>
      <c r="H144" s="174"/>
      <c r="I144" s="174"/>
      <c r="J144" s="174"/>
      <c r="K144" s="174"/>
      <c r="L144" s="174"/>
      <c r="M144" s="174"/>
      <c r="N144" s="174"/>
      <c r="O144" s="174"/>
      <c r="P144" s="174"/>
      <c r="Q144" s="174"/>
      <c r="R144" s="174"/>
      <c r="S144" s="174"/>
      <c r="T144" s="174"/>
      <c r="U144" s="174"/>
      <c r="V144" s="174"/>
      <c r="W144" s="174"/>
      <c r="X144" s="174"/>
      <c r="Y144" s="174"/>
      <c r="Z144" s="174"/>
      <c r="AA144" s="174"/>
      <c r="AB144" s="174"/>
      <c r="AC144" s="174"/>
      <c r="AD144" s="174"/>
      <c r="AE144" s="174"/>
      <c r="AF144" s="174"/>
      <c r="AG144" s="174"/>
      <c r="AH144" s="174"/>
      <c r="AI144" s="174"/>
      <c r="AJ144" s="174"/>
      <c r="AK144" s="174"/>
      <c r="AL144" s="174"/>
      <c r="AM144" s="456"/>
    </row>
    <row r="145" spans="1:39">
      <c r="A145" s="455"/>
      <c r="B145" s="174"/>
      <c r="C145" s="174"/>
      <c r="D145" s="174"/>
      <c r="E145" s="174"/>
      <c r="F145" s="174"/>
      <c r="G145" s="174"/>
      <c r="H145" s="174"/>
      <c r="I145" s="174"/>
      <c r="J145" s="174"/>
      <c r="K145" s="174"/>
      <c r="L145" s="174"/>
      <c r="M145" s="174"/>
      <c r="N145" s="174"/>
      <c r="O145" s="174"/>
      <c r="P145" s="174"/>
      <c r="Q145" s="174"/>
      <c r="R145" s="174"/>
      <c r="S145" s="174"/>
      <c r="T145" s="174"/>
      <c r="U145" s="174"/>
      <c r="V145" s="174"/>
      <c r="W145" s="174"/>
      <c r="X145" s="174"/>
      <c r="Y145" s="174"/>
      <c r="Z145" s="174"/>
      <c r="AA145" s="174"/>
      <c r="AB145" s="174"/>
      <c r="AC145" s="174"/>
      <c r="AD145" s="174"/>
      <c r="AE145" s="174"/>
      <c r="AF145" s="174"/>
      <c r="AG145" s="174"/>
      <c r="AH145" s="174"/>
      <c r="AI145" s="174"/>
      <c r="AJ145" s="174"/>
      <c r="AK145" s="174"/>
      <c r="AL145" s="174"/>
      <c r="AM145" s="456"/>
    </row>
    <row r="146" spans="1:39">
      <c r="A146" s="455"/>
      <c r="B146" s="174"/>
      <c r="C146" s="174"/>
      <c r="D146" s="174"/>
      <c r="E146" s="174"/>
      <c r="F146" s="174"/>
      <c r="G146" s="174"/>
      <c r="H146" s="174"/>
      <c r="I146" s="174"/>
      <c r="J146" s="174"/>
      <c r="K146" s="174"/>
      <c r="L146" s="174"/>
      <c r="M146" s="174"/>
      <c r="N146" s="174"/>
      <c r="O146" s="174"/>
      <c r="P146" s="174"/>
      <c r="Q146" s="174"/>
      <c r="R146" s="174"/>
      <c r="S146" s="174"/>
      <c r="T146" s="174"/>
      <c r="U146" s="174"/>
      <c r="V146" s="174"/>
      <c r="W146" s="174"/>
      <c r="X146" s="174"/>
      <c r="Y146" s="174"/>
      <c r="Z146" s="174"/>
      <c r="AA146" s="174"/>
      <c r="AB146" s="174"/>
      <c r="AC146" s="174"/>
      <c r="AD146" s="174"/>
      <c r="AE146" s="174"/>
      <c r="AF146" s="174"/>
      <c r="AG146" s="174"/>
      <c r="AH146" s="174"/>
      <c r="AI146" s="174"/>
      <c r="AJ146" s="174"/>
      <c r="AK146" s="174"/>
      <c r="AL146" s="174"/>
      <c r="AM146" s="456"/>
    </row>
    <row r="147" spans="1:39">
      <c r="A147" s="455"/>
      <c r="B147" s="174"/>
      <c r="C147" s="174"/>
      <c r="D147" s="174"/>
      <c r="E147" s="174"/>
      <c r="F147" s="174"/>
      <c r="G147" s="174"/>
      <c r="H147" s="174"/>
      <c r="I147" s="174"/>
      <c r="J147" s="174"/>
      <c r="K147" s="174"/>
      <c r="L147" s="174"/>
      <c r="M147" s="174"/>
      <c r="N147" s="174"/>
      <c r="O147" s="174"/>
      <c r="P147" s="174"/>
      <c r="Q147" s="174"/>
      <c r="R147" s="174"/>
      <c r="S147" s="174"/>
      <c r="T147" s="174"/>
      <c r="U147" s="174"/>
      <c r="V147" s="174"/>
      <c r="W147" s="174"/>
      <c r="X147" s="174"/>
      <c r="Y147" s="174"/>
      <c r="Z147" s="174"/>
      <c r="AA147" s="174"/>
      <c r="AB147" s="174"/>
      <c r="AC147" s="174"/>
      <c r="AD147" s="174"/>
      <c r="AE147" s="174"/>
      <c r="AF147" s="174"/>
      <c r="AG147" s="174"/>
      <c r="AH147" s="174"/>
      <c r="AI147" s="174"/>
      <c r="AJ147" s="174"/>
      <c r="AK147" s="174"/>
      <c r="AL147" s="174"/>
      <c r="AM147" s="456"/>
    </row>
    <row r="148" spans="1:39">
      <c r="A148" s="455"/>
      <c r="B148" s="174"/>
      <c r="C148" s="174"/>
      <c r="D148" s="174"/>
      <c r="E148" s="174"/>
      <c r="F148" s="174"/>
      <c r="G148" s="174"/>
      <c r="H148" s="174"/>
      <c r="I148" s="174"/>
      <c r="J148" s="174"/>
      <c r="K148" s="174"/>
      <c r="L148" s="174"/>
      <c r="M148" s="174"/>
      <c r="N148" s="174"/>
      <c r="O148" s="174"/>
      <c r="P148" s="174"/>
      <c r="Q148" s="174"/>
      <c r="R148" s="174"/>
      <c r="S148" s="174"/>
      <c r="T148" s="174"/>
      <c r="U148" s="174"/>
      <c r="V148" s="174"/>
      <c r="W148" s="174"/>
      <c r="X148" s="174"/>
      <c r="Y148" s="174"/>
      <c r="Z148" s="174"/>
      <c r="AA148" s="174"/>
      <c r="AB148" s="174"/>
      <c r="AC148" s="174"/>
      <c r="AD148" s="174"/>
      <c r="AE148" s="174"/>
      <c r="AF148" s="174"/>
      <c r="AG148" s="174"/>
      <c r="AH148" s="174"/>
      <c r="AI148" s="174"/>
      <c r="AJ148" s="174"/>
      <c r="AK148" s="174"/>
      <c r="AL148" s="174"/>
      <c r="AM148" s="456"/>
    </row>
    <row r="149" spans="1:39">
      <c r="A149" s="455"/>
      <c r="B149" s="174"/>
      <c r="C149" s="174"/>
      <c r="D149" s="174"/>
      <c r="E149" s="174"/>
      <c r="F149" s="174"/>
      <c r="G149" s="174"/>
      <c r="H149" s="174"/>
      <c r="I149" s="174"/>
      <c r="J149" s="174"/>
      <c r="K149" s="174"/>
      <c r="L149" s="174"/>
      <c r="M149" s="174"/>
      <c r="N149" s="174"/>
      <c r="O149" s="174"/>
      <c r="P149" s="174"/>
      <c r="Q149" s="174"/>
      <c r="R149" s="174"/>
      <c r="S149" s="174"/>
      <c r="T149" s="174"/>
      <c r="U149" s="174"/>
      <c r="V149" s="174"/>
      <c r="W149" s="174"/>
      <c r="X149" s="174"/>
      <c r="Y149" s="174"/>
      <c r="Z149" s="174"/>
      <c r="AA149" s="174"/>
      <c r="AB149" s="174"/>
      <c r="AC149" s="174"/>
      <c r="AD149" s="174"/>
      <c r="AE149" s="174"/>
      <c r="AF149" s="174"/>
      <c r="AG149" s="174"/>
      <c r="AH149" s="174"/>
      <c r="AI149" s="174"/>
      <c r="AJ149" s="174"/>
      <c r="AK149" s="174"/>
      <c r="AL149" s="174"/>
      <c r="AM149" s="456"/>
    </row>
    <row r="150" spans="1:39">
      <c r="A150" s="455"/>
      <c r="B150" s="174"/>
      <c r="C150" s="174"/>
      <c r="D150" s="174"/>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456"/>
    </row>
    <row r="151" spans="1:39">
      <c r="A151" s="455"/>
      <c r="B151" s="174"/>
      <c r="C151" s="174"/>
      <c r="D151" s="174"/>
      <c r="E151" s="174"/>
      <c r="F151" s="174"/>
      <c r="G151" s="174"/>
      <c r="H151" s="174"/>
      <c r="I151" s="174"/>
      <c r="J151" s="174"/>
      <c r="K151" s="174"/>
      <c r="L151" s="174"/>
      <c r="M151" s="174"/>
      <c r="N151" s="174"/>
      <c r="O151" s="174"/>
      <c r="P151" s="174"/>
      <c r="Q151" s="174"/>
      <c r="R151" s="174"/>
      <c r="S151" s="174"/>
      <c r="T151" s="174"/>
      <c r="U151" s="174"/>
      <c r="V151" s="174"/>
      <c r="W151" s="174"/>
      <c r="X151" s="174"/>
      <c r="Y151" s="174"/>
      <c r="Z151" s="174"/>
      <c r="AA151" s="174"/>
      <c r="AB151" s="174"/>
      <c r="AC151" s="174"/>
      <c r="AD151" s="174"/>
      <c r="AE151" s="174"/>
      <c r="AF151" s="174"/>
      <c r="AG151" s="174"/>
      <c r="AH151" s="174"/>
      <c r="AI151" s="174"/>
      <c r="AJ151" s="174"/>
      <c r="AK151" s="174"/>
      <c r="AL151" s="174"/>
      <c r="AM151" s="456"/>
    </row>
    <row r="152" spans="1:39">
      <c r="A152" s="455"/>
      <c r="B152" s="174"/>
      <c r="C152" s="174"/>
      <c r="D152" s="174"/>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456"/>
    </row>
    <row r="153" spans="1:39">
      <c r="A153" s="455"/>
      <c r="B153" s="174"/>
      <c r="C153" s="174"/>
      <c r="D153" s="174"/>
      <c r="E153" s="174"/>
      <c r="F153" s="174"/>
      <c r="G153" s="174"/>
      <c r="H153" s="174"/>
      <c r="I153" s="174"/>
      <c r="J153" s="174"/>
      <c r="K153" s="174"/>
      <c r="L153" s="174"/>
      <c r="M153" s="174"/>
      <c r="N153" s="174"/>
      <c r="O153" s="174"/>
      <c r="P153" s="174"/>
      <c r="Q153" s="174"/>
      <c r="R153" s="174"/>
      <c r="S153" s="174"/>
      <c r="T153" s="174"/>
      <c r="U153" s="174"/>
      <c r="V153" s="174"/>
      <c r="W153" s="174"/>
      <c r="X153" s="174"/>
      <c r="Y153" s="174"/>
      <c r="Z153" s="174"/>
      <c r="AA153" s="174"/>
      <c r="AB153" s="174"/>
      <c r="AC153" s="174"/>
      <c r="AD153" s="174"/>
      <c r="AE153" s="174"/>
      <c r="AF153" s="174"/>
      <c r="AG153" s="174"/>
      <c r="AH153" s="174"/>
      <c r="AI153" s="174"/>
      <c r="AJ153" s="174"/>
      <c r="AK153" s="174"/>
      <c r="AL153" s="174"/>
      <c r="AM153" s="456"/>
    </row>
    <row r="154" spans="1:39">
      <c r="A154" s="455"/>
      <c r="B154" s="174"/>
      <c r="C154" s="174"/>
      <c r="D154" s="174"/>
      <c r="E154" s="174"/>
      <c r="F154" s="174"/>
      <c r="G154" s="174"/>
      <c r="H154" s="174"/>
      <c r="I154" s="174"/>
      <c r="J154" s="174"/>
      <c r="K154" s="174"/>
      <c r="L154" s="174"/>
      <c r="M154" s="174"/>
      <c r="N154" s="174"/>
      <c r="O154" s="174"/>
      <c r="P154" s="174"/>
      <c r="Q154" s="174"/>
      <c r="R154" s="174"/>
      <c r="S154" s="174"/>
      <c r="T154" s="174"/>
      <c r="U154" s="174"/>
      <c r="V154" s="174"/>
      <c r="W154" s="174"/>
      <c r="X154" s="174"/>
      <c r="Y154" s="174"/>
      <c r="Z154" s="174"/>
      <c r="AA154" s="174"/>
      <c r="AB154" s="174"/>
      <c r="AC154" s="174"/>
      <c r="AD154" s="174"/>
      <c r="AE154" s="174"/>
      <c r="AF154" s="174"/>
      <c r="AG154" s="174"/>
      <c r="AH154" s="174"/>
      <c r="AI154" s="174"/>
      <c r="AJ154" s="174"/>
      <c r="AK154" s="174"/>
      <c r="AL154" s="174"/>
      <c r="AM154" s="456"/>
    </row>
    <row r="155" spans="1:39">
      <c r="A155" s="455"/>
      <c r="B155" s="174"/>
      <c r="C155" s="174"/>
      <c r="D155" s="174"/>
      <c r="E155" s="174"/>
      <c r="F155" s="174"/>
      <c r="G155" s="174"/>
      <c r="H155" s="174"/>
      <c r="I155" s="174"/>
      <c r="J155" s="174"/>
      <c r="K155" s="174"/>
      <c r="L155" s="174"/>
      <c r="M155" s="174"/>
      <c r="N155" s="174"/>
      <c r="O155" s="174"/>
      <c r="P155" s="174"/>
      <c r="Q155" s="174"/>
      <c r="R155" s="174"/>
      <c r="S155" s="174"/>
      <c r="T155" s="174"/>
      <c r="U155" s="174"/>
      <c r="V155" s="174"/>
      <c r="W155" s="174"/>
      <c r="X155" s="174"/>
      <c r="Y155" s="174"/>
      <c r="Z155" s="174"/>
      <c r="AA155" s="174"/>
      <c r="AB155" s="174"/>
      <c r="AC155" s="174"/>
      <c r="AD155" s="174"/>
      <c r="AE155" s="174"/>
      <c r="AF155" s="174"/>
      <c r="AG155" s="174"/>
      <c r="AH155" s="174"/>
      <c r="AI155" s="174"/>
      <c r="AJ155" s="174"/>
      <c r="AK155" s="174"/>
      <c r="AL155" s="174"/>
      <c r="AM155" s="456"/>
    </row>
    <row r="156" spans="1:39">
      <c r="A156" s="455"/>
      <c r="B156" s="174"/>
      <c r="C156" s="174"/>
      <c r="D156" s="174"/>
      <c r="E156" s="174"/>
      <c r="F156" s="174"/>
      <c r="G156" s="174"/>
      <c r="H156" s="174"/>
      <c r="I156" s="174"/>
      <c r="J156" s="174"/>
      <c r="K156" s="174"/>
      <c r="L156" s="174"/>
      <c r="M156" s="174"/>
      <c r="N156" s="174"/>
      <c r="O156" s="174"/>
      <c r="P156" s="174"/>
      <c r="Q156" s="174"/>
      <c r="R156" s="174"/>
      <c r="S156" s="174"/>
      <c r="T156" s="174"/>
      <c r="U156" s="174"/>
      <c r="V156" s="174"/>
      <c r="W156" s="174"/>
      <c r="X156" s="174"/>
      <c r="Y156" s="174"/>
      <c r="Z156" s="174"/>
      <c r="AA156" s="174"/>
      <c r="AB156" s="174"/>
      <c r="AC156" s="174"/>
      <c r="AD156" s="174"/>
      <c r="AE156" s="174"/>
      <c r="AF156" s="174"/>
      <c r="AG156" s="174"/>
      <c r="AH156" s="174"/>
      <c r="AI156" s="174"/>
      <c r="AJ156" s="174"/>
      <c r="AK156" s="174"/>
      <c r="AL156" s="174"/>
      <c r="AM156" s="456"/>
    </row>
    <row r="157" spans="1:39">
      <c r="A157" s="455"/>
      <c r="B157" s="174"/>
      <c r="C157" s="174"/>
      <c r="D157" s="174"/>
      <c r="E157" s="174"/>
      <c r="F157" s="174"/>
      <c r="G157" s="174"/>
      <c r="H157" s="174"/>
      <c r="I157" s="174"/>
      <c r="J157" s="174"/>
      <c r="K157" s="174"/>
      <c r="L157" s="174"/>
      <c r="M157" s="174"/>
      <c r="N157" s="174"/>
      <c r="O157" s="174"/>
      <c r="P157" s="174"/>
      <c r="Q157" s="174"/>
      <c r="R157" s="174"/>
      <c r="S157" s="174"/>
      <c r="T157" s="174"/>
      <c r="U157" s="174"/>
      <c r="V157" s="174"/>
      <c r="W157" s="174"/>
      <c r="X157" s="174"/>
      <c r="Y157" s="174"/>
      <c r="Z157" s="174"/>
      <c r="AA157" s="174"/>
      <c r="AB157" s="174"/>
      <c r="AC157" s="174"/>
      <c r="AD157" s="174"/>
      <c r="AE157" s="174"/>
      <c r="AF157" s="174"/>
      <c r="AG157" s="174"/>
      <c r="AH157" s="174"/>
      <c r="AI157" s="174"/>
      <c r="AJ157" s="174"/>
      <c r="AK157" s="174"/>
      <c r="AL157" s="174"/>
      <c r="AM157" s="456"/>
    </row>
    <row r="158" spans="1:39">
      <c r="A158" s="455"/>
      <c r="B158" s="174"/>
      <c r="C158" s="174"/>
      <c r="D158" s="174"/>
      <c r="E158" s="174"/>
      <c r="F158" s="174"/>
      <c r="G158" s="174"/>
      <c r="H158" s="174"/>
      <c r="I158" s="174"/>
      <c r="J158" s="174"/>
      <c r="K158" s="174"/>
      <c r="L158" s="174"/>
      <c r="M158" s="174"/>
      <c r="N158" s="174"/>
      <c r="O158" s="174"/>
      <c r="P158" s="174"/>
      <c r="Q158" s="174"/>
      <c r="R158" s="174"/>
      <c r="S158" s="174"/>
      <c r="T158" s="174"/>
      <c r="U158" s="174"/>
      <c r="V158" s="174"/>
      <c r="W158" s="174"/>
      <c r="X158" s="174"/>
      <c r="Y158" s="174"/>
      <c r="Z158" s="174"/>
      <c r="AA158" s="174"/>
      <c r="AB158" s="174"/>
      <c r="AC158" s="174"/>
      <c r="AD158" s="174"/>
      <c r="AE158" s="174"/>
      <c r="AF158" s="174"/>
      <c r="AG158" s="174"/>
      <c r="AH158" s="174"/>
      <c r="AI158" s="174"/>
      <c r="AJ158" s="174"/>
      <c r="AK158" s="174"/>
      <c r="AL158" s="174"/>
      <c r="AM158" s="456"/>
    </row>
    <row r="159" spans="1:39">
      <c r="A159" s="455"/>
      <c r="B159" s="174"/>
      <c r="C159" s="174"/>
      <c r="D159" s="174"/>
      <c r="E159" s="174"/>
      <c r="F159" s="174"/>
      <c r="G159" s="174"/>
      <c r="H159" s="174"/>
      <c r="I159" s="174"/>
      <c r="J159" s="174"/>
      <c r="K159" s="174"/>
      <c r="L159" s="174"/>
      <c r="M159" s="174"/>
      <c r="N159" s="174"/>
      <c r="O159" s="174"/>
      <c r="P159" s="174"/>
      <c r="Q159" s="174"/>
      <c r="R159" s="174"/>
      <c r="S159" s="174"/>
      <c r="T159" s="174"/>
      <c r="U159" s="174"/>
      <c r="V159" s="174"/>
      <c r="W159" s="174"/>
      <c r="X159" s="174"/>
      <c r="Y159" s="174"/>
      <c r="Z159" s="174"/>
      <c r="AA159" s="174"/>
      <c r="AB159" s="174"/>
      <c r="AC159" s="174"/>
      <c r="AD159" s="174"/>
      <c r="AE159" s="174"/>
      <c r="AF159" s="174"/>
      <c r="AG159" s="174"/>
      <c r="AH159" s="174"/>
      <c r="AI159" s="174"/>
      <c r="AJ159" s="174"/>
      <c r="AK159" s="174"/>
      <c r="AL159" s="174"/>
      <c r="AM159" s="456"/>
    </row>
    <row r="160" spans="1:39">
      <c r="A160" s="455"/>
      <c r="B160" s="174"/>
      <c r="C160" s="174"/>
      <c r="D160" s="174"/>
      <c r="E160" s="174"/>
      <c r="F160" s="174"/>
      <c r="G160" s="174"/>
      <c r="H160" s="174"/>
      <c r="I160" s="174"/>
      <c r="J160" s="174"/>
      <c r="K160" s="174"/>
      <c r="L160" s="174"/>
      <c r="M160" s="174"/>
      <c r="N160" s="174"/>
      <c r="O160" s="174"/>
      <c r="P160" s="174"/>
      <c r="Q160" s="174"/>
      <c r="R160" s="174"/>
      <c r="S160" s="174"/>
      <c r="T160" s="174"/>
      <c r="U160" s="174"/>
      <c r="V160" s="174"/>
      <c r="W160" s="174"/>
      <c r="X160" s="174"/>
      <c r="Y160" s="174"/>
      <c r="Z160" s="174"/>
      <c r="AA160" s="174"/>
      <c r="AB160" s="174"/>
      <c r="AC160" s="174"/>
      <c r="AD160" s="174"/>
      <c r="AE160" s="174"/>
      <c r="AF160" s="174"/>
      <c r="AG160" s="174"/>
      <c r="AH160" s="174"/>
      <c r="AI160" s="174"/>
      <c r="AJ160" s="174"/>
      <c r="AK160" s="174"/>
      <c r="AL160" s="174"/>
      <c r="AM160" s="456"/>
    </row>
    <row r="161" spans="1:39">
      <c r="A161" s="455"/>
      <c r="B161" s="174"/>
      <c r="C161" s="174"/>
      <c r="D161" s="174"/>
      <c r="E161" s="174"/>
      <c r="F161" s="174"/>
      <c r="G161" s="174"/>
      <c r="H161" s="174"/>
      <c r="I161" s="174"/>
      <c r="J161" s="174"/>
      <c r="K161" s="174"/>
      <c r="L161" s="174"/>
      <c r="M161" s="174"/>
      <c r="N161" s="174"/>
      <c r="O161" s="174"/>
      <c r="P161" s="174"/>
      <c r="Q161" s="174"/>
      <c r="R161" s="174"/>
      <c r="S161" s="174"/>
      <c r="T161" s="174"/>
      <c r="U161" s="174"/>
      <c r="V161" s="174"/>
      <c r="W161" s="174"/>
      <c r="X161" s="174"/>
      <c r="Y161" s="174"/>
      <c r="Z161" s="174"/>
      <c r="AA161" s="174"/>
      <c r="AB161" s="174"/>
      <c r="AC161" s="174"/>
      <c r="AD161" s="174"/>
      <c r="AE161" s="174"/>
      <c r="AF161" s="174"/>
      <c r="AG161" s="174"/>
      <c r="AH161" s="174"/>
      <c r="AI161" s="174"/>
      <c r="AJ161" s="174"/>
      <c r="AK161" s="174"/>
      <c r="AL161" s="174"/>
      <c r="AM161" s="456"/>
    </row>
    <row r="162" spans="1:39">
      <c r="A162" s="455"/>
      <c r="B162" s="174"/>
      <c r="C162" s="174"/>
      <c r="D162" s="174"/>
      <c r="E162" s="174"/>
      <c r="F162" s="174"/>
      <c r="G162" s="174"/>
      <c r="H162" s="174"/>
      <c r="I162" s="174"/>
      <c r="J162" s="174"/>
      <c r="K162" s="174"/>
      <c r="L162" s="174"/>
      <c r="M162" s="174"/>
      <c r="N162" s="174"/>
      <c r="O162" s="174"/>
      <c r="P162" s="174"/>
      <c r="Q162" s="174"/>
      <c r="R162" s="174"/>
      <c r="S162" s="174"/>
      <c r="T162" s="174"/>
      <c r="U162" s="174"/>
      <c r="V162" s="174"/>
      <c r="W162" s="174"/>
      <c r="X162" s="174"/>
      <c r="Y162" s="174"/>
      <c r="Z162" s="174"/>
      <c r="AA162" s="174"/>
      <c r="AB162" s="174"/>
      <c r="AC162" s="174"/>
      <c r="AD162" s="174"/>
      <c r="AE162" s="174"/>
      <c r="AF162" s="174"/>
      <c r="AG162" s="174"/>
      <c r="AH162" s="174"/>
      <c r="AI162" s="174"/>
      <c r="AJ162" s="174"/>
      <c r="AK162" s="174"/>
      <c r="AL162" s="174"/>
      <c r="AM162" s="456"/>
    </row>
    <row r="163" spans="1:39">
      <c r="A163" s="455"/>
      <c r="B163" s="174"/>
      <c r="C163" s="174"/>
      <c r="D163" s="174"/>
      <c r="E163" s="174"/>
      <c r="F163" s="174"/>
      <c r="G163" s="174"/>
      <c r="H163" s="174"/>
      <c r="I163" s="174"/>
      <c r="J163" s="174"/>
      <c r="K163" s="174"/>
      <c r="L163" s="174"/>
      <c r="M163" s="174"/>
      <c r="N163" s="174"/>
      <c r="O163" s="174"/>
      <c r="P163" s="174"/>
      <c r="Q163" s="174"/>
      <c r="R163" s="174"/>
      <c r="S163" s="174"/>
      <c r="T163" s="174"/>
      <c r="U163" s="174"/>
      <c r="V163" s="174"/>
      <c r="W163" s="174"/>
      <c r="X163" s="174"/>
      <c r="Y163" s="174"/>
      <c r="Z163" s="174"/>
      <c r="AA163" s="174"/>
      <c r="AB163" s="174"/>
      <c r="AC163" s="174"/>
      <c r="AD163" s="174"/>
      <c r="AE163" s="174"/>
      <c r="AF163" s="174"/>
      <c r="AG163" s="174"/>
      <c r="AH163" s="174"/>
      <c r="AI163" s="174"/>
      <c r="AJ163" s="174"/>
      <c r="AK163" s="174"/>
      <c r="AL163" s="174"/>
      <c r="AM163" s="456"/>
    </row>
    <row r="164" spans="1:39">
      <c r="A164" s="455"/>
      <c r="B164" s="174"/>
      <c r="C164" s="174"/>
      <c r="D164" s="174"/>
      <c r="E164" s="174"/>
      <c r="F164" s="174"/>
      <c r="G164" s="174"/>
      <c r="H164" s="174"/>
      <c r="I164" s="174"/>
      <c r="J164" s="174"/>
      <c r="K164" s="174"/>
      <c r="L164" s="174"/>
      <c r="M164" s="174"/>
      <c r="N164" s="174"/>
      <c r="O164" s="174"/>
      <c r="P164" s="174"/>
      <c r="Q164" s="174"/>
      <c r="R164" s="174"/>
      <c r="S164" s="174"/>
      <c r="T164" s="174"/>
      <c r="U164" s="174"/>
      <c r="V164" s="174"/>
      <c r="W164" s="174"/>
      <c r="X164" s="174"/>
      <c r="Y164" s="174"/>
      <c r="Z164" s="174"/>
      <c r="AA164" s="174"/>
      <c r="AB164" s="174"/>
      <c r="AC164" s="174"/>
      <c r="AD164" s="174"/>
      <c r="AE164" s="174"/>
      <c r="AF164" s="174"/>
      <c r="AG164" s="174"/>
      <c r="AH164" s="174"/>
      <c r="AI164" s="174"/>
      <c r="AJ164" s="174"/>
      <c r="AK164" s="174"/>
      <c r="AL164" s="174"/>
      <c r="AM164" s="456"/>
    </row>
    <row r="165" spans="1:39">
      <c r="A165" s="455"/>
      <c r="B165" s="174"/>
      <c r="C165" s="174"/>
      <c r="D165" s="174"/>
      <c r="E165" s="174"/>
      <c r="F165" s="174"/>
      <c r="G165" s="174"/>
      <c r="H165" s="174"/>
      <c r="I165" s="174"/>
      <c r="J165" s="174"/>
      <c r="K165" s="174"/>
      <c r="L165" s="174"/>
      <c r="M165" s="174"/>
      <c r="N165" s="174"/>
      <c r="O165" s="174"/>
      <c r="P165" s="174"/>
      <c r="Q165" s="174"/>
      <c r="R165" s="174"/>
      <c r="S165" s="174"/>
      <c r="T165" s="174"/>
      <c r="U165" s="174"/>
      <c r="V165" s="174"/>
      <c r="W165" s="174"/>
      <c r="X165" s="174"/>
      <c r="Y165" s="174"/>
      <c r="Z165" s="174"/>
      <c r="AA165" s="174"/>
      <c r="AB165" s="174"/>
      <c r="AC165" s="174"/>
      <c r="AD165" s="174"/>
      <c r="AE165" s="174"/>
      <c r="AF165" s="174"/>
      <c r="AG165" s="174"/>
      <c r="AH165" s="174"/>
      <c r="AI165" s="174"/>
      <c r="AJ165" s="174"/>
      <c r="AK165" s="174"/>
      <c r="AL165" s="174"/>
      <c r="AM165" s="456"/>
    </row>
    <row r="166" spans="1:39">
      <c r="A166" s="455"/>
      <c r="B166" s="174"/>
      <c r="C166" s="174"/>
      <c r="D166" s="174"/>
      <c r="E166" s="174"/>
      <c r="F166" s="174"/>
      <c r="G166" s="174"/>
      <c r="H166" s="174"/>
      <c r="I166" s="174"/>
      <c r="J166" s="174"/>
      <c r="K166" s="174"/>
      <c r="L166" s="174"/>
      <c r="M166" s="174"/>
      <c r="N166" s="174"/>
      <c r="O166" s="174"/>
      <c r="P166" s="174"/>
      <c r="Q166" s="174"/>
      <c r="R166" s="174"/>
      <c r="S166" s="174"/>
      <c r="T166" s="174"/>
      <c r="U166" s="174"/>
      <c r="V166" s="174"/>
      <c r="W166" s="174"/>
      <c r="X166" s="174"/>
      <c r="Y166" s="174"/>
      <c r="Z166" s="174"/>
      <c r="AA166" s="174"/>
      <c r="AB166" s="174"/>
      <c r="AC166" s="174"/>
      <c r="AD166" s="174"/>
      <c r="AE166" s="174"/>
      <c r="AF166" s="174"/>
      <c r="AG166" s="174"/>
      <c r="AH166" s="174"/>
      <c r="AI166" s="174"/>
      <c r="AJ166" s="174"/>
      <c r="AK166" s="174"/>
      <c r="AL166" s="174"/>
      <c r="AM166" s="456"/>
    </row>
    <row r="167" spans="1:39">
      <c r="A167" s="455"/>
      <c r="B167" s="174"/>
      <c r="C167" s="174"/>
      <c r="D167" s="174"/>
      <c r="E167" s="174"/>
      <c r="F167" s="174"/>
      <c r="G167" s="174"/>
      <c r="H167" s="174"/>
      <c r="I167" s="174"/>
      <c r="J167" s="174"/>
      <c r="K167" s="174"/>
      <c r="L167" s="174"/>
      <c r="M167" s="174"/>
      <c r="N167" s="174"/>
      <c r="O167" s="174"/>
      <c r="P167" s="174"/>
      <c r="Q167" s="174"/>
      <c r="R167" s="174"/>
      <c r="S167" s="174"/>
      <c r="T167" s="174"/>
      <c r="U167" s="174"/>
      <c r="V167" s="174"/>
      <c r="W167" s="174"/>
      <c r="X167" s="174"/>
      <c r="Y167" s="174"/>
      <c r="Z167" s="174"/>
      <c r="AA167" s="174"/>
      <c r="AB167" s="174"/>
      <c r="AC167" s="174"/>
      <c r="AD167" s="174"/>
      <c r="AE167" s="174"/>
      <c r="AF167" s="174"/>
      <c r="AG167" s="174"/>
      <c r="AH167" s="174"/>
      <c r="AI167" s="174"/>
      <c r="AJ167" s="174"/>
      <c r="AK167" s="174"/>
      <c r="AL167" s="174"/>
      <c r="AM167" s="456"/>
    </row>
    <row r="168" spans="1:39">
      <c r="A168" s="455"/>
      <c r="B168" s="174"/>
      <c r="C168" s="174"/>
      <c r="D168" s="174"/>
      <c r="E168" s="174"/>
      <c r="F168" s="174"/>
      <c r="G168" s="174"/>
      <c r="H168" s="174"/>
      <c r="I168" s="174"/>
      <c r="J168" s="174"/>
      <c r="K168" s="174"/>
      <c r="L168" s="174"/>
      <c r="M168" s="174"/>
      <c r="N168" s="174"/>
      <c r="O168" s="174"/>
      <c r="P168" s="174"/>
      <c r="Q168" s="174"/>
      <c r="R168" s="174"/>
      <c r="S168" s="174"/>
      <c r="T168" s="174"/>
      <c r="U168" s="174"/>
      <c r="V168" s="174"/>
      <c r="W168" s="174"/>
      <c r="X168" s="174"/>
      <c r="Y168" s="174"/>
      <c r="Z168" s="174"/>
      <c r="AA168" s="174"/>
      <c r="AB168" s="174"/>
      <c r="AC168" s="174"/>
      <c r="AD168" s="174"/>
      <c r="AE168" s="174"/>
      <c r="AF168" s="174"/>
      <c r="AG168" s="174"/>
      <c r="AH168" s="174"/>
      <c r="AI168" s="174"/>
      <c r="AJ168" s="174"/>
      <c r="AK168" s="174"/>
      <c r="AL168" s="174"/>
      <c r="AM168" s="456"/>
    </row>
    <row r="169" spans="1:39">
      <c r="A169" s="455"/>
      <c r="B169" s="174"/>
      <c r="C169" s="174"/>
      <c r="D169" s="174"/>
      <c r="E169" s="174"/>
      <c r="F169" s="174"/>
      <c r="G169" s="174"/>
      <c r="H169" s="174"/>
      <c r="I169" s="174"/>
      <c r="J169" s="174"/>
      <c r="K169" s="174"/>
      <c r="L169" s="174"/>
      <c r="M169" s="174"/>
      <c r="N169" s="174"/>
      <c r="O169" s="174"/>
      <c r="P169" s="174"/>
      <c r="Q169" s="174"/>
      <c r="R169" s="174"/>
      <c r="S169" s="174"/>
      <c r="T169" s="174"/>
      <c r="U169" s="174"/>
      <c r="V169" s="174"/>
      <c r="W169" s="174"/>
      <c r="X169" s="174"/>
      <c r="Y169" s="174"/>
      <c r="Z169" s="174"/>
      <c r="AA169" s="174"/>
      <c r="AB169" s="174"/>
      <c r="AC169" s="174"/>
      <c r="AD169" s="174"/>
      <c r="AE169" s="174"/>
      <c r="AF169" s="174"/>
      <c r="AG169" s="174"/>
      <c r="AH169" s="174"/>
      <c r="AI169" s="174"/>
      <c r="AJ169" s="174"/>
      <c r="AK169" s="174"/>
      <c r="AL169" s="174"/>
      <c r="AM169" s="456"/>
    </row>
    <row r="170" spans="1:39">
      <c r="A170" s="455"/>
      <c r="B170" s="174"/>
      <c r="C170" s="174"/>
      <c r="D170" s="174"/>
      <c r="E170" s="174"/>
      <c r="F170" s="174"/>
      <c r="G170" s="174"/>
      <c r="H170" s="174"/>
      <c r="I170" s="174"/>
      <c r="J170" s="174"/>
      <c r="K170" s="174"/>
      <c r="L170" s="174"/>
      <c r="M170" s="174"/>
      <c r="N170" s="174"/>
      <c r="O170" s="174"/>
      <c r="P170" s="174"/>
      <c r="Q170" s="174"/>
      <c r="R170" s="174"/>
      <c r="S170" s="174"/>
      <c r="T170" s="174"/>
      <c r="U170" s="174"/>
      <c r="V170" s="174"/>
      <c r="W170" s="174"/>
      <c r="X170" s="174"/>
      <c r="Y170" s="174"/>
      <c r="Z170" s="174"/>
      <c r="AA170" s="174"/>
      <c r="AB170" s="174"/>
      <c r="AC170" s="174"/>
      <c r="AD170" s="174"/>
      <c r="AE170" s="174"/>
      <c r="AF170" s="174"/>
      <c r="AG170" s="174"/>
      <c r="AH170" s="174"/>
      <c r="AI170" s="174"/>
      <c r="AJ170" s="174"/>
      <c r="AK170" s="174"/>
      <c r="AL170" s="174"/>
      <c r="AM170" s="456"/>
    </row>
    <row r="171" spans="1:39">
      <c r="A171" s="455"/>
      <c r="B171" s="174"/>
      <c r="C171" s="174"/>
      <c r="D171" s="174"/>
      <c r="E171" s="174"/>
      <c r="F171" s="174"/>
      <c r="G171" s="174"/>
      <c r="H171" s="174"/>
      <c r="I171" s="174"/>
      <c r="J171" s="174"/>
      <c r="K171" s="174"/>
      <c r="L171" s="174"/>
      <c r="M171" s="174"/>
      <c r="N171" s="174"/>
      <c r="O171" s="174"/>
      <c r="P171" s="174"/>
      <c r="Q171" s="174"/>
      <c r="R171" s="174"/>
      <c r="S171" s="174"/>
      <c r="T171" s="174"/>
      <c r="U171" s="174"/>
      <c r="V171" s="174"/>
      <c r="W171" s="174"/>
      <c r="X171" s="174"/>
      <c r="Y171" s="174"/>
      <c r="Z171" s="174"/>
      <c r="AA171" s="174"/>
      <c r="AB171" s="174"/>
      <c r="AC171" s="174"/>
      <c r="AD171" s="174"/>
      <c r="AE171" s="174"/>
      <c r="AF171" s="174"/>
      <c r="AG171" s="174"/>
      <c r="AH171" s="174"/>
      <c r="AI171" s="174"/>
      <c r="AJ171" s="174"/>
      <c r="AK171" s="174"/>
      <c r="AL171" s="174"/>
      <c r="AM171" s="456"/>
    </row>
    <row r="172" spans="1:39">
      <c r="A172" s="455"/>
      <c r="B172" s="174"/>
      <c r="C172" s="174"/>
      <c r="D172" s="174"/>
      <c r="E172" s="174"/>
      <c r="F172" s="174"/>
      <c r="G172" s="174"/>
      <c r="H172" s="174"/>
      <c r="I172" s="174"/>
      <c r="J172" s="174"/>
      <c r="K172" s="174"/>
      <c r="L172" s="174"/>
      <c r="M172" s="174"/>
      <c r="N172" s="174"/>
      <c r="O172" s="174"/>
      <c r="P172" s="174"/>
      <c r="Q172" s="174"/>
      <c r="R172" s="174"/>
      <c r="S172" s="174"/>
      <c r="T172" s="174"/>
      <c r="U172" s="174"/>
      <c r="V172" s="174"/>
      <c r="W172" s="174"/>
      <c r="X172" s="174"/>
      <c r="Y172" s="174"/>
      <c r="Z172" s="174"/>
      <c r="AA172" s="174"/>
      <c r="AB172" s="174"/>
      <c r="AC172" s="174"/>
      <c r="AD172" s="174"/>
      <c r="AE172" s="174"/>
      <c r="AF172" s="174"/>
      <c r="AG172" s="174"/>
      <c r="AH172" s="174"/>
      <c r="AI172" s="174"/>
      <c r="AJ172" s="174"/>
      <c r="AK172" s="174"/>
      <c r="AL172" s="174"/>
      <c r="AM172" s="456"/>
    </row>
    <row r="173" spans="1:39">
      <c r="A173" s="455"/>
      <c r="B173" s="174"/>
      <c r="C173" s="174"/>
      <c r="D173" s="174"/>
      <c r="E173" s="174"/>
      <c r="F173" s="174"/>
      <c r="G173" s="174"/>
      <c r="H173" s="174"/>
      <c r="I173" s="174"/>
      <c r="J173" s="174"/>
      <c r="K173" s="174"/>
      <c r="L173" s="174"/>
      <c r="M173" s="174"/>
      <c r="N173" s="174"/>
      <c r="O173" s="174"/>
      <c r="P173" s="174"/>
      <c r="Q173" s="174"/>
      <c r="R173" s="174"/>
      <c r="S173" s="174"/>
      <c r="T173" s="174"/>
      <c r="U173" s="174"/>
      <c r="V173" s="174"/>
      <c r="W173" s="174"/>
      <c r="X173" s="174"/>
      <c r="Y173" s="174"/>
      <c r="Z173" s="174"/>
      <c r="AA173" s="174"/>
      <c r="AB173" s="174"/>
      <c r="AC173" s="174"/>
      <c r="AD173" s="174"/>
      <c r="AE173" s="174"/>
      <c r="AF173" s="174"/>
      <c r="AG173" s="174"/>
      <c r="AH173" s="174"/>
      <c r="AI173" s="174"/>
      <c r="AJ173" s="174"/>
      <c r="AK173" s="174"/>
      <c r="AL173" s="174"/>
      <c r="AM173" s="456"/>
    </row>
    <row r="174" spans="1:39">
      <c r="A174" s="455"/>
      <c r="B174" s="174"/>
      <c r="C174" s="174"/>
      <c r="D174" s="174"/>
      <c r="E174" s="174"/>
      <c r="F174" s="174"/>
      <c r="G174" s="174"/>
      <c r="H174" s="174"/>
      <c r="I174" s="174"/>
      <c r="J174" s="174"/>
      <c r="K174" s="174"/>
      <c r="L174" s="174"/>
      <c r="M174" s="174"/>
      <c r="N174" s="174"/>
      <c r="O174" s="174"/>
      <c r="P174" s="174"/>
      <c r="Q174" s="174"/>
      <c r="R174" s="174"/>
      <c r="S174" s="174"/>
      <c r="T174" s="174"/>
      <c r="U174" s="174"/>
      <c r="V174" s="174"/>
      <c r="W174" s="174"/>
      <c r="X174" s="174"/>
      <c r="Y174" s="174"/>
      <c r="Z174" s="174"/>
      <c r="AA174" s="174"/>
      <c r="AB174" s="174"/>
      <c r="AC174" s="174"/>
      <c r="AD174" s="174"/>
      <c r="AE174" s="174"/>
      <c r="AF174" s="174"/>
      <c r="AG174" s="174"/>
      <c r="AH174" s="174"/>
      <c r="AI174" s="174"/>
      <c r="AJ174" s="174"/>
      <c r="AK174" s="174"/>
      <c r="AL174" s="174"/>
      <c r="AM174" s="456"/>
    </row>
    <row r="175" spans="1:39">
      <c r="A175" s="455"/>
      <c r="B175" s="174"/>
      <c r="C175" s="174"/>
      <c r="D175" s="174"/>
      <c r="E175" s="174"/>
      <c r="F175" s="174"/>
      <c r="G175" s="174"/>
      <c r="H175" s="174"/>
      <c r="I175" s="174"/>
      <c r="J175" s="174"/>
      <c r="K175" s="174"/>
      <c r="L175" s="174"/>
      <c r="M175" s="174"/>
      <c r="N175" s="174"/>
      <c r="O175" s="174"/>
      <c r="P175" s="174"/>
      <c r="Q175" s="174"/>
      <c r="R175" s="174"/>
      <c r="S175" s="174"/>
      <c r="T175" s="174"/>
      <c r="U175" s="174"/>
      <c r="V175" s="174"/>
      <c r="W175" s="174"/>
      <c r="X175" s="174"/>
      <c r="Y175" s="174"/>
      <c r="Z175" s="174"/>
      <c r="AA175" s="174"/>
      <c r="AB175" s="174"/>
      <c r="AC175" s="174"/>
      <c r="AD175" s="174"/>
      <c r="AE175" s="174"/>
      <c r="AF175" s="174"/>
      <c r="AG175" s="174"/>
      <c r="AH175" s="174"/>
      <c r="AI175" s="174"/>
      <c r="AJ175" s="174"/>
      <c r="AK175" s="174"/>
      <c r="AL175" s="174"/>
      <c r="AM175" s="456"/>
    </row>
    <row r="176" spans="1:39">
      <c r="A176" s="455"/>
      <c r="B176" s="174"/>
      <c r="C176" s="174"/>
      <c r="D176" s="174"/>
      <c r="E176" s="174"/>
      <c r="F176" s="174"/>
      <c r="G176" s="174"/>
      <c r="H176" s="174"/>
      <c r="I176" s="174"/>
      <c r="J176" s="174"/>
      <c r="K176" s="174"/>
      <c r="L176" s="174"/>
      <c r="M176" s="174"/>
      <c r="N176" s="174"/>
      <c r="O176" s="174"/>
      <c r="P176" s="174"/>
      <c r="Q176" s="174"/>
      <c r="R176" s="174"/>
      <c r="S176" s="174"/>
      <c r="T176" s="174"/>
      <c r="U176" s="174"/>
      <c r="V176" s="174"/>
      <c r="W176" s="174"/>
      <c r="X176" s="174"/>
      <c r="Y176" s="174"/>
      <c r="Z176" s="174"/>
      <c r="AA176" s="174"/>
      <c r="AB176" s="174"/>
      <c r="AC176" s="174"/>
      <c r="AD176" s="174"/>
      <c r="AE176" s="174"/>
      <c r="AF176" s="174"/>
      <c r="AG176" s="174"/>
      <c r="AH176" s="174"/>
      <c r="AI176" s="174"/>
      <c r="AJ176" s="174"/>
      <c r="AK176" s="174"/>
      <c r="AL176" s="174"/>
      <c r="AM176" s="456"/>
    </row>
    <row r="177" spans="1:39">
      <c r="A177" s="455"/>
      <c r="B177" s="174"/>
      <c r="C177" s="174"/>
      <c r="D177" s="174"/>
      <c r="E177" s="174"/>
      <c r="F177" s="174"/>
      <c r="G177" s="174"/>
      <c r="H177" s="174"/>
      <c r="I177" s="174"/>
      <c r="J177" s="174"/>
      <c r="K177" s="174"/>
      <c r="L177" s="174"/>
      <c r="M177" s="174"/>
      <c r="N177" s="174"/>
      <c r="O177" s="174"/>
      <c r="P177" s="174"/>
      <c r="Q177" s="174"/>
      <c r="R177" s="174"/>
      <c r="S177" s="174"/>
      <c r="T177" s="174"/>
      <c r="U177" s="174"/>
      <c r="V177" s="174"/>
      <c r="W177" s="174"/>
      <c r="X177" s="174"/>
      <c r="Y177" s="174"/>
      <c r="Z177" s="174"/>
      <c r="AA177" s="174"/>
      <c r="AB177" s="174"/>
      <c r="AC177" s="174"/>
      <c r="AD177" s="174"/>
      <c r="AE177" s="174"/>
      <c r="AF177" s="174"/>
      <c r="AG177" s="174"/>
      <c r="AH177" s="174"/>
      <c r="AI177" s="174"/>
      <c r="AJ177" s="174"/>
      <c r="AK177" s="174"/>
      <c r="AL177" s="174"/>
      <c r="AM177" s="456"/>
    </row>
    <row r="178" spans="1:39">
      <c r="A178" s="455"/>
      <c r="B178" s="174"/>
      <c r="C178" s="174"/>
      <c r="D178" s="174"/>
      <c r="E178" s="174"/>
      <c r="F178" s="174"/>
      <c r="G178" s="174"/>
      <c r="H178" s="174"/>
      <c r="I178" s="174"/>
      <c r="J178" s="174"/>
      <c r="K178" s="174"/>
      <c r="L178" s="174"/>
      <c r="M178" s="174"/>
      <c r="N178" s="174"/>
      <c r="O178" s="174"/>
      <c r="P178" s="174"/>
      <c r="Q178" s="174"/>
      <c r="R178" s="174"/>
      <c r="S178" s="174"/>
      <c r="T178" s="174"/>
      <c r="U178" s="174"/>
      <c r="V178" s="174"/>
      <c r="W178" s="174"/>
      <c r="X178" s="174"/>
      <c r="Y178" s="174"/>
      <c r="Z178" s="174"/>
      <c r="AA178" s="174"/>
      <c r="AB178" s="174"/>
      <c r="AC178" s="174"/>
      <c r="AD178" s="174"/>
      <c r="AE178" s="174"/>
      <c r="AF178" s="174"/>
      <c r="AG178" s="174"/>
      <c r="AH178" s="174"/>
      <c r="AI178" s="174"/>
      <c r="AJ178" s="174"/>
      <c r="AK178" s="174"/>
      <c r="AL178" s="174"/>
      <c r="AM178" s="456"/>
    </row>
    <row r="179" spans="1:39">
      <c r="A179" s="455"/>
      <c r="B179" s="174"/>
      <c r="C179" s="174"/>
      <c r="D179" s="174"/>
      <c r="E179" s="174"/>
      <c r="F179" s="174"/>
      <c r="G179" s="174"/>
      <c r="H179" s="174"/>
      <c r="I179" s="174"/>
      <c r="J179" s="174"/>
      <c r="K179" s="174"/>
      <c r="L179" s="174"/>
      <c r="M179" s="174"/>
      <c r="N179" s="174"/>
      <c r="O179" s="174"/>
      <c r="P179" s="174"/>
      <c r="Q179" s="174"/>
      <c r="R179" s="174"/>
      <c r="S179" s="174"/>
      <c r="T179" s="174"/>
      <c r="U179" s="174"/>
      <c r="V179" s="174"/>
      <c r="W179" s="174"/>
      <c r="X179" s="174"/>
      <c r="Y179" s="174"/>
      <c r="Z179" s="174"/>
      <c r="AA179" s="174"/>
      <c r="AB179" s="174"/>
      <c r="AC179" s="174"/>
      <c r="AD179" s="174"/>
      <c r="AE179" s="174"/>
      <c r="AF179" s="174"/>
      <c r="AG179" s="174"/>
      <c r="AH179" s="174"/>
      <c r="AI179" s="174"/>
      <c r="AJ179" s="174"/>
      <c r="AK179" s="174"/>
      <c r="AL179" s="174"/>
      <c r="AM179" s="456"/>
    </row>
    <row r="180" spans="1:39">
      <c r="A180" s="455"/>
      <c r="B180" s="174"/>
      <c r="C180" s="174"/>
      <c r="D180" s="174"/>
      <c r="E180" s="174"/>
      <c r="F180" s="174"/>
      <c r="G180" s="174"/>
      <c r="H180" s="174"/>
      <c r="I180" s="174"/>
      <c r="J180" s="174"/>
      <c r="K180" s="174"/>
      <c r="L180" s="174"/>
      <c r="M180" s="174"/>
      <c r="N180" s="174"/>
      <c r="O180" s="174"/>
      <c r="P180" s="174"/>
      <c r="Q180" s="174"/>
      <c r="R180" s="174"/>
      <c r="S180" s="174"/>
      <c r="T180" s="174"/>
      <c r="U180" s="174"/>
      <c r="V180" s="174"/>
      <c r="W180" s="174"/>
      <c r="X180" s="174"/>
      <c r="Y180" s="174"/>
      <c r="Z180" s="174"/>
      <c r="AA180" s="174"/>
      <c r="AB180" s="174"/>
      <c r="AC180" s="174"/>
      <c r="AD180" s="174"/>
      <c r="AE180" s="174"/>
      <c r="AF180" s="174"/>
      <c r="AG180" s="174"/>
      <c r="AH180" s="174"/>
      <c r="AI180" s="174"/>
      <c r="AJ180" s="174"/>
      <c r="AK180" s="174"/>
      <c r="AL180" s="174"/>
      <c r="AM180" s="456"/>
    </row>
    <row r="181" spans="1:39">
      <c r="A181" s="455"/>
      <c r="B181" s="174"/>
      <c r="C181" s="174"/>
      <c r="D181" s="174"/>
      <c r="E181" s="174"/>
      <c r="F181" s="174"/>
      <c r="G181" s="174"/>
      <c r="H181" s="174"/>
      <c r="I181" s="174"/>
      <c r="J181" s="174"/>
      <c r="K181" s="174"/>
      <c r="L181" s="174"/>
      <c r="M181" s="174"/>
      <c r="N181" s="174"/>
      <c r="O181" s="174"/>
      <c r="P181" s="174"/>
      <c r="Q181" s="174"/>
      <c r="R181" s="174"/>
      <c r="S181" s="174"/>
      <c r="T181" s="174"/>
      <c r="U181" s="174"/>
      <c r="V181" s="174"/>
      <c r="W181" s="174"/>
      <c r="X181" s="174"/>
      <c r="Y181" s="174"/>
      <c r="Z181" s="174"/>
      <c r="AA181" s="174"/>
      <c r="AB181" s="174"/>
      <c r="AC181" s="174"/>
      <c r="AD181" s="174"/>
      <c r="AE181" s="174"/>
      <c r="AF181" s="174"/>
      <c r="AG181" s="174"/>
      <c r="AH181" s="174"/>
      <c r="AI181" s="174"/>
      <c r="AJ181" s="174"/>
      <c r="AK181" s="174"/>
      <c r="AL181" s="174"/>
      <c r="AM181" s="456"/>
    </row>
    <row r="182" spans="1:39">
      <c r="A182" s="455"/>
      <c r="B182" s="174"/>
      <c r="C182" s="174"/>
      <c r="D182" s="174"/>
      <c r="E182" s="174"/>
      <c r="F182" s="174"/>
      <c r="G182" s="174"/>
      <c r="H182" s="174"/>
      <c r="I182" s="174"/>
      <c r="J182" s="174"/>
      <c r="K182" s="174"/>
      <c r="L182" s="174"/>
      <c r="M182" s="174"/>
      <c r="N182" s="174"/>
      <c r="O182" s="174"/>
      <c r="P182" s="174"/>
      <c r="Q182" s="174"/>
      <c r="R182" s="174"/>
      <c r="S182" s="174"/>
      <c r="T182" s="174"/>
      <c r="U182" s="174"/>
      <c r="V182" s="174"/>
      <c r="W182" s="174"/>
      <c r="X182" s="174"/>
      <c r="Y182" s="174"/>
      <c r="Z182" s="174"/>
      <c r="AA182" s="174"/>
      <c r="AB182" s="174"/>
      <c r="AC182" s="174"/>
      <c r="AD182" s="174"/>
      <c r="AE182" s="174"/>
      <c r="AF182" s="174"/>
      <c r="AG182" s="174"/>
      <c r="AH182" s="174"/>
      <c r="AI182" s="174"/>
      <c r="AJ182" s="174"/>
      <c r="AK182" s="174"/>
      <c r="AL182" s="174"/>
      <c r="AM182" s="456"/>
    </row>
    <row r="183" spans="1:39">
      <c r="A183" s="455"/>
      <c r="B183" s="174"/>
      <c r="C183" s="174"/>
      <c r="D183" s="174"/>
      <c r="E183" s="174"/>
      <c r="F183" s="174"/>
      <c r="G183" s="174"/>
      <c r="H183" s="174"/>
      <c r="I183" s="174"/>
      <c r="J183" s="174"/>
      <c r="K183" s="174"/>
      <c r="L183" s="174"/>
      <c r="M183" s="174"/>
      <c r="N183" s="174"/>
      <c r="O183" s="174"/>
      <c r="P183" s="174"/>
      <c r="Q183" s="174"/>
      <c r="R183" s="174"/>
      <c r="S183" s="174"/>
      <c r="T183" s="174"/>
      <c r="U183" s="174"/>
      <c r="V183" s="174"/>
      <c r="W183" s="174"/>
      <c r="X183" s="174"/>
      <c r="Y183" s="174"/>
      <c r="Z183" s="174"/>
      <c r="AA183" s="174"/>
      <c r="AB183" s="174"/>
      <c r="AC183" s="174"/>
      <c r="AD183" s="174"/>
      <c r="AE183" s="174"/>
      <c r="AF183" s="174"/>
      <c r="AG183" s="174"/>
      <c r="AH183" s="174"/>
      <c r="AI183" s="174"/>
      <c r="AJ183" s="174"/>
      <c r="AK183" s="174"/>
      <c r="AL183" s="174"/>
      <c r="AM183" s="456"/>
    </row>
    <row r="184" spans="1:39">
      <c r="A184" s="455"/>
      <c r="B184" s="174"/>
      <c r="C184" s="174"/>
      <c r="D184" s="174"/>
      <c r="E184" s="174"/>
      <c r="F184" s="174"/>
      <c r="G184" s="174"/>
      <c r="H184" s="174"/>
      <c r="I184" s="174"/>
      <c r="J184" s="174"/>
      <c r="K184" s="174"/>
      <c r="L184" s="174"/>
      <c r="M184" s="174"/>
      <c r="N184" s="174"/>
      <c r="O184" s="174"/>
      <c r="P184" s="174"/>
      <c r="Q184" s="174"/>
      <c r="R184" s="174"/>
      <c r="S184" s="174"/>
      <c r="T184" s="174"/>
      <c r="U184" s="174"/>
      <c r="V184" s="174"/>
      <c r="W184" s="174"/>
      <c r="X184" s="174"/>
      <c r="Y184" s="174"/>
      <c r="Z184" s="174"/>
      <c r="AA184" s="174"/>
      <c r="AB184" s="174"/>
      <c r="AC184" s="174"/>
      <c r="AD184" s="174"/>
      <c r="AE184" s="174"/>
      <c r="AF184" s="174"/>
      <c r="AG184" s="174"/>
      <c r="AH184" s="174"/>
      <c r="AI184" s="174"/>
      <c r="AJ184" s="174"/>
      <c r="AK184" s="174"/>
      <c r="AL184" s="174"/>
      <c r="AM184" s="456"/>
    </row>
    <row r="185" spans="1:39">
      <c r="A185" s="455"/>
      <c r="B185" s="174"/>
      <c r="C185" s="174"/>
      <c r="D185" s="174"/>
      <c r="E185" s="174"/>
      <c r="F185" s="174"/>
      <c r="G185" s="174"/>
      <c r="H185" s="174"/>
      <c r="I185" s="174"/>
      <c r="J185" s="174"/>
      <c r="K185" s="174"/>
      <c r="L185" s="174"/>
      <c r="M185" s="174"/>
      <c r="N185" s="174"/>
      <c r="O185" s="174"/>
      <c r="P185" s="174"/>
      <c r="Q185" s="174"/>
      <c r="R185" s="174"/>
      <c r="S185" s="174"/>
      <c r="T185" s="174"/>
      <c r="U185" s="174"/>
      <c r="V185" s="174"/>
      <c r="W185" s="174"/>
      <c r="X185" s="174"/>
      <c r="Y185" s="174"/>
      <c r="Z185" s="174"/>
      <c r="AA185" s="174"/>
      <c r="AB185" s="174"/>
      <c r="AC185" s="174"/>
      <c r="AD185" s="174"/>
      <c r="AE185" s="174"/>
      <c r="AF185" s="174"/>
      <c r="AG185" s="174"/>
      <c r="AH185" s="174"/>
      <c r="AI185" s="174"/>
      <c r="AJ185" s="174"/>
      <c r="AK185" s="174"/>
      <c r="AL185" s="174"/>
      <c r="AM185" s="456"/>
    </row>
    <row r="186" spans="1:39">
      <c r="A186" s="455"/>
      <c r="B186" s="174"/>
      <c r="C186" s="174"/>
      <c r="D186" s="174"/>
      <c r="E186" s="174"/>
      <c r="F186" s="174"/>
      <c r="G186" s="174"/>
      <c r="H186" s="174"/>
      <c r="I186" s="174"/>
      <c r="J186" s="174"/>
      <c r="K186" s="174"/>
      <c r="L186" s="174"/>
      <c r="M186" s="174"/>
      <c r="N186" s="174"/>
      <c r="O186" s="174"/>
      <c r="P186" s="174"/>
      <c r="Q186" s="174"/>
      <c r="R186" s="174"/>
      <c r="S186" s="174"/>
      <c r="T186" s="174"/>
      <c r="U186" s="174"/>
      <c r="V186" s="174"/>
      <c r="W186" s="174"/>
      <c r="X186" s="174"/>
      <c r="Y186" s="174"/>
      <c r="Z186" s="174"/>
      <c r="AA186" s="174"/>
      <c r="AB186" s="174"/>
      <c r="AC186" s="174"/>
      <c r="AD186" s="174"/>
      <c r="AE186" s="174"/>
      <c r="AF186" s="174"/>
      <c r="AG186" s="174"/>
      <c r="AH186" s="174"/>
      <c r="AI186" s="174"/>
      <c r="AJ186" s="174"/>
      <c r="AK186" s="174"/>
      <c r="AL186" s="174"/>
      <c r="AM186" s="456"/>
    </row>
    <row r="187" spans="1:39">
      <c r="A187" s="455"/>
      <c r="B187" s="174"/>
      <c r="C187" s="174"/>
      <c r="D187" s="174"/>
      <c r="E187" s="174"/>
      <c r="F187" s="174"/>
      <c r="G187" s="174"/>
      <c r="H187" s="174"/>
      <c r="I187" s="174"/>
      <c r="J187" s="174"/>
      <c r="K187" s="174"/>
      <c r="L187" s="174"/>
      <c r="M187" s="174"/>
      <c r="N187" s="174"/>
      <c r="O187" s="174"/>
      <c r="P187" s="174"/>
      <c r="Q187" s="174"/>
      <c r="R187" s="174"/>
      <c r="S187" s="174"/>
      <c r="T187" s="174"/>
      <c r="U187" s="174"/>
      <c r="V187" s="174"/>
      <c r="W187" s="174"/>
      <c r="X187" s="174"/>
      <c r="Y187" s="174"/>
      <c r="Z187" s="174"/>
      <c r="AA187" s="174"/>
      <c r="AB187" s="174"/>
      <c r="AC187" s="174"/>
      <c r="AD187" s="174"/>
      <c r="AE187" s="174"/>
      <c r="AF187" s="174"/>
      <c r="AG187" s="174"/>
      <c r="AH187" s="174"/>
      <c r="AI187" s="174"/>
      <c r="AJ187" s="174"/>
      <c r="AK187" s="174"/>
      <c r="AL187" s="174"/>
      <c r="AM187" s="456"/>
    </row>
    <row r="188" spans="1:39">
      <c r="A188" s="455"/>
      <c r="B188" s="174"/>
      <c r="C188" s="174"/>
      <c r="D188" s="174"/>
      <c r="E188" s="174"/>
      <c r="F188" s="174"/>
      <c r="G188" s="174"/>
      <c r="H188" s="174"/>
      <c r="I188" s="174"/>
      <c r="J188" s="174"/>
      <c r="K188" s="174"/>
      <c r="L188" s="174"/>
      <c r="M188" s="174"/>
      <c r="N188" s="174"/>
      <c r="O188" s="174"/>
      <c r="P188" s="174"/>
      <c r="Q188" s="174"/>
      <c r="R188" s="174"/>
      <c r="S188" s="174"/>
      <c r="T188" s="174"/>
      <c r="U188" s="174"/>
      <c r="V188" s="174"/>
      <c r="W188" s="174"/>
      <c r="X188" s="174"/>
      <c r="Y188" s="174"/>
      <c r="Z188" s="174"/>
      <c r="AA188" s="174"/>
      <c r="AB188" s="174"/>
      <c r="AC188" s="174"/>
      <c r="AD188" s="174"/>
      <c r="AE188" s="174"/>
      <c r="AF188" s="174"/>
      <c r="AG188" s="174"/>
      <c r="AH188" s="174"/>
      <c r="AI188" s="174"/>
      <c r="AJ188" s="174"/>
      <c r="AK188" s="174"/>
      <c r="AL188" s="174"/>
      <c r="AM188" s="456"/>
    </row>
    <row r="189" spans="1:39">
      <c r="A189" s="455"/>
      <c r="B189" s="174"/>
      <c r="C189" s="174"/>
      <c r="D189" s="174"/>
      <c r="E189" s="174"/>
      <c r="F189" s="174"/>
      <c r="G189" s="174"/>
      <c r="H189" s="174"/>
      <c r="I189" s="174"/>
      <c r="J189" s="174"/>
      <c r="K189" s="174"/>
      <c r="L189" s="174"/>
      <c r="M189" s="174"/>
      <c r="N189" s="174"/>
      <c r="O189" s="174"/>
      <c r="P189" s="174"/>
      <c r="Q189" s="174"/>
      <c r="R189" s="174"/>
      <c r="S189" s="174"/>
      <c r="T189" s="174"/>
      <c r="U189" s="174"/>
      <c r="V189" s="174"/>
      <c r="W189" s="174"/>
      <c r="X189" s="174"/>
      <c r="Y189" s="174"/>
      <c r="Z189" s="174"/>
      <c r="AA189" s="174"/>
      <c r="AB189" s="174"/>
      <c r="AC189" s="174"/>
      <c r="AD189" s="174"/>
      <c r="AE189" s="174"/>
      <c r="AF189" s="174"/>
      <c r="AG189" s="174"/>
      <c r="AH189" s="174"/>
      <c r="AI189" s="174"/>
      <c r="AJ189" s="174"/>
      <c r="AK189" s="174"/>
      <c r="AL189" s="174"/>
      <c r="AM189" s="456"/>
    </row>
    <row r="190" spans="1:39">
      <c r="A190" s="455"/>
      <c r="B190" s="174"/>
      <c r="C190" s="174"/>
      <c r="D190" s="174"/>
      <c r="E190" s="174"/>
      <c r="F190" s="174"/>
      <c r="G190" s="174"/>
      <c r="H190" s="174"/>
      <c r="I190" s="174"/>
      <c r="J190" s="174"/>
      <c r="K190" s="174"/>
      <c r="L190" s="174"/>
      <c r="M190" s="174"/>
      <c r="N190" s="174"/>
      <c r="O190" s="174"/>
      <c r="P190" s="174"/>
      <c r="Q190" s="174"/>
      <c r="R190" s="174"/>
      <c r="S190" s="174"/>
      <c r="T190" s="174"/>
      <c r="U190" s="174"/>
      <c r="V190" s="174"/>
      <c r="W190" s="174"/>
      <c r="X190" s="174"/>
      <c r="Y190" s="174"/>
      <c r="Z190" s="174"/>
      <c r="AA190" s="174"/>
      <c r="AB190" s="174"/>
      <c r="AC190" s="174"/>
      <c r="AD190" s="174"/>
      <c r="AE190" s="174"/>
      <c r="AF190" s="174"/>
      <c r="AG190" s="174"/>
      <c r="AH190" s="174"/>
      <c r="AI190" s="174"/>
      <c r="AJ190" s="174"/>
      <c r="AK190" s="174"/>
      <c r="AL190" s="174"/>
      <c r="AM190" s="456"/>
    </row>
    <row r="191" spans="1:39">
      <c r="A191" s="455"/>
      <c r="B191" s="174"/>
      <c r="C191" s="174"/>
      <c r="D191" s="174"/>
      <c r="E191" s="174"/>
      <c r="F191" s="174"/>
      <c r="G191" s="174"/>
      <c r="H191" s="174"/>
      <c r="I191" s="174"/>
      <c r="J191" s="174"/>
      <c r="K191" s="174"/>
      <c r="L191" s="174"/>
      <c r="M191" s="174"/>
      <c r="N191" s="174"/>
      <c r="O191" s="174"/>
      <c r="P191" s="174"/>
      <c r="Q191" s="174"/>
      <c r="R191" s="174"/>
      <c r="S191" s="174"/>
      <c r="T191" s="174"/>
      <c r="U191" s="174"/>
      <c r="V191" s="174"/>
      <c r="W191" s="174"/>
      <c r="X191" s="174"/>
      <c r="Y191" s="174"/>
      <c r="Z191" s="174"/>
      <c r="AA191" s="174"/>
      <c r="AB191" s="174"/>
      <c r="AC191" s="174"/>
      <c r="AD191" s="174"/>
      <c r="AE191" s="174"/>
      <c r="AF191" s="174"/>
      <c r="AG191" s="174"/>
      <c r="AH191" s="174"/>
      <c r="AI191" s="174"/>
      <c r="AJ191" s="174"/>
      <c r="AK191" s="174"/>
      <c r="AL191" s="174"/>
      <c r="AM191" s="456"/>
    </row>
    <row r="192" spans="1:39">
      <c r="A192" s="455"/>
      <c r="B192" s="174"/>
      <c r="C192" s="174"/>
      <c r="D192" s="174"/>
      <c r="E192" s="174"/>
      <c r="F192" s="174"/>
      <c r="G192" s="174"/>
      <c r="H192" s="174"/>
      <c r="I192" s="174"/>
      <c r="J192" s="174"/>
      <c r="K192" s="174"/>
      <c r="L192" s="174"/>
      <c r="M192" s="174"/>
      <c r="N192" s="174"/>
      <c r="O192" s="174"/>
      <c r="P192" s="174"/>
      <c r="Q192" s="174"/>
      <c r="R192" s="174"/>
      <c r="S192" s="174"/>
      <c r="T192" s="174"/>
      <c r="U192" s="174"/>
      <c r="V192" s="174"/>
      <c r="W192" s="174"/>
      <c r="X192" s="174"/>
      <c r="Y192" s="174"/>
      <c r="Z192" s="174"/>
      <c r="AA192" s="174"/>
      <c r="AB192" s="174"/>
      <c r="AC192" s="174"/>
      <c r="AD192" s="174"/>
      <c r="AE192" s="174"/>
      <c r="AF192" s="174"/>
      <c r="AG192" s="174"/>
      <c r="AH192" s="174"/>
      <c r="AI192" s="174"/>
      <c r="AJ192" s="174"/>
      <c r="AK192" s="174"/>
      <c r="AL192" s="174"/>
      <c r="AM192" s="456"/>
    </row>
    <row r="193" spans="1:39">
      <c r="A193" s="455"/>
      <c r="B193" s="174"/>
      <c r="C193" s="174"/>
      <c r="D193" s="174"/>
      <c r="E193" s="174"/>
      <c r="F193" s="174"/>
      <c r="G193" s="174"/>
      <c r="H193" s="174"/>
      <c r="I193" s="174"/>
      <c r="J193" s="174"/>
      <c r="K193" s="174"/>
      <c r="L193" s="174"/>
      <c r="M193" s="174"/>
      <c r="N193" s="174"/>
      <c r="O193" s="174"/>
      <c r="P193" s="174"/>
      <c r="Q193" s="174"/>
      <c r="R193" s="174"/>
      <c r="S193" s="174"/>
      <c r="T193" s="174"/>
      <c r="U193" s="174"/>
      <c r="V193" s="174"/>
      <c r="W193" s="174"/>
      <c r="X193" s="174"/>
      <c r="Y193" s="174"/>
      <c r="Z193" s="174"/>
      <c r="AA193" s="174"/>
      <c r="AB193" s="174"/>
      <c r="AC193" s="174"/>
      <c r="AD193" s="174"/>
      <c r="AE193" s="174"/>
      <c r="AF193" s="174"/>
      <c r="AG193" s="174"/>
      <c r="AH193" s="174"/>
      <c r="AI193" s="174"/>
      <c r="AJ193" s="174"/>
      <c r="AK193" s="174"/>
      <c r="AL193" s="174"/>
      <c r="AM193" s="456"/>
    </row>
    <row r="194" spans="1:39">
      <c r="A194" s="455"/>
      <c r="B194" s="174"/>
      <c r="C194" s="174"/>
      <c r="D194" s="174"/>
      <c r="E194" s="174"/>
      <c r="F194" s="174"/>
      <c r="G194" s="174"/>
      <c r="H194" s="174"/>
      <c r="I194" s="174"/>
      <c r="J194" s="174"/>
      <c r="K194" s="174"/>
      <c r="L194" s="174"/>
      <c r="M194" s="174"/>
      <c r="N194" s="174"/>
      <c r="O194" s="174"/>
      <c r="P194" s="174"/>
      <c r="Q194" s="174"/>
      <c r="R194" s="174"/>
      <c r="S194" s="174"/>
      <c r="T194" s="174"/>
      <c r="U194" s="174"/>
      <c r="V194" s="174"/>
      <c r="W194" s="174"/>
      <c r="X194" s="174"/>
      <c r="Y194" s="174"/>
      <c r="Z194" s="174"/>
      <c r="AA194" s="174"/>
      <c r="AB194" s="174"/>
      <c r="AC194" s="174"/>
      <c r="AD194" s="174"/>
      <c r="AE194" s="174"/>
      <c r="AF194" s="174"/>
      <c r="AG194" s="174"/>
      <c r="AH194" s="174"/>
      <c r="AI194" s="174"/>
      <c r="AJ194" s="174"/>
      <c r="AK194" s="174"/>
      <c r="AL194" s="174"/>
      <c r="AM194" s="456"/>
    </row>
    <row r="195" spans="1:39">
      <c r="A195" s="455"/>
      <c r="B195" s="174"/>
      <c r="C195" s="174"/>
      <c r="D195" s="174"/>
      <c r="E195" s="174"/>
      <c r="F195" s="174"/>
      <c r="G195" s="174"/>
      <c r="H195" s="174"/>
      <c r="I195" s="174"/>
      <c r="J195" s="174"/>
      <c r="K195" s="174"/>
      <c r="L195" s="174"/>
      <c r="M195" s="174"/>
      <c r="N195" s="174"/>
      <c r="O195" s="174"/>
      <c r="P195" s="174"/>
      <c r="Q195" s="174"/>
      <c r="R195" s="174"/>
      <c r="S195" s="174"/>
      <c r="T195" s="174"/>
      <c r="U195" s="174"/>
      <c r="V195" s="174"/>
      <c r="W195" s="174"/>
      <c r="X195" s="174"/>
      <c r="Y195" s="174"/>
      <c r="Z195" s="174"/>
      <c r="AA195" s="174"/>
      <c r="AB195" s="174"/>
      <c r="AC195" s="174"/>
      <c r="AD195" s="174"/>
      <c r="AE195" s="174"/>
      <c r="AF195" s="174"/>
      <c r="AG195" s="174"/>
      <c r="AH195" s="174"/>
      <c r="AI195" s="174"/>
      <c r="AJ195" s="174"/>
      <c r="AK195" s="174"/>
      <c r="AL195" s="174"/>
      <c r="AM195" s="456"/>
    </row>
    <row r="196" spans="1:39">
      <c r="A196" s="455"/>
      <c r="B196" s="174"/>
      <c r="C196" s="174"/>
      <c r="D196" s="174"/>
      <c r="E196" s="174"/>
      <c r="F196" s="174"/>
      <c r="G196" s="174"/>
      <c r="H196" s="174"/>
      <c r="I196" s="174"/>
      <c r="J196" s="174"/>
      <c r="K196" s="174"/>
      <c r="L196" s="174"/>
      <c r="M196" s="174"/>
      <c r="N196" s="174"/>
      <c r="O196" s="174"/>
      <c r="P196" s="174"/>
      <c r="Q196" s="174"/>
      <c r="R196" s="174"/>
      <c r="S196" s="174"/>
      <c r="T196" s="174"/>
      <c r="U196" s="174"/>
      <c r="V196" s="174"/>
      <c r="W196" s="174"/>
      <c r="X196" s="174"/>
      <c r="Y196" s="174"/>
      <c r="Z196" s="174"/>
      <c r="AA196" s="174"/>
      <c r="AB196" s="174"/>
      <c r="AC196" s="174"/>
      <c r="AD196" s="174"/>
      <c r="AE196" s="174"/>
      <c r="AF196" s="174"/>
      <c r="AG196" s="174"/>
      <c r="AH196" s="174"/>
      <c r="AI196" s="174"/>
      <c r="AJ196" s="174"/>
      <c r="AK196" s="174"/>
      <c r="AL196" s="174"/>
      <c r="AM196" s="456"/>
    </row>
    <row r="197" spans="1:39">
      <c r="A197" s="455"/>
      <c r="B197" s="174"/>
      <c r="C197" s="174"/>
      <c r="D197" s="174"/>
      <c r="E197" s="174"/>
      <c r="F197" s="174"/>
      <c r="G197" s="174"/>
      <c r="H197" s="174"/>
      <c r="I197" s="174"/>
      <c r="J197" s="174"/>
      <c r="K197" s="174"/>
      <c r="L197" s="174"/>
      <c r="M197" s="174"/>
      <c r="N197" s="174"/>
      <c r="O197" s="174"/>
      <c r="P197" s="174"/>
      <c r="Q197" s="174"/>
      <c r="R197" s="174"/>
      <c r="S197" s="174"/>
      <c r="T197" s="174"/>
      <c r="U197" s="174"/>
      <c r="V197" s="174"/>
      <c r="W197" s="174"/>
      <c r="X197" s="174"/>
      <c r="Y197" s="174"/>
      <c r="Z197" s="174"/>
      <c r="AA197" s="174"/>
      <c r="AB197" s="174"/>
      <c r="AC197" s="174"/>
      <c r="AD197" s="174"/>
      <c r="AE197" s="174"/>
      <c r="AF197" s="174"/>
      <c r="AG197" s="174"/>
      <c r="AH197" s="174"/>
      <c r="AI197" s="174"/>
      <c r="AJ197" s="174"/>
      <c r="AK197" s="174"/>
      <c r="AL197" s="174"/>
      <c r="AM197" s="456"/>
    </row>
    <row r="198" spans="1:39">
      <c r="A198" s="455"/>
      <c r="B198" s="174"/>
      <c r="C198" s="174"/>
      <c r="D198" s="174"/>
      <c r="E198" s="174"/>
      <c r="F198" s="174"/>
      <c r="G198" s="174"/>
      <c r="H198" s="174"/>
      <c r="I198" s="174"/>
      <c r="J198" s="174"/>
      <c r="K198" s="174"/>
      <c r="L198" s="174"/>
      <c r="M198" s="174"/>
      <c r="N198" s="174"/>
      <c r="O198" s="174"/>
      <c r="P198" s="174"/>
      <c r="Q198" s="174"/>
      <c r="R198" s="174"/>
      <c r="S198" s="174"/>
      <c r="T198" s="174"/>
      <c r="U198" s="174"/>
      <c r="V198" s="174"/>
      <c r="W198" s="174"/>
      <c r="X198" s="174"/>
      <c r="Y198" s="174"/>
      <c r="Z198" s="174"/>
      <c r="AA198" s="174"/>
      <c r="AB198" s="174"/>
      <c r="AC198" s="174"/>
      <c r="AD198" s="174"/>
      <c r="AE198" s="174"/>
      <c r="AF198" s="174"/>
      <c r="AG198" s="174"/>
      <c r="AH198" s="174"/>
      <c r="AI198" s="174"/>
      <c r="AJ198" s="174"/>
      <c r="AK198" s="174"/>
      <c r="AL198" s="174"/>
      <c r="AM198" s="456"/>
    </row>
    <row r="199" spans="1:39">
      <c r="A199" s="455"/>
      <c r="B199" s="174"/>
      <c r="C199" s="174"/>
      <c r="D199" s="174"/>
      <c r="E199" s="174"/>
      <c r="F199" s="174"/>
      <c r="G199" s="174"/>
      <c r="H199" s="174"/>
      <c r="I199" s="174"/>
      <c r="J199" s="174"/>
      <c r="K199" s="174"/>
      <c r="L199" s="174"/>
      <c r="M199" s="174"/>
      <c r="N199" s="174"/>
      <c r="O199" s="174"/>
      <c r="P199" s="174"/>
      <c r="Q199" s="174"/>
      <c r="R199" s="174"/>
      <c r="S199" s="174"/>
      <c r="T199" s="174"/>
      <c r="U199" s="174"/>
      <c r="V199" s="174"/>
      <c r="W199" s="174"/>
      <c r="X199" s="174"/>
      <c r="Y199" s="174"/>
      <c r="Z199" s="174"/>
      <c r="AA199" s="174"/>
      <c r="AB199" s="174"/>
      <c r="AC199" s="174"/>
      <c r="AD199" s="174"/>
      <c r="AE199" s="174"/>
      <c r="AF199" s="174"/>
      <c r="AG199" s="174"/>
      <c r="AH199" s="174"/>
      <c r="AI199" s="174"/>
      <c r="AJ199" s="174"/>
      <c r="AK199" s="174"/>
      <c r="AL199" s="174"/>
      <c r="AM199" s="456"/>
    </row>
    <row r="200" spans="1:39">
      <c r="A200" s="455"/>
      <c r="B200" s="174"/>
      <c r="C200" s="174"/>
      <c r="D200" s="174"/>
      <c r="E200" s="174"/>
      <c r="F200" s="174"/>
      <c r="G200" s="174"/>
      <c r="H200" s="174"/>
      <c r="I200" s="174"/>
      <c r="J200" s="174"/>
      <c r="K200" s="174"/>
      <c r="L200" s="174"/>
      <c r="M200" s="174"/>
      <c r="N200" s="174"/>
      <c r="O200" s="174"/>
      <c r="P200" s="174"/>
      <c r="Q200" s="174"/>
      <c r="R200" s="174"/>
      <c r="S200" s="174"/>
      <c r="T200" s="174"/>
      <c r="U200" s="174"/>
      <c r="V200" s="174"/>
      <c r="W200" s="174"/>
      <c r="X200" s="174"/>
      <c r="Y200" s="174"/>
      <c r="Z200" s="174"/>
      <c r="AA200" s="174"/>
      <c r="AB200" s="174"/>
      <c r="AC200" s="174"/>
      <c r="AD200" s="174"/>
      <c r="AE200" s="174"/>
      <c r="AF200" s="174"/>
      <c r="AG200" s="174"/>
      <c r="AH200" s="174"/>
      <c r="AI200" s="174"/>
      <c r="AJ200" s="174"/>
      <c r="AK200" s="174"/>
      <c r="AL200" s="174"/>
      <c r="AM200" s="456"/>
    </row>
    <row r="201" spans="1:39">
      <c r="A201" s="455"/>
      <c r="B201" s="174"/>
      <c r="C201" s="174"/>
      <c r="D201" s="174"/>
      <c r="E201" s="174"/>
      <c r="F201" s="174"/>
      <c r="G201" s="174"/>
      <c r="H201" s="174"/>
      <c r="I201" s="174"/>
      <c r="J201" s="174"/>
      <c r="K201" s="174"/>
      <c r="L201" s="174"/>
      <c r="M201" s="174"/>
      <c r="N201" s="174"/>
      <c r="O201" s="174"/>
      <c r="P201" s="174"/>
      <c r="Q201" s="174"/>
      <c r="R201" s="174"/>
      <c r="S201" s="174"/>
      <c r="T201" s="174"/>
      <c r="U201" s="174"/>
      <c r="V201" s="174"/>
      <c r="W201" s="174"/>
      <c r="X201" s="174"/>
      <c r="Y201" s="174"/>
      <c r="Z201" s="174"/>
      <c r="AA201" s="174"/>
      <c r="AB201" s="174"/>
      <c r="AC201" s="174"/>
      <c r="AD201" s="174"/>
      <c r="AE201" s="174"/>
      <c r="AF201" s="174"/>
      <c r="AG201" s="174"/>
      <c r="AH201" s="174"/>
      <c r="AI201" s="174"/>
      <c r="AJ201" s="174"/>
      <c r="AK201" s="174"/>
      <c r="AL201" s="174"/>
      <c r="AM201" s="456"/>
    </row>
    <row r="202" spans="1:39">
      <c r="A202" s="455"/>
      <c r="B202" s="174"/>
      <c r="C202" s="174"/>
      <c r="D202" s="174"/>
      <c r="E202" s="174"/>
      <c r="F202" s="174"/>
      <c r="G202" s="174"/>
      <c r="H202" s="174"/>
      <c r="I202" s="174"/>
      <c r="J202" s="174"/>
      <c r="K202" s="174"/>
      <c r="L202" s="174"/>
      <c r="M202" s="174"/>
      <c r="N202" s="174"/>
      <c r="O202" s="174"/>
      <c r="P202" s="174"/>
      <c r="Q202" s="174"/>
      <c r="R202" s="174"/>
      <c r="S202" s="174"/>
      <c r="T202" s="174"/>
      <c r="U202" s="174"/>
      <c r="V202" s="174"/>
      <c r="W202" s="174"/>
      <c r="X202" s="174"/>
      <c r="Y202" s="174"/>
      <c r="Z202" s="174"/>
      <c r="AA202" s="174"/>
      <c r="AB202" s="174"/>
      <c r="AC202" s="174"/>
      <c r="AD202" s="174"/>
      <c r="AE202" s="174"/>
      <c r="AF202" s="174"/>
      <c r="AG202" s="174"/>
      <c r="AH202" s="174"/>
      <c r="AI202" s="174"/>
      <c r="AJ202" s="174"/>
      <c r="AK202" s="174"/>
      <c r="AL202" s="174"/>
      <c r="AM202" s="456"/>
    </row>
    <row r="203" spans="1:39">
      <c r="A203" s="455"/>
      <c r="B203" s="174"/>
      <c r="C203" s="174"/>
      <c r="D203" s="174"/>
      <c r="E203" s="174"/>
      <c r="F203" s="174"/>
      <c r="G203" s="174"/>
      <c r="H203" s="174"/>
      <c r="I203" s="174"/>
      <c r="J203" s="174"/>
      <c r="K203" s="174"/>
      <c r="L203" s="174"/>
      <c r="M203" s="174"/>
      <c r="N203" s="174"/>
      <c r="O203" s="174"/>
      <c r="P203" s="174"/>
      <c r="Q203" s="174"/>
      <c r="R203" s="174"/>
      <c r="S203" s="174"/>
      <c r="T203" s="174"/>
      <c r="U203" s="174"/>
      <c r="V203" s="174"/>
      <c r="W203" s="174"/>
      <c r="X203" s="174"/>
      <c r="Y203" s="174"/>
      <c r="Z203" s="174"/>
      <c r="AA203" s="174"/>
      <c r="AB203" s="174"/>
      <c r="AC203" s="174"/>
      <c r="AD203" s="174"/>
      <c r="AE203" s="174"/>
      <c r="AF203" s="174"/>
      <c r="AG203" s="174"/>
      <c r="AH203" s="174"/>
      <c r="AI203" s="174"/>
      <c r="AJ203" s="174"/>
      <c r="AK203" s="174"/>
      <c r="AL203" s="174"/>
      <c r="AM203" s="456"/>
    </row>
    <row r="204" spans="1:39">
      <c r="A204" s="455"/>
      <c r="B204" s="174"/>
      <c r="C204" s="174"/>
      <c r="D204" s="174"/>
      <c r="E204" s="174"/>
      <c r="F204" s="174"/>
      <c r="G204" s="174"/>
      <c r="H204" s="174"/>
      <c r="I204" s="174"/>
      <c r="J204" s="174"/>
      <c r="K204" s="174"/>
      <c r="L204" s="174"/>
      <c r="M204" s="174"/>
      <c r="N204" s="174"/>
      <c r="O204" s="174"/>
      <c r="P204" s="174"/>
      <c r="Q204" s="174"/>
      <c r="R204" s="174"/>
      <c r="S204" s="174"/>
      <c r="T204" s="174"/>
      <c r="U204" s="174"/>
      <c r="V204" s="174"/>
      <c r="W204" s="174"/>
      <c r="X204" s="174"/>
      <c r="Y204" s="174"/>
      <c r="Z204" s="174"/>
      <c r="AA204" s="174"/>
      <c r="AB204" s="174"/>
      <c r="AC204" s="174"/>
      <c r="AD204" s="174"/>
      <c r="AE204" s="174"/>
      <c r="AF204" s="174"/>
      <c r="AG204" s="174"/>
      <c r="AH204" s="174"/>
      <c r="AI204" s="174"/>
      <c r="AJ204" s="174"/>
      <c r="AK204" s="174"/>
      <c r="AL204" s="174"/>
      <c r="AM204" s="456"/>
    </row>
    <row r="205" spans="1:39">
      <c r="A205" s="457"/>
      <c r="B205" s="458"/>
      <c r="C205" s="458"/>
      <c r="D205" s="459"/>
      <c r="E205" s="459"/>
      <c r="F205" s="459"/>
      <c r="G205" s="459"/>
      <c r="H205" s="459"/>
      <c r="I205" s="459"/>
      <c r="J205" s="459"/>
      <c r="K205" s="459"/>
      <c r="L205" s="459"/>
      <c r="M205" s="459"/>
      <c r="N205" s="459"/>
      <c r="O205" s="459"/>
      <c r="P205" s="459"/>
      <c r="Q205" s="459"/>
      <c r="R205" s="459"/>
      <c r="S205" s="459"/>
      <c r="T205" s="459"/>
      <c r="U205" s="459"/>
      <c r="V205" s="459"/>
      <c r="W205" s="459"/>
      <c r="X205" s="459"/>
      <c r="Y205" s="459"/>
      <c r="Z205" s="459"/>
      <c r="AA205" s="459"/>
      <c r="AB205" s="459"/>
      <c r="AC205" s="459"/>
      <c r="AD205" s="459"/>
      <c r="AE205" s="459"/>
      <c r="AF205" s="459"/>
      <c r="AG205" s="459"/>
      <c r="AH205" s="459"/>
      <c r="AI205" s="459"/>
      <c r="AJ205" s="459"/>
      <c r="AK205" s="459"/>
      <c r="AL205" s="459"/>
      <c r="AM205" s="460"/>
    </row>
    <row r="206" spans="1:39">
      <c r="A206" s="457"/>
      <c r="B206" s="458"/>
      <c r="C206" s="458"/>
      <c r="D206" s="459"/>
      <c r="E206" s="459"/>
      <c r="F206" s="459"/>
      <c r="G206" s="459"/>
      <c r="H206" s="459"/>
      <c r="I206" s="459"/>
      <c r="J206" s="459"/>
      <c r="K206" s="459"/>
      <c r="L206" s="459"/>
      <c r="M206" s="459"/>
      <c r="N206" s="459"/>
      <c r="O206" s="459"/>
      <c r="P206" s="459"/>
      <c r="Q206" s="459"/>
      <c r="R206" s="459"/>
      <c r="S206" s="459"/>
      <c r="T206" s="459"/>
      <c r="U206" s="459"/>
      <c r="V206" s="459"/>
      <c r="W206" s="459"/>
      <c r="X206" s="459"/>
      <c r="Y206" s="459"/>
      <c r="Z206" s="459"/>
      <c r="AA206" s="459"/>
      <c r="AB206" s="459"/>
      <c r="AC206" s="459"/>
      <c r="AD206" s="459"/>
      <c r="AE206" s="459"/>
      <c r="AF206" s="459"/>
      <c r="AG206" s="459"/>
      <c r="AH206" s="459"/>
      <c r="AI206" s="459"/>
      <c r="AJ206" s="459"/>
      <c r="AK206" s="459"/>
      <c r="AL206" s="459"/>
      <c r="AM206" s="460"/>
    </row>
    <row r="207" spans="1:39">
      <c r="A207" s="457"/>
      <c r="B207" s="458"/>
      <c r="C207" s="458"/>
      <c r="D207" s="459"/>
      <c r="E207" s="459"/>
      <c r="F207" s="459"/>
      <c r="G207" s="459"/>
      <c r="H207" s="459"/>
      <c r="I207" s="459"/>
      <c r="J207" s="459"/>
      <c r="K207" s="459"/>
      <c r="L207" s="459"/>
      <c r="M207" s="459"/>
      <c r="N207" s="459"/>
      <c r="O207" s="459"/>
      <c r="P207" s="459"/>
      <c r="Q207" s="459"/>
      <c r="R207" s="459"/>
      <c r="S207" s="459"/>
      <c r="T207" s="459"/>
      <c r="U207" s="459"/>
      <c r="V207" s="459"/>
      <c r="W207" s="459"/>
      <c r="X207" s="459"/>
      <c r="Y207" s="459"/>
      <c r="Z207" s="459"/>
      <c r="AA207" s="459"/>
      <c r="AB207" s="459"/>
      <c r="AC207" s="459"/>
      <c r="AD207" s="459"/>
      <c r="AE207" s="459"/>
      <c r="AF207" s="459"/>
      <c r="AG207" s="459"/>
      <c r="AH207" s="459"/>
      <c r="AI207" s="459"/>
      <c r="AJ207" s="459"/>
      <c r="AK207" s="459"/>
      <c r="AL207" s="459"/>
      <c r="AM207" s="460"/>
    </row>
    <row r="208" spans="1:39">
      <c r="A208" s="457"/>
      <c r="B208" s="458"/>
      <c r="C208" s="458"/>
      <c r="D208" s="459"/>
      <c r="E208" s="459"/>
      <c r="F208" s="459"/>
      <c r="G208" s="459"/>
      <c r="H208" s="459"/>
      <c r="I208" s="459"/>
      <c r="J208" s="459"/>
      <c r="K208" s="459"/>
      <c r="L208" s="459"/>
      <c r="M208" s="459"/>
      <c r="N208" s="459"/>
      <c r="O208" s="459"/>
      <c r="P208" s="459"/>
      <c r="Q208" s="459"/>
      <c r="R208" s="459"/>
      <c r="S208" s="459"/>
      <c r="T208" s="459"/>
      <c r="U208" s="459"/>
      <c r="V208" s="459"/>
      <c r="W208" s="459"/>
      <c r="X208" s="459"/>
      <c r="Y208" s="459"/>
      <c r="Z208" s="459"/>
      <c r="AA208" s="459"/>
      <c r="AB208" s="459"/>
      <c r="AC208" s="459"/>
      <c r="AD208" s="459"/>
      <c r="AE208" s="459"/>
      <c r="AF208" s="459"/>
      <c r="AG208" s="459"/>
      <c r="AH208" s="459"/>
      <c r="AI208" s="459"/>
      <c r="AJ208" s="459"/>
      <c r="AK208" s="459"/>
      <c r="AL208" s="459"/>
      <c r="AM208" s="460"/>
    </row>
    <row r="209" spans="1:39">
      <c r="A209" s="457"/>
      <c r="B209" s="458"/>
      <c r="C209" s="458"/>
      <c r="D209" s="459"/>
      <c r="E209" s="459"/>
      <c r="F209" s="459"/>
      <c r="G209" s="459"/>
      <c r="H209" s="459"/>
      <c r="I209" s="459"/>
      <c r="J209" s="459"/>
      <c r="K209" s="459"/>
      <c r="L209" s="459"/>
      <c r="M209" s="459"/>
      <c r="N209" s="459"/>
      <c r="O209" s="459"/>
      <c r="P209" s="459"/>
      <c r="Q209" s="459"/>
      <c r="R209" s="459"/>
      <c r="S209" s="459"/>
      <c r="T209" s="459"/>
      <c r="U209" s="459"/>
      <c r="V209" s="459"/>
      <c r="W209" s="459"/>
      <c r="X209" s="459"/>
      <c r="Y209" s="459"/>
      <c r="Z209" s="459"/>
      <c r="AA209" s="459"/>
      <c r="AB209" s="459"/>
      <c r="AC209" s="459"/>
      <c r="AD209" s="459"/>
      <c r="AE209" s="459"/>
      <c r="AF209" s="459"/>
      <c r="AG209" s="459"/>
      <c r="AH209" s="459"/>
      <c r="AI209" s="459"/>
      <c r="AJ209" s="459"/>
      <c r="AK209" s="459"/>
      <c r="AL209" s="459"/>
      <c r="AM209" s="460"/>
    </row>
    <row r="210" spans="1:39" ht="13.8" thickBot="1">
      <c r="A210" s="461"/>
      <c r="B210" s="462"/>
      <c r="C210" s="462"/>
      <c r="D210" s="463"/>
      <c r="E210" s="463"/>
      <c r="F210" s="463"/>
      <c r="G210" s="463"/>
      <c r="H210" s="463"/>
      <c r="I210" s="463"/>
      <c r="J210" s="463"/>
      <c r="K210" s="463"/>
      <c r="L210" s="463"/>
      <c r="M210" s="463"/>
      <c r="N210" s="463"/>
      <c r="O210" s="463"/>
      <c r="P210" s="463"/>
      <c r="Q210" s="463"/>
      <c r="R210" s="463"/>
      <c r="S210" s="463"/>
      <c r="T210" s="463"/>
      <c r="U210" s="463"/>
      <c r="V210" s="463"/>
      <c r="W210" s="463"/>
      <c r="X210" s="463"/>
      <c r="Y210" s="463"/>
      <c r="Z210" s="463"/>
      <c r="AA210" s="463"/>
      <c r="AB210" s="463"/>
      <c r="AC210" s="463"/>
      <c r="AD210" s="463"/>
      <c r="AE210" s="463"/>
      <c r="AF210" s="463"/>
      <c r="AG210" s="463"/>
      <c r="AH210" s="463"/>
      <c r="AI210" s="463"/>
      <c r="AJ210" s="463"/>
      <c r="AK210" s="463"/>
      <c r="AL210" s="463"/>
      <c r="AM210" s="464"/>
    </row>
    <row r="211" spans="1:39">
      <c r="A211" s="123"/>
      <c r="B211" s="111"/>
      <c r="C211" s="111"/>
      <c r="D211" s="123"/>
      <c r="E211" s="123"/>
      <c r="F211" s="123"/>
      <c r="G211" s="123"/>
      <c r="H211" s="123"/>
      <c r="I211" s="123"/>
      <c r="J211" s="123"/>
      <c r="K211" s="123"/>
      <c r="L211" s="123"/>
      <c r="M211" s="123"/>
      <c r="N211" s="123"/>
      <c r="O211" s="123"/>
      <c r="P211" s="123"/>
      <c r="Q211" s="123"/>
      <c r="R211" s="123"/>
      <c r="S211" s="123"/>
      <c r="T211" s="123"/>
      <c r="U211" s="123"/>
      <c r="V211" s="123"/>
      <c r="W211" s="123"/>
      <c r="X211" s="123"/>
      <c r="Y211" s="123"/>
      <c r="Z211" s="123"/>
      <c r="AA211" s="123"/>
      <c r="AB211" s="123"/>
      <c r="AC211" s="123"/>
      <c r="AD211" s="123"/>
      <c r="AE211" s="123"/>
      <c r="AF211" s="123"/>
      <c r="AG211" s="123"/>
      <c r="AH211" s="123"/>
      <c r="AI211" s="123"/>
      <c r="AJ211" s="123"/>
      <c r="AK211" s="123"/>
      <c r="AL211" s="123"/>
      <c r="AM211" s="123"/>
    </row>
  </sheetData>
  <sheetProtection password="9C47" sheet="1" objects="1" scenarios="1"/>
  <mergeCells count="50">
    <mergeCell ref="AA2:AD2"/>
    <mergeCell ref="AG2:AI2"/>
    <mergeCell ref="D4:E5"/>
    <mergeCell ref="F4:G5"/>
    <mergeCell ref="H4:I5"/>
    <mergeCell ref="J4:K5"/>
    <mergeCell ref="R4:S5"/>
    <mergeCell ref="T4:U5"/>
    <mergeCell ref="V4:W5"/>
    <mergeCell ref="AE4:AF5"/>
    <mergeCell ref="AG4:AH5"/>
    <mergeCell ref="AI4:AJ5"/>
    <mergeCell ref="D6:E7"/>
    <mergeCell ref="J6:K7"/>
    <mergeCell ref="P6:Q7"/>
    <mergeCell ref="X6:Y7"/>
    <mergeCell ref="AC6:AD7"/>
    <mergeCell ref="AK6:AL7"/>
    <mergeCell ref="F7:H7"/>
    <mergeCell ref="D8:E9"/>
    <mergeCell ref="F8:H8"/>
    <mergeCell ref="J8:K9"/>
    <mergeCell ref="P8:Q9"/>
    <mergeCell ref="S8:U8"/>
    <mergeCell ref="X8:Y9"/>
    <mergeCell ref="AC8:AD9"/>
    <mergeCell ref="AF8:AH8"/>
    <mergeCell ref="AK8:AL9"/>
    <mergeCell ref="S9:U9"/>
    <mergeCell ref="AF9:AH9"/>
    <mergeCell ref="D10:E11"/>
    <mergeCell ref="F10:G11"/>
    <mergeCell ref="H10:I11"/>
    <mergeCell ref="J10:K11"/>
    <mergeCell ref="P10:Q11"/>
    <mergeCell ref="X10:Y11"/>
    <mergeCell ref="AC10:AD11"/>
    <mergeCell ref="AK10:AL11"/>
    <mergeCell ref="R12:S13"/>
    <mergeCell ref="T12:U13"/>
    <mergeCell ref="V12:W13"/>
    <mergeCell ref="AE12:AF13"/>
    <mergeCell ref="AG12:AH13"/>
    <mergeCell ref="AI12:AJ13"/>
    <mergeCell ref="F15:I15"/>
    <mergeCell ref="S15:V15"/>
    <mergeCell ref="AE15:AJ15"/>
    <mergeCell ref="E22:M22"/>
    <mergeCell ref="O22:Z22"/>
    <mergeCell ref="AB22:AM22"/>
  </mergeCells>
  <phoneticPr fontId="55" type="noConversion"/>
  <conditionalFormatting sqref="D38:AM124">
    <cfRule type="cellIs" dxfId="0" priority="1" stopIfTrue="1" operator="equal">
      <formula>"Y"</formula>
    </cfRule>
  </conditionalFormatting>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DataEntry</vt:lpstr>
      <vt:lpstr>PAC</vt:lpstr>
      <vt:lpstr>GenPAC</vt:lpstr>
      <vt:lpstr>Dasha</vt:lpstr>
      <vt:lpstr>LifeEvents</vt:lpstr>
      <vt:lpstr>PACQuery</vt:lpstr>
      <vt:lpstr>EventsQuery</vt:lpstr>
      <vt:lpstr>PatternTrap</vt:lpstr>
      <vt:lpstr>Ephemeris</vt:lpstr>
      <vt:lpstr>OutputTemplate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Parashar21</dc:title>
  <dc:subject>Indian Astrology</dc:subject>
  <dc:creator>Prithwis Mukerjee, PhD</dc:creator>
  <cp:keywords>astrology calculations; astrology software; custom astrology programming; Parashar21 Hindu Astrology Sparse Matrix</cp:keywords>
  <dc:description>This software is distributed under the terms of the GNU General Public License V3. For more details of this license, see http://www.gnu.org/license</dc:description>
  <cp:lastModifiedBy>prithwis mukerjee</cp:lastModifiedBy>
  <cp:lastPrinted>2009-03-26T05:54:04Z</cp:lastPrinted>
  <dcterms:created xsi:type="dcterms:W3CDTF">2009-03-17T14:12:53Z</dcterms:created>
  <dcterms:modified xsi:type="dcterms:W3CDTF">2022-01-08T06:30:44Z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Prithwis Mukerjee 2009</vt:lpwstr>
  </property>
</Properties>
</file>